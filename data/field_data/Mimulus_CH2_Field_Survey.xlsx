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worksheets/_rels/sheet7.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ETADATA" sheetId="1" state="visible" r:id="rId3"/>
    <sheet name="Ch2_FieldSurvey" sheetId="2" state="visible" r:id="rId4"/>
    <sheet name="FieldSites" sheetId="3" state="visible" r:id="rId5"/>
    <sheet name="clean_site_lat_long" sheetId="4" state="visible" r:id="rId6"/>
    <sheet name="Sheet1" sheetId="5" state="visible" r:id="rId7"/>
    <sheet name="DNA_PCR_progress" sheetId="6" state="visible" r:id="rId8"/>
    <sheet name="Summary_DNA_progress" sheetId="7" state="visible" r:id="rId9"/>
    <sheet name="OLD_Emily_Cultures" sheetId="8" state="visible" r:id="rId10"/>
    <sheet name="OLD_Culture tests" sheetId="9" state="visible" r:id="rId11"/>
  </sheets>
  <externalReferences>
    <externalReference r:id="rId12"/>
    <externalReference r:id="rId13"/>
  </externalReferences>
  <definedNames>
    <definedName function="false" hidden="true" localSheetId="2" name="_xlnm._FilterDatabase" vbProcedure="false">FieldSites!$O$6:$V$11</definedName>
  </definedNames>
  <calcPr iterateCount="100" refMode="A1" iterate="false" iterateDelta="0.0001"/>
  <pivotCaches>
    <pivotCache cacheId="1" r:id="rId15"/>
  </pivotCaches>
  <extLst>
    <ext xmlns:loext="http://schemas.libreoffice.org/" uri="{7626C862-2A13-11E5-B345-FEFF819CDC9F}">
      <loext:extCalcPr stringRefSyntax="ExcelA1"/>
    </ext>
  </extLst>
</workbook>
</file>

<file path=xl/sharedStrings.xml><?xml version="1.0" encoding="utf-8"?>
<sst xmlns="http://schemas.openxmlformats.org/spreadsheetml/2006/main" count="15947" uniqueCount="1329">
  <si>
    <t xml:space="preserve">This is the data workbook for Mimulus Field Survey in the summers of 2021-2022</t>
  </si>
  <si>
    <t xml:space="preserve">By: Bolívar Aponte Rolón</t>
  </si>
  <si>
    <t xml:space="preserve">Last update: </t>
  </si>
  <si>
    <t xml:space="preserve">This book contains information of the field sites (elevation and abbreviation), leaf traits, DNA extraction progress and PCR1 progress.</t>
  </si>
  <si>
    <t xml:space="preserve">A capital "Z" has been added to some of the site/population abbreviations as place holders for ease of bioinformatics analyses. This is called Sequen_ID</t>
  </si>
  <si>
    <t xml:space="preserve">The most important information is found in the Ch2_FieldSurvey and DNA_PCR_progress sheets. These provide the information for other sheets and child .cvs files (mim2_leaf_traits_field_survey.cvs  AND mim2_dna_pcr.csv)</t>
  </si>
  <si>
    <t xml:space="preserve">Site</t>
  </si>
  <si>
    <t xml:space="preserve">Population</t>
  </si>
  <si>
    <t xml:space="preserve">Species</t>
  </si>
  <si>
    <t xml:space="preserve">Hybrid</t>
  </si>
  <si>
    <t xml:space="preserve">Elevation_m</t>
  </si>
  <si>
    <t xml:space="preserve">Longitude</t>
  </si>
  <si>
    <t xml:space="preserve">Latitude</t>
  </si>
  <si>
    <t xml:space="preserve">Sample</t>
  </si>
  <si>
    <t xml:space="preserve">Unique_ID</t>
  </si>
  <si>
    <t xml:space="preserve">Sample_Date</t>
  </si>
  <si>
    <t xml:space="preserve">Sampling_time</t>
  </si>
  <si>
    <t xml:space="preserve">Process_Date</t>
  </si>
  <si>
    <t xml:space="preserve">Process_time</t>
  </si>
  <si>
    <t xml:space="preserve">Leaf_thickness</t>
  </si>
  <si>
    <t xml:space="preserve">ACI</t>
  </si>
  <si>
    <t xml:space="preserve">Leaf_toughness</t>
  </si>
  <si>
    <t xml:space="preserve">LMA(mg)</t>
  </si>
  <si>
    <t xml:space="preserve">Light Intensity</t>
  </si>
  <si>
    <t xml:space="preserve">Habitat</t>
  </si>
  <si>
    <t xml:space="preserve">Notes</t>
  </si>
  <si>
    <t xml:space="preserve">ImageJ_1</t>
  </si>
  <si>
    <t xml:space="preserve">ImageJ_2</t>
  </si>
  <si>
    <t xml:space="preserve">Leaf_lobe_index</t>
  </si>
  <si>
    <t xml:space="preserve">Notes2</t>
  </si>
  <si>
    <t xml:space="preserve">TRTB</t>
  </si>
  <si>
    <t xml:space="preserve">M. laciniatus</t>
  </si>
  <si>
    <t xml:space="preserve">TRTB_L1</t>
  </si>
  <si>
    <t xml:space="preserve">TRTB_L001</t>
  </si>
  <si>
    <t xml:space="preserve">5/3/2021</t>
  </si>
  <si>
    <t xml:space="preserve">10:44:00 AM</t>
  </si>
  <si>
    <t xml:space="preserve">8:49:00 PM</t>
  </si>
  <si>
    <t xml:space="preserve">9:49:00 PM</t>
  </si>
  <si>
    <t xml:space="preserve">10:49:00 PM</t>
  </si>
  <si>
    <t xml:space="preserve">FVWB</t>
  </si>
  <si>
    <t xml:space="preserve">M. guttatus</t>
  </si>
  <si>
    <t xml:space="preserve">FVWB_G1</t>
  </si>
  <si>
    <t xml:space="preserve">FVWB_G001</t>
  </si>
  <si>
    <t xml:space="preserve">2:04:00 PM</t>
  </si>
  <si>
    <t xml:space="preserve">11:49:00 PM</t>
  </si>
  <si>
    <t xml:space="preserve">12:49:00 AM</t>
  </si>
  <si>
    <t xml:space="preserve">1:49:00 AM</t>
  </si>
  <si>
    <t xml:space="preserve">FVWB_G2</t>
  </si>
  <si>
    <t xml:space="preserve">FVWB_G002</t>
  </si>
  <si>
    <t xml:space="preserve">BML</t>
  </si>
  <si>
    <t xml:space="preserve">BML_G1</t>
  </si>
  <si>
    <t xml:space="preserve">BMLZ_G001</t>
  </si>
  <si>
    <t xml:space="preserve">5/5/2021</t>
  </si>
  <si>
    <t xml:space="preserve">11:33:00 AM</t>
  </si>
  <si>
    <t xml:space="preserve">5/6/2021</t>
  </si>
  <si>
    <t xml:space="preserve">9:37:00 PM</t>
  </si>
  <si>
    <t xml:space="preserve">ACI measure at proccessing time.</t>
  </si>
  <si>
    <t xml:space="preserve">BML_G2</t>
  </si>
  <si>
    <t xml:space="preserve">BMLZ_G002</t>
  </si>
  <si>
    <t xml:space="preserve">11:35:00 AM</t>
  </si>
  <si>
    <t xml:space="preserve">9:40:00 PM</t>
  </si>
  <si>
    <t xml:space="preserve">BML_G3</t>
  </si>
  <si>
    <t xml:space="preserve">BMLZ_G003</t>
  </si>
  <si>
    <t xml:space="preserve">9:44:00 PM</t>
  </si>
  <si>
    <t xml:space="preserve">BML_G4</t>
  </si>
  <si>
    <t xml:space="preserve">BMLZ_G004</t>
  </si>
  <si>
    <t xml:space="preserve">11:40:00 AM</t>
  </si>
  <si>
    <t xml:space="preserve">9:47:00 PM</t>
  </si>
  <si>
    <t xml:space="preserve">BML_G5</t>
  </si>
  <si>
    <t xml:space="preserve">BMLZ_G005</t>
  </si>
  <si>
    <t xml:space="preserve">11:45:00 AM</t>
  </si>
  <si>
    <t xml:space="preserve">SHL</t>
  </si>
  <si>
    <t xml:space="preserve">SHL_G1</t>
  </si>
  <si>
    <t xml:space="preserve">SHLZ_G001</t>
  </si>
  <si>
    <t xml:space="preserve">12:39:00 PM</t>
  </si>
  <si>
    <t xml:space="preserve">9:54:00 PM</t>
  </si>
  <si>
    <t xml:space="preserve">SHL_G2</t>
  </si>
  <si>
    <t xml:space="preserve">SHLZ_G002</t>
  </si>
  <si>
    <t xml:space="preserve">12:40:00 PM</t>
  </si>
  <si>
    <t xml:space="preserve">9:57:00 PM</t>
  </si>
  <si>
    <t xml:space="preserve">SHL_G3</t>
  </si>
  <si>
    <t xml:space="preserve">SHLZ_G003</t>
  </si>
  <si>
    <t xml:space="preserve">12:45:00 PM</t>
  </si>
  <si>
    <t xml:space="preserve">10:00:00 PM</t>
  </si>
  <si>
    <t xml:space="preserve">SHL_G4</t>
  </si>
  <si>
    <t xml:space="preserve">SHLZ_G004</t>
  </si>
  <si>
    <t xml:space="preserve">12:50:00 PM</t>
  </si>
  <si>
    <t xml:space="preserve">10:03:00 PM</t>
  </si>
  <si>
    <t xml:space="preserve">Y</t>
  </si>
  <si>
    <t xml:space="preserve">SHL_G5</t>
  </si>
  <si>
    <t xml:space="preserve">SHLZ_G005</t>
  </si>
  <si>
    <t xml:space="preserve">1:00:00 PM</t>
  </si>
  <si>
    <t xml:space="preserve">10:07:00 PM</t>
  </si>
  <si>
    <t xml:space="preserve">SHL_L1</t>
  </si>
  <si>
    <t xml:space="preserve">SHLZ_L001</t>
  </si>
  <si>
    <t xml:space="preserve">10:31:00 PM</t>
  </si>
  <si>
    <t xml:space="preserve">ACI measure at proccessing time. M. laciniatus samples did not fit the ACI gauge well, potential for error in reading. </t>
  </si>
  <si>
    <t xml:space="preserve">SHL_L2</t>
  </si>
  <si>
    <t xml:space="preserve">SHLZ_L002</t>
  </si>
  <si>
    <t xml:space="preserve">1:05:00 PM</t>
  </si>
  <si>
    <t xml:space="preserve">10:34:00 PM</t>
  </si>
  <si>
    <t xml:space="preserve">SHL_L3</t>
  </si>
  <si>
    <t xml:space="preserve">SHLZ_L003</t>
  </si>
  <si>
    <t xml:space="preserve">10:36:00 PM</t>
  </si>
  <si>
    <t xml:space="preserve">SHL_L4</t>
  </si>
  <si>
    <t xml:space="preserve">SHLZ_L004</t>
  </si>
  <si>
    <t xml:space="preserve">1:10:00 PM</t>
  </si>
  <si>
    <t xml:space="preserve">10:40:00 PM</t>
  </si>
  <si>
    <t xml:space="preserve">SHL_L5</t>
  </si>
  <si>
    <t xml:space="preserve">SHLZ_L005</t>
  </si>
  <si>
    <t xml:space="preserve">1:15:00 PM</t>
  </si>
  <si>
    <t xml:space="preserve">10:43:00 PM</t>
  </si>
  <si>
    <t xml:space="preserve">BML_L1</t>
  </si>
  <si>
    <t xml:space="preserve">BMLZ_L001</t>
  </si>
  <si>
    <t xml:space="preserve">11:10:00 AM</t>
  </si>
  <si>
    <t xml:space="preserve">10:46:00 PM</t>
  </si>
  <si>
    <t xml:space="preserve">BML_L2</t>
  </si>
  <si>
    <t xml:space="preserve">BMLZ_L002</t>
  </si>
  <si>
    <t xml:space="preserve">11:11:00 AM</t>
  </si>
  <si>
    <t xml:space="preserve">10:50:00 PM</t>
  </si>
  <si>
    <t xml:space="preserve">BML_L3</t>
  </si>
  <si>
    <t xml:space="preserve">BMLZ_L003</t>
  </si>
  <si>
    <t xml:space="preserve">11:14:00 AM</t>
  </si>
  <si>
    <t xml:space="preserve">10:52:00 PM</t>
  </si>
  <si>
    <t xml:space="preserve">BML_L4</t>
  </si>
  <si>
    <t xml:space="preserve">BMLZ_L004</t>
  </si>
  <si>
    <t xml:space="preserve">11:15:00 AM</t>
  </si>
  <si>
    <t xml:space="preserve">10:55:00 PM</t>
  </si>
  <si>
    <t xml:space="preserve">imagej had inverted colors (white leaf, black background)</t>
  </si>
  <si>
    <t xml:space="preserve">BML_L5</t>
  </si>
  <si>
    <t xml:space="preserve">BMLZ_L005</t>
  </si>
  <si>
    <t xml:space="preserve">11:19:00 AM</t>
  </si>
  <si>
    <t xml:space="preserve">10:57:00 PM</t>
  </si>
  <si>
    <t xml:space="preserve">LYFB</t>
  </si>
  <si>
    <t xml:space="preserve">LYFB_G1</t>
  </si>
  <si>
    <t xml:space="preserve">LYFB_G001</t>
  </si>
  <si>
    <t xml:space="preserve">5/7/2021</t>
  </si>
  <si>
    <t xml:space="preserve">4:40:00 PM</t>
  </si>
  <si>
    <t xml:space="preserve">5/8/2021</t>
  </si>
  <si>
    <t xml:space="preserve">LYFB_G002</t>
  </si>
  <si>
    <t xml:space="preserve">11:20:00 AM</t>
  </si>
  <si>
    <t xml:space="preserve">LYFB_G003</t>
  </si>
  <si>
    <t xml:space="preserve">11:25:00 AM</t>
  </si>
  <si>
    <t xml:space="preserve">LYFB_G004</t>
  </si>
  <si>
    <t xml:space="preserve">11:30:00 AM</t>
  </si>
  <si>
    <t xml:space="preserve">Photo taken after leaf punches</t>
  </si>
  <si>
    <t xml:space="preserve">LYFB_G005</t>
  </si>
  <si>
    <t xml:space="preserve">11:38:00 AM</t>
  </si>
  <si>
    <t xml:space="preserve">HUOB</t>
  </si>
  <si>
    <t xml:space="preserve">HUOB_G001</t>
  </si>
  <si>
    <t xml:space="preserve">5/12/2021</t>
  </si>
  <si>
    <t xml:space="preserve">2:00:00 PM</t>
  </si>
  <si>
    <t xml:space="preserve">5/13/2021</t>
  </si>
  <si>
    <t xml:space="preserve">11:18:00 AM</t>
  </si>
  <si>
    <t xml:space="preserve">HUOB_G002</t>
  </si>
  <si>
    <t xml:space="preserve">HUOB_G003</t>
  </si>
  <si>
    <t xml:space="preserve">HUOB_G004</t>
  </si>
  <si>
    <t xml:space="preserve">HUOB_G005</t>
  </si>
  <si>
    <t xml:space="preserve">11:36:00 AM</t>
  </si>
  <si>
    <t xml:space="preserve">M. nasutus</t>
  </si>
  <si>
    <t xml:space="preserve">HUOB_N001</t>
  </si>
  <si>
    <t xml:space="preserve">HUOB_N002</t>
  </si>
  <si>
    <t xml:space="preserve">HUOB_N003</t>
  </si>
  <si>
    <t xml:space="preserve">11:43:00 AM</t>
  </si>
  <si>
    <t xml:space="preserve">HUOB_N004</t>
  </si>
  <si>
    <t xml:space="preserve">HUOB_N005</t>
  </si>
  <si>
    <t xml:space="preserve">11:49:00 AM</t>
  </si>
  <si>
    <t xml:space="preserve">HULB</t>
  </si>
  <si>
    <t xml:space="preserve">HULB_L1</t>
  </si>
  <si>
    <t xml:space="preserve">HULB_L001</t>
  </si>
  <si>
    <t xml:space="preserve">6/2/2021</t>
  </si>
  <si>
    <t xml:space="preserve">11:00:00 AM</t>
  </si>
  <si>
    <t xml:space="preserve">6/3/2021</t>
  </si>
  <si>
    <t xml:space="preserve">12:27:00 PM</t>
  </si>
  <si>
    <t xml:space="preserve">HULB_L2</t>
  </si>
  <si>
    <t xml:space="preserve">HULB_L002</t>
  </si>
  <si>
    <t xml:space="preserve">12:34:00 PM</t>
  </si>
  <si>
    <t xml:space="preserve">HULB_L3</t>
  </si>
  <si>
    <t xml:space="preserve">HULB_L003</t>
  </si>
  <si>
    <t xml:space="preserve">12:36:00 PM</t>
  </si>
  <si>
    <t xml:space="preserve">HULB_L4</t>
  </si>
  <si>
    <t xml:space="preserve">HULB_L004</t>
  </si>
  <si>
    <t xml:space="preserve">12:38:00 PM</t>
  </si>
  <si>
    <t xml:space="preserve">HULB_L5</t>
  </si>
  <si>
    <t xml:space="preserve">HULB_L005</t>
  </si>
  <si>
    <t xml:space="preserve">12:41:00 PM</t>
  </si>
  <si>
    <t xml:space="preserve">HULB_G1</t>
  </si>
  <si>
    <t xml:space="preserve">HULB_G001</t>
  </si>
  <si>
    <t xml:space="preserve">11:11:00 PM</t>
  </si>
  <si>
    <t xml:space="preserve">HULB_G2</t>
  </si>
  <si>
    <t xml:space="preserve">HULB_G002</t>
  </si>
  <si>
    <t xml:space="preserve">1:13:00 PM</t>
  </si>
  <si>
    <t xml:space="preserve">HULB_G3</t>
  </si>
  <si>
    <t xml:space="preserve">HULB_G003</t>
  </si>
  <si>
    <t xml:space="preserve">HULB_G4</t>
  </si>
  <si>
    <t xml:space="preserve">HULB_G004</t>
  </si>
  <si>
    <t xml:space="preserve">1:16:00 PM</t>
  </si>
  <si>
    <t xml:space="preserve">HULB_G5</t>
  </si>
  <si>
    <t xml:space="preserve">HULB_G005</t>
  </si>
  <si>
    <t xml:space="preserve">1:18:00 PM</t>
  </si>
  <si>
    <t xml:space="preserve">LM</t>
  </si>
  <si>
    <t xml:space="preserve">LM_G1</t>
  </si>
  <si>
    <t xml:space="preserve">LMZZ_G001</t>
  </si>
  <si>
    <t xml:space="preserve">6/24/2021</t>
  </si>
  <si>
    <t xml:space="preserve">6/25/2021</t>
  </si>
  <si>
    <t xml:space="preserve">8:15:00 AM</t>
  </si>
  <si>
    <t xml:space="preserve">LM_G2</t>
  </si>
  <si>
    <t xml:space="preserve">LMZZ_G002</t>
  </si>
  <si>
    <t xml:space="preserve">LM_G3</t>
  </si>
  <si>
    <t xml:space="preserve">LMZZ_G003</t>
  </si>
  <si>
    <t xml:space="preserve">8:31:00 AM</t>
  </si>
  <si>
    <t xml:space="preserve">LM_G4</t>
  </si>
  <si>
    <t xml:space="preserve">LMZZ_G004</t>
  </si>
  <si>
    <t xml:space="preserve">LM_G5</t>
  </si>
  <si>
    <t xml:space="preserve">LMZZ_G005</t>
  </si>
  <si>
    <t xml:space="preserve">8:34:00 AM</t>
  </si>
  <si>
    <t xml:space="preserve">LM_G6</t>
  </si>
  <si>
    <t xml:space="preserve">LMZZ_G006</t>
  </si>
  <si>
    <t xml:space="preserve">LM_G7</t>
  </si>
  <si>
    <t xml:space="preserve">LMZZ_G007</t>
  </si>
  <si>
    <t xml:space="preserve">8:40:00 AM</t>
  </si>
  <si>
    <t xml:space="preserve">LM_G8</t>
  </si>
  <si>
    <t xml:space="preserve">LMZZ_G008</t>
  </si>
  <si>
    <t xml:space="preserve">LM_G9</t>
  </si>
  <si>
    <t xml:space="preserve">LMZZ_G009</t>
  </si>
  <si>
    <t xml:space="preserve">8:45:00 AM</t>
  </si>
  <si>
    <t xml:space="preserve">LM_G10</t>
  </si>
  <si>
    <t xml:space="preserve">LMZZ_G010</t>
  </si>
  <si>
    <t xml:space="preserve">CF</t>
  </si>
  <si>
    <t xml:space="preserve">CF_G1</t>
  </si>
  <si>
    <t xml:space="preserve">CFZZ_G001</t>
  </si>
  <si>
    <t xml:space="preserve">8:52:00 AM</t>
  </si>
  <si>
    <t xml:space="preserve">CF_G2</t>
  </si>
  <si>
    <t xml:space="preserve">CFZZ_G002</t>
  </si>
  <si>
    <t xml:space="preserve">8:55:00 AM</t>
  </si>
  <si>
    <t xml:space="preserve">CF_G3</t>
  </si>
  <si>
    <t xml:space="preserve">CFZZ_G003</t>
  </si>
  <si>
    <t xml:space="preserve">8:59:00 AM</t>
  </si>
  <si>
    <t xml:space="preserve">CF_G4</t>
  </si>
  <si>
    <t xml:space="preserve">CFZZ_G004</t>
  </si>
  <si>
    <t xml:space="preserve">9:01:00 AM</t>
  </si>
  <si>
    <t xml:space="preserve">CF_G5</t>
  </si>
  <si>
    <t xml:space="preserve">CFZZ_G005</t>
  </si>
  <si>
    <t xml:space="preserve">9:11:00 AM</t>
  </si>
  <si>
    <t xml:space="preserve">CF_G6</t>
  </si>
  <si>
    <t xml:space="preserve">CFZZ_G006</t>
  </si>
  <si>
    <t xml:space="preserve">9:15:00 AM</t>
  </si>
  <si>
    <t xml:space="preserve">CF_G7</t>
  </si>
  <si>
    <t xml:space="preserve">CFZZ_G007</t>
  </si>
  <si>
    <t xml:space="preserve">9:18:00 AM</t>
  </si>
  <si>
    <t xml:space="preserve">CF_G8</t>
  </si>
  <si>
    <t xml:space="preserve">CFZZ_G008</t>
  </si>
  <si>
    <t xml:space="preserve">9:21:00 AM</t>
  </si>
  <si>
    <t xml:space="preserve">CF_G9</t>
  </si>
  <si>
    <t xml:space="preserve">CFZZ_G009</t>
  </si>
  <si>
    <t xml:space="preserve">9:23:00 AM</t>
  </si>
  <si>
    <t xml:space="preserve">CF_G10</t>
  </si>
  <si>
    <t xml:space="preserve">CFZZ_G010</t>
  </si>
  <si>
    <t xml:space="preserve">9:26:00 AM</t>
  </si>
  <si>
    <t xml:space="preserve">HHBB</t>
  </si>
  <si>
    <t xml:space="preserve">HHBB_L001</t>
  </si>
  <si>
    <t xml:space="preserve">4/20/2022</t>
  </si>
  <si>
    <t xml:space="preserve">1:22:00 PM</t>
  </si>
  <si>
    <t xml:space="preserve">4/21/2022</t>
  </si>
  <si>
    <t xml:space="preserve">10:41:00 AM</t>
  </si>
  <si>
    <t xml:space="preserve">LMA yes</t>
  </si>
  <si>
    <t xml:space="preserve">YELLOW</t>
  </si>
  <si>
    <t xml:space="preserve">HHBB_L002</t>
  </si>
  <si>
    <t xml:space="preserve">10:49:00 AM</t>
  </si>
  <si>
    <t xml:space="preserve">too small for destructive measurements</t>
  </si>
  <si>
    <t xml:space="preserve">HHBB_L003</t>
  </si>
  <si>
    <t xml:space="preserve">10:52:00 AM</t>
  </si>
  <si>
    <t xml:space="preserve">HHBB_L004</t>
  </si>
  <si>
    <t xml:space="preserve">10:57:00 AM</t>
  </si>
  <si>
    <t xml:space="preserve">HHBB_L005</t>
  </si>
  <si>
    <t xml:space="preserve">HHBB_L006</t>
  </si>
  <si>
    <t xml:space="preserve">11:05:00 AM</t>
  </si>
  <si>
    <t xml:space="preserve">HHBB_L007</t>
  </si>
  <si>
    <t xml:space="preserve">11:08:00 AM</t>
  </si>
  <si>
    <t xml:space="preserve">HHBB_L008</t>
  </si>
  <si>
    <t xml:space="preserve">HHBB_L009</t>
  </si>
  <si>
    <t xml:space="preserve">HHBB_L010</t>
  </si>
  <si>
    <t xml:space="preserve">11:31:00 AM</t>
  </si>
  <si>
    <t xml:space="preserve">HHBB_G001</t>
  </si>
  <si>
    <t xml:space="preserve">11:46:00 AM</t>
  </si>
  <si>
    <t xml:space="preserve">LMA yes for all G</t>
  </si>
  <si>
    <t xml:space="preserve">HHBB_G002</t>
  </si>
  <si>
    <t xml:space="preserve">HHBB_G003</t>
  </si>
  <si>
    <t xml:space="preserve">12:37:00 PM</t>
  </si>
  <si>
    <t xml:space="preserve">HHBB_G004</t>
  </si>
  <si>
    <t xml:space="preserve">HHBB_G005</t>
  </si>
  <si>
    <t xml:space="preserve">12:44:00 PM</t>
  </si>
  <si>
    <t xml:space="preserve">HHBB_G006</t>
  </si>
  <si>
    <t xml:space="preserve">12:48:00 PM</t>
  </si>
  <si>
    <t xml:space="preserve">HHBB_G007</t>
  </si>
  <si>
    <t xml:space="preserve">12:52:00 PM</t>
  </si>
  <si>
    <t xml:space="preserve">HHBB_G008</t>
  </si>
  <si>
    <t xml:space="preserve">12:55:00 PM</t>
  </si>
  <si>
    <t xml:space="preserve">HHBB_G009</t>
  </si>
  <si>
    <t xml:space="preserve">1:02:00 PM</t>
  </si>
  <si>
    <t xml:space="preserve">HHBB_G010</t>
  </si>
  <si>
    <t xml:space="preserve">potential hybrid</t>
  </si>
  <si>
    <t xml:space="preserve">BHEB</t>
  </si>
  <si>
    <t xml:space="preserve">BHEB_G001</t>
  </si>
  <si>
    <t xml:space="preserve">4/22/2022</t>
  </si>
  <si>
    <t xml:space="preserve">10:50:00 AM</t>
  </si>
  <si>
    <t xml:space="preserve">4/23/2022</t>
  </si>
  <si>
    <t xml:space="preserve">12:43:00 PM</t>
  </si>
  <si>
    <t xml:space="preserve">BHEB_G002</t>
  </si>
  <si>
    <t xml:space="preserve">12:49:00 PM</t>
  </si>
  <si>
    <t xml:space="preserve">BHEB_G003</t>
  </si>
  <si>
    <t xml:space="preserve">12:56:00 PM</t>
  </si>
  <si>
    <t xml:space="preserve">BHEB_G004</t>
  </si>
  <si>
    <t xml:space="preserve">1:01:00 PM</t>
  </si>
  <si>
    <t xml:space="preserve">BHEB_G005</t>
  </si>
  <si>
    <t xml:space="preserve">1:06:00 PM</t>
  </si>
  <si>
    <t xml:space="preserve">BHEB_G006</t>
  </si>
  <si>
    <t xml:space="preserve">1:14:00 PM</t>
  </si>
  <si>
    <t xml:space="preserve">BHEB_G007</t>
  </si>
  <si>
    <t xml:space="preserve">1:20:00 PM</t>
  </si>
  <si>
    <t xml:space="preserve">BHEB_G008</t>
  </si>
  <si>
    <t xml:space="preserve">1:26:00 PM</t>
  </si>
  <si>
    <t xml:space="preserve">BHEB_G009</t>
  </si>
  <si>
    <t xml:space="preserve">1:33:00 PM</t>
  </si>
  <si>
    <t xml:space="preserve">BHEB_G010</t>
  </si>
  <si>
    <t xml:space="preserve">1:38:00 PM</t>
  </si>
  <si>
    <t xml:space="preserve">BHEB_N001</t>
  </si>
  <si>
    <t xml:space="preserve">1:47:00 PM</t>
  </si>
  <si>
    <t xml:space="preserve">BHEB_N002</t>
  </si>
  <si>
    <t xml:space="preserve">1:52:00 PM</t>
  </si>
  <si>
    <t xml:space="preserve">BHEB_N003</t>
  </si>
  <si>
    <t xml:space="preserve">1:56:00 PM</t>
  </si>
  <si>
    <t xml:space="preserve">BHEB_N004</t>
  </si>
  <si>
    <t xml:space="preserve">2:03:00 PM</t>
  </si>
  <si>
    <t xml:space="preserve">BHEB_N005</t>
  </si>
  <si>
    <t xml:space="preserve">2:07:00 PM</t>
  </si>
  <si>
    <t xml:space="preserve">BHEB_N006</t>
  </si>
  <si>
    <t xml:space="preserve">2:14:00 PM</t>
  </si>
  <si>
    <t xml:space="preserve">BHEB_N007</t>
  </si>
  <si>
    <t xml:space="preserve">2:20:00 PM</t>
  </si>
  <si>
    <t xml:space="preserve">BHEB_N008</t>
  </si>
  <si>
    <t xml:space="preserve">2:28:00 PM</t>
  </si>
  <si>
    <t xml:space="preserve">AGFB</t>
  </si>
  <si>
    <t xml:space="preserve">AGFB_N001</t>
  </si>
  <si>
    <t xml:space="preserve">AGFB_N002</t>
  </si>
  <si>
    <t xml:space="preserve">2:45:00 PM</t>
  </si>
  <si>
    <t xml:space="preserve">AGFB_N003</t>
  </si>
  <si>
    <t xml:space="preserve">2:53:00 PM</t>
  </si>
  <si>
    <t xml:space="preserve">AGFB_N004</t>
  </si>
  <si>
    <t xml:space="preserve">2:58:00 PM</t>
  </si>
  <si>
    <t xml:space="preserve">Too small</t>
  </si>
  <si>
    <t xml:space="preserve">AGFB_N005</t>
  </si>
  <si>
    <t xml:space="preserve">3:04:00 PM</t>
  </si>
  <si>
    <t xml:space="preserve">AGFB_N006</t>
  </si>
  <si>
    <t xml:space="preserve">3:09:00 PM</t>
  </si>
  <si>
    <t xml:space="preserve">AGFB_N007</t>
  </si>
  <si>
    <t xml:space="preserve">3:13:00 PM</t>
  </si>
  <si>
    <t xml:space="preserve">AGFB_N008</t>
  </si>
  <si>
    <t xml:space="preserve">3:17:00 PM</t>
  </si>
  <si>
    <t xml:space="preserve">AGFB_N009</t>
  </si>
  <si>
    <t xml:space="preserve">3:22:00 PM</t>
  </si>
  <si>
    <t xml:space="preserve">AGFB_N010</t>
  </si>
  <si>
    <t xml:space="preserve">3:28:00 PM</t>
  </si>
  <si>
    <t xml:space="preserve">AGFB_L001</t>
  </si>
  <si>
    <t xml:space="preserve">3:48:00 PM</t>
  </si>
  <si>
    <t xml:space="preserve">AGFB_L002</t>
  </si>
  <si>
    <t xml:space="preserve">3:57:00 PM</t>
  </si>
  <si>
    <t xml:space="preserve">SHADOW MINOR</t>
  </si>
  <si>
    <t xml:space="preserve">AGFB_L003</t>
  </si>
  <si>
    <t xml:space="preserve">4:03:00 PM</t>
  </si>
  <si>
    <t xml:space="preserve">MINOR SHADOW</t>
  </si>
  <si>
    <t xml:space="preserve">AGFB_L004</t>
  </si>
  <si>
    <t xml:space="preserve">4:11:00 PM</t>
  </si>
  <si>
    <t xml:space="preserve">SMALL SHADOW</t>
  </si>
  <si>
    <t xml:space="preserve">AGFB_L005</t>
  </si>
  <si>
    <t xml:space="preserve">4:17:00 PM</t>
  </si>
  <si>
    <t xml:space="preserve">SMALLER SHADOW</t>
  </si>
  <si>
    <t xml:space="preserve">AGFB_L006</t>
  </si>
  <si>
    <t xml:space="preserve">4:24:00 PM</t>
  </si>
  <si>
    <t xml:space="preserve">AGFB_L007</t>
  </si>
  <si>
    <t xml:space="preserve">4:32:00 PM</t>
  </si>
  <si>
    <t xml:space="preserve">BIG SHADOW PROBLEM</t>
  </si>
  <si>
    <t xml:space="preserve">AGFB_L008</t>
  </si>
  <si>
    <t xml:space="preserve">AGFB_L009</t>
  </si>
  <si>
    <t xml:space="preserve">4:48:00 PM</t>
  </si>
  <si>
    <t xml:space="preserve">AGFB_L010</t>
  </si>
  <si>
    <t xml:space="preserve">4:54:00 PM</t>
  </si>
  <si>
    <t xml:space="preserve">AGFB_L011</t>
  </si>
  <si>
    <t xml:space="preserve">4:59:00 PM</t>
  </si>
  <si>
    <t xml:space="preserve">TRT</t>
  </si>
  <si>
    <t xml:space="preserve">TRTZ_L001</t>
  </si>
  <si>
    <t xml:space="preserve">5/2/2022</t>
  </si>
  <si>
    <t xml:space="preserve">5/3/2022</t>
  </si>
  <si>
    <t xml:space="preserve">9:37:00 AM</t>
  </si>
  <si>
    <t xml:space="preserve">TRTZ_L002</t>
  </si>
  <si>
    <t xml:space="preserve">9:56:00 AM</t>
  </si>
  <si>
    <t xml:space="preserve">TRTZ_L003</t>
  </si>
  <si>
    <t xml:space="preserve">10:03:00 AM</t>
  </si>
  <si>
    <t xml:space="preserve">TRTZ_L004</t>
  </si>
  <si>
    <t xml:space="preserve">10:09:00 AM</t>
  </si>
  <si>
    <t xml:space="preserve">TRTZ_L005</t>
  </si>
  <si>
    <t xml:space="preserve">10:15:00 AM</t>
  </si>
  <si>
    <t xml:space="preserve">TRTZ_L006</t>
  </si>
  <si>
    <t xml:space="preserve">10:20:00 AM</t>
  </si>
  <si>
    <t xml:space="preserve">TRTZ_L007</t>
  </si>
  <si>
    <t xml:space="preserve">10:26:00 AM</t>
  </si>
  <si>
    <t xml:space="preserve">TRTZ_L008</t>
  </si>
  <si>
    <t xml:space="preserve">10:32:00 AM</t>
  </si>
  <si>
    <t xml:space="preserve">TRTZ_L009</t>
  </si>
  <si>
    <t xml:space="preserve">10:37:00 AM</t>
  </si>
  <si>
    <t xml:space="preserve">TRTZ_L010</t>
  </si>
  <si>
    <t xml:space="preserve">TWGB</t>
  </si>
  <si>
    <t xml:space="preserve">TWGB_G001</t>
  </si>
  <si>
    <t xml:space="preserve">10:56:00 AM</t>
  </si>
  <si>
    <t xml:space="preserve">TWGB_G002</t>
  </si>
  <si>
    <t xml:space="preserve">11:01:00 AM</t>
  </si>
  <si>
    <t xml:space="preserve">TWGB_G003</t>
  </si>
  <si>
    <t xml:space="preserve">TWGB_G004</t>
  </si>
  <si>
    <t xml:space="preserve">11:09:00 AM</t>
  </si>
  <si>
    <t xml:space="preserve">IMAGEJ WON'T WORK</t>
  </si>
  <si>
    <t xml:space="preserve">SHADOW</t>
  </si>
  <si>
    <t xml:space="preserve">TWGB_G005</t>
  </si>
  <si>
    <t xml:space="preserve">TWGB_G006</t>
  </si>
  <si>
    <t xml:space="preserve">TWGB_G007</t>
  </si>
  <si>
    <t xml:space="preserve">11:24:00 AM</t>
  </si>
  <si>
    <t xml:space="preserve">TWGB_G008</t>
  </si>
  <si>
    <t xml:space="preserve">11:28:00 AM</t>
  </si>
  <si>
    <t xml:space="preserve">TWGB_G009</t>
  </si>
  <si>
    <t xml:space="preserve">11:32:00 AM</t>
  </si>
  <si>
    <t xml:space="preserve">CCRB</t>
  </si>
  <si>
    <t xml:space="preserve">CCRB_N001</t>
  </si>
  <si>
    <t xml:space="preserve">5/5/2022</t>
  </si>
  <si>
    <t xml:space="preserve">5/6/2022</t>
  </si>
  <si>
    <t xml:space="preserve">9:19:00 AM</t>
  </si>
  <si>
    <t xml:space="preserve">CCRB_N002</t>
  </si>
  <si>
    <t xml:space="preserve">CCRB_N003</t>
  </si>
  <si>
    <t xml:space="preserve">9:28:00 AM</t>
  </si>
  <si>
    <t xml:space="preserve">CCRB_N004</t>
  </si>
  <si>
    <t xml:space="preserve">9:41:00 AM</t>
  </si>
  <si>
    <t xml:space="preserve">CCRB_N005</t>
  </si>
  <si>
    <t xml:space="preserve">9:44:00 AM</t>
  </si>
  <si>
    <t xml:space="preserve">CCRB_N006</t>
  </si>
  <si>
    <t xml:space="preserve">9:47:00 AM</t>
  </si>
  <si>
    <t xml:space="preserve">CCRB_N007</t>
  </si>
  <si>
    <t xml:space="preserve">9:50:00 AM</t>
  </si>
  <si>
    <t xml:space="preserve">CCRB_N008</t>
  </si>
  <si>
    <t xml:space="preserve">9:55:00 AM</t>
  </si>
  <si>
    <t xml:space="preserve">CCRB_N009</t>
  </si>
  <si>
    <t xml:space="preserve">10:00:00 AM</t>
  </si>
  <si>
    <t xml:space="preserve">NFWB</t>
  </si>
  <si>
    <t xml:space="preserve">NFWB_L001</t>
  </si>
  <si>
    <t xml:space="preserve">5/12/2022</t>
  </si>
  <si>
    <t xml:space="preserve">12:00:00 PM</t>
  </si>
  <si>
    <t xml:space="preserve">5/13/2022</t>
  </si>
  <si>
    <t xml:space="preserve">GraniteSun</t>
  </si>
  <si>
    <t xml:space="preserve">NFWB_L002</t>
  </si>
  <si>
    <t xml:space="preserve">10:14:00 AM</t>
  </si>
  <si>
    <t xml:space="preserve">NFWB_L003</t>
  </si>
  <si>
    <t xml:space="preserve">10:19:00 AM</t>
  </si>
  <si>
    <t xml:space="preserve">NFWB_L004</t>
  </si>
  <si>
    <t xml:space="preserve">10:24:00 AM</t>
  </si>
  <si>
    <t xml:space="preserve">NFWB_L005</t>
  </si>
  <si>
    <t xml:space="preserve">10:28:00 AM</t>
  </si>
  <si>
    <t xml:space="preserve">NFWB_L006</t>
  </si>
  <si>
    <t xml:space="preserve">10:33:00 AM</t>
  </si>
  <si>
    <t xml:space="preserve">NFWB_L007</t>
  </si>
  <si>
    <t xml:space="preserve">NFWB_L008</t>
  </si>
  <si>
    <t xml:space="preserve">NFWB_L009</t>
  </si>
  <si>
    <t xml:space="preserve">10:46:00 AM</t>
  </si>
  <si>
    <t xml:space="preserve">NFWB_L010</t>
  </si>
  <si>
    <t xml:space="preserve">NFWB_N001</t>
  </si>
  <si>
    <t xml:space="preserve">11:07:00 AM</t>
  </si>
  <si>
    <t xml:space="preserve">GraniteShade</t>
  </si>
  <si>
    <t xml:space="preserve">Potential hybrid N/G</t>
  </si>
  <si>
    <t xml:space="preserve">NFWB_N002</t>
  </si>
  <si>
    <t xml:space="preserve">11:12:00 AM</t>
  </si>
  <si>
    <t xml:space="preserve">NFWB_N003</t>
  </si>
  <si>
    <t xml:space="preserve">11:16:00 AM</t>
  </si>
  <si>
    <t xml:space="preserve">NFWB_N004</t>
  </si>
  <si>
    <t xml:space="preserve">11:22:00 AM</t>
  </si>
  <si>
    <t xml:space="preserve">NFWB_N005</t>
  </si>
  <si>
    <t xml:space="preserve">11:26:00 AM</t>
  </si>
  <si>
    <t xml:space="preserve">NFWB_N006</t>
  </si>
  <si>
    <t xml:space="preserve">NFWB_N007</t>
  </si>
  <si>
    <t xml:space="preserve">11:37:00 AM</t>
  </si>
  <si>
    <t xml:space="preserve">NFWB_N008</t>
  </si>
  <si>
    <t xml:space="preserve">NFWB_N009</t>
  </si>
  <si>
    <t xml:space="preserve">NFWB_N010</t>
  </si>
  <si>
    <t xml:space="preserve">11:47:00 AM</t>
  </si>
  <si>
    <t xml:space="preserve">HDRB</t>
  </si>
  <si>
    <t xml:space="preserve">HDRB_G001</t>
  </si>
  <si>
    <t xml:space="preserve">1:50:00 PM</t>
  </si>
  <si>
    <t xml:space="preserve">11:56:00 AM</t>
  </si>
  <si>
    <t xml:space="preserve">Potential hybrid G/N</t>
  </si>
  <si>
    <t xml:space="preserve">HDRB_G002</t>
  </si>
  <si>
    <t xml:space="preserve">12:02:00 PM</t>
  </si>
  <si>
    <t xml:space="preserve">HDRB_G003</t>
  </si>
  <si>
    <t xml:space="preserve">12:06:00 PM</t>
  </si>
  <si>
    <t xml:space="preserve">HDRB_G004</t>
  </si>
  <si>
    <t xml:space="preserve">12:10:00 PM</t>
  </si>
  <si>
    <t xml:space="preserve">HDRB_G005</t>
  </si>
  <si>
    <t xml:space="preserve">12:13:00 PM</t>
  </si>
  <si>
    <t xml:space="preserve">HDRB_G006</t>
  </si>
  <si>
    <t xml:space="preserve">12:17:00 PM</t>
  </si>
  <si>
    <t xml:space="preserve">HDRB_G007</t>
  </si>
  <si>
    <t xml:space="preserve">12:21:00 PM</t>
  </si>
  <si>
    <t xml:space="preserve">HDRB_G008</t>
  </si>
  <si>
    <t xml:space="preserve">12:26:00 PM</t>
  </si>
  <si>
    <t xml:space="preserve">HDRB_G009</t>
  </si>
  <si>
    <t xml:space="preserve">12:30:00 PM</t>
  </si>
  <si>
    <t xml:space="preserve">HDRB_G010</t>
  </si>
  <si>
    <t xml:space="preserve">12:35:00 PM</t>
  </si>
  <si>
    <t xml:space="preserve">WCFB</t>
  </si>
  <si>
    <t xml:space="preserve">WCFB_L001</t>
  </si>
  <si>
    <t xml:space="preserve">3:40:00 PM</t>
  </si>
  <si>
    <t xml:space="preserve">1:17:00 PM</t>
  </si>
  <si>
    <t xml:space="preserve">WCFB_L002</t>
  </si>
  <si>
    <t xml:space="preserve">WCFB_L003</t>
  </si>
  <si>
    <t xml:space="preserve">1:25:00 PM</t>
  </si>
  <si>
    <t xml:space="preserve">WCFB_L004</t>
  </si>
  <si>
    <t xml:space="preserve">1:29:00 PM</t>
  </si>
  <si>
    <t xml:space="preserve">WCFB_L005</t>
  </si>
  <si>
    <t xml:space="preserve">WCFB_L006</t>
  </si>
  <si>
    <t xml:space="preserve">1:37:00 PM</t>
  </si>
  <si>
    <t xml:space="preserve">WCFB_L007</t>
  </si>
  <si>
    <t xml:space="preserve">1:43:00 PM</t>
  </si>
  <si>
    <t xml:space="preserve">WCFB_L008</t>
  </si>
  <si>
    <t xml:space="preserve">1:48:00 PM</t>
  </si>
  <si>
    <t xml:space="preserve">WCFB_L009</t>
  </si>
  <si>
    <t xml:space="preserve">1:53:00 PM</t>
  </si>
  <si>
    <t xml:space="preserve"> </t>
  </si>
  <si>
    <t xml:space="preserve">WCFB_L010</t>
  </si>
  <si>
    <t xml:space="preserve">1:58:00 PM</t>
  </si>
  <si>
    <t xml:space="preserve">WCFB_L011</t>
  </si>
  <si>
    <t xml:space="preserve">WCFB_G001</t>
  </si>
  <si>
    <t xml:space="preserve">2:12:00 PM</t>
  </si>
  <si>
    <t xml:space="preserve">Potential hybrid G/L</t>
  </si>
  <si>
    <t xml:space="preserve">WCFB_G002</t>
  </si>
  <si>
    <t xml:space="preserve">2:18:00 PM</t>
  </si>
  <si>
    <t xml:space="preserve">WCFB_G003</t>
  </si>
  <si>
    <t xml:space="preserve">2:22:00 PM</t>
  </si>
  <si>
    <t xml:space="preserve">WCFB_G004</t>
  </si>
  <si>
    <t xml:space="preserve">2:26:00 PM</t>
  </si>
  <si>
    <t xml:space="preserve">WCFB_G005</t>
  </si>
  <si>
    <t xml:space="preserve">2:30:00 PM</t>
  </si>
  <si>
    <t xml:space="preserve">Likely hybrid G/L</t>
  </si>
  <si>
    <t xml:space="preserve">WCFB_G006</t>
  </si>
  <si>
    <t xml:space="preserve">2:37:00 PM</t>
  </si>
  <si>
    <t xml:space="preserve">WCFB_G007</t>
  </si>
  <si>
    <t xml:space="preserve">2:41:00 PM</t>
  </si>
  <si>
    <t xml:space="preserve">WCFB_G008</t>
  </si>
  <si>
    <t xml:space="preserve">2:44:00 PM</t>
  </si>
  <si>
    <t xml:space="preserve">WCFB_G009</t>
  </si>
  <si>
    <t xml:space="preserve">2:48:00 PM</t>
  </si>
  <si>
    <t xml:space="preserve">WCFB_G010</t>
  </si>
  <si>
    <t xml:space="preserve">2:51:00 PM</t>
  </si>
  <si>
    <t xml:space="preserve">WCFB_G011</t>
  </si>
  <si>
    <t xml:space="preserve">2:55:00 PM</t>
  </si>
  <si>
    <t xml:space="preserve">WCFB_G012</t>
  </si>
  <si>
    <t xml:space="preserve">SDSB</t>
  </si>
  <si>
    <t xml:space="preserve">SDSB_G001</t>
  </si>
  <si>
    <t xml:space="preserve">5/21/2022</t>
  </si>
  <si>
    <t xml:space="preserve">2:56:00 PM</t>
  </si>
  <si>
    <t xml:space="preserve">5/22/2022</t>
  </si>
  <si>
    <t xml:space="preserve">SDSB_G002</t>
  </si>
  <si>
    <t xml:space="preserve">10:31:00 AM</t>
  </si>
  <si>
    <t xml:space="preserve">SDSB_G003</t>
  </si>
  <si>
    <t xml:space="preserve">SDSB_G004</t>
  </si>
  <si>
    <t xml:space="preserve">10:45:00 AM</t>
  </si>
  <si>
    <t xml:space="preserve">SDSB_G005</t>
  </si>
  <si>
    <t xml:space="preserve">10:53:00 AM</t>
  </si>
  <si>
    <t xml:space="preserve">SDSB_G006</t>
  </si>
  <si>
    <t xml:space="preserve">10:59:00 AM</t>
  </si>
  <si>
    <t xml:space="preserve">SDSB_G007</t>
  </si>
  <si>
    <t xml:space="preserve">11:06:00 AM</t>
  </si>
  <si>
    <t xml:space="preserve">SDSB_G008</t>
  </si>
  <si>
    <t xml:space="preserve">SDSB_G009</t>
  </si>
  <si>
    <t xml:space="preserve">SDSB_G010</t>
  </si>
  <si>
    <t xml:space="preserve">M. bicolor</t>
  </si>
  <si>
    <t xml:space="preserve">SDSB_B001</t>
  </si>
  <si>
    <t xml:space="preserve">SDSB_B002</t>
  </si>
  <si>
    <t xml:space="preserve">no lma</t>
  </si>
  <si>
    <t xml:space="preserve">SDSB_B003</t>
  </si>
  <si>
    <t xml:space="preserve">12:51:00 PM</t>
  </si>
  <si>
    <t xml:space="preserve">SDSB_B004</t>
  </si>
  <si>
    <t xml:space="preserve">SDSB_B005</t>
  </si>
  <si>
    <t xml:space="preserve">CCNB</t>
  </si>
  <si>
    <t xml:space="preserve">CCNB_G001</t>
  </si>
  <si>
    <t xml:space="preserve">2:19:00 PM</t>
  </si>
  <si>
    <t xml:space="preserve">CCNB_G002</t>
  </si>
  <si>
    <t xml:space="preserve">CCNB_G003</t>
  </si>
  <si>
    <t xml:space="preserve">2:36:00 PM</t>
  </si>
  <si>
    <t xml:space="preserve">CCNB_G004</t>
  </si>
  <si>
    <t xml:space="preserve">2:46:00 PM</t>
  </si>
  <si>
    <t xml:space="preserve">CCNB_G005</t>
  </si>
  <si>
    <t xml:space="preserve">CCNB_G006</t>
  </si>
  <si>
    <t xml:space="preserve">CCNB_G007</t>
  </si>
  <si>
    <t xml:space="preserve">3:10:00 PM</t>
  </si>
  <si>
    <t xml:space="preserve">CCNB_G008</t>
  </si>
  <si>
    <t xml:space="preserve">CCNB_G009</t>
  </si>
  <si>
    <t xml:space="preserve">3:23:00 PM</t>
  </si>
  <si>
    <t xml:space="preserve">CCNB_G010</t>
  </si>
  <si>
    <t xml:space="preserve">3:30:00 PM</t>
  </si>
  <si>
    <t xml:space="preserve">CCNB_G011</t>
  </si>
  <si>
    <t xml:space="preserve">3:37:00 PM</t>
  </si>
  <si>
    <t xml:space="preserve">CCNB_G012</t>
  </si>
  <si>
    <t xml:space="preserve">3:44:00 PM</t>
  </si>
  <si>
    <t xml:space="preserve">CCNB_B001</t>
  </si>
  <si>
    <t xml:space="preserve">3:55:00 PM</t>
  </si>
  <si>
    <t xml:space="preserve">CCNB_B002</t>
  </si>
  <si>
    <t xml:space="preserve">4:02:00 PM</t>
  </si>
  <si>
    <t xml:space="preserve">CCNB_B003</t>
  </si>
  <si>
    <t xml:space="preserve">4:09:00 PM</t>
  </si>
  <si>
    <t xml:space="preserve">CCNB_B004</t>
  </si>
  <si>
    <t xml:space="preserve">4:15:00 PM</t>
  </si>
  <si>
    <t xml:space="preserve">HUOB_G012</t>
  </si>
  <si>
    <t xml:space="preserve">5/25/2022</t>
  </si>
  <si>
    <t xml:space="preserve">5/26/2022</t>
  </si>
  <si>
    <t xml:space="preserve">HUOB_G022</t>
  </si>
  <si>
    <t xml:space="preserve">10:16:00 AM</t>
  </si>
  <si>
    <t xml:space="preserve">HUOB_G032</t>
  </si>
  <si>
    <t xml:space="preserve">10:22:00 AM</t>
  </si>
  <si>
    <t xml:space="preserve">HUOB_G042</t>
  </si>
  <si>
    <t xml:space="preserve">HUOB_G052</t>
  </si>
  <si>
    <t xml:space="preserve">10:34:00 AM</t>
  </si>
  <si>
    <t xml:space="preserve">HUOB_G062</t>
  </si>
  <si>
    <t xml:space="preserve">HUOB_G072</t>
  </si>
  <si>
    <t xml:space="preserve">HUOB_G082</t>
  </si>
  <si>
    <t xml:space="preserve">HUOB_G092</t>
  </si>
  <si>
    <t xml:space="preserve">HUOB_G102</t>
  </si>
  <si>
    <t xml:space="preserve">11:04:00 AM</t>
  </si>
  <si>
    <t xml:space="preserve">HUOB_G112</t>
  </si>
  <si>
    <t xml:space="preserve">11:17:00 AM</t>
  </si>
  <si>
    <t xml:space="preserve">HUOB_G122</t>
  </si>
  <si>
    <t xml:space="preserve">11:21:00 AM</t>
  </si>
  <si>
    <t xml:space="preserve">WSHB</t>
  </si>
  <si>
    <t xml:space="preserve">WSHB_G001</t>
  </si>
  <si>
    <t xml:space="preserve">9:30:00 AM</t>
  </si>
  <si>
    <t xml:space="preserve">WSHB_G002</t>
  </si>
  <si>
    <t xml:space="preserve">11:41:00 AM</t>
  </si>
  <si>
    <t xml:space="preserve">WSHB_G003</t>
  </si>
  <si>
    <t xml:space="preserve">WSHB_G004</t>
  </si>
  <si>
    <t xml:space="preserve">11:53:00 AM</t>
  </si>
  <si>
    <t xml:space="preserve">WSHB_G005</t>
  </si>
  <si>
    <t xml:space="preserve">11:59:00 AM</t>
  </si>
  <si>
    <t xml:space="preserve">WSHB_G006</t>
  </si>
  <si>
    <t xml:space="preserve">12:09:00 PM</t>
  </si>
  <si>
    <t xml:space="preserve">WSHB_G007</t>
  </si>
  <si>
    <t xml:space="preserve">12:16:00 PM</t>
  </si>
  <si>
    <t xml:space="preserve">WSHB_G008</t>
  </si>
  <si>
    <t xml:space="preserve">12:22:00 PM</t>
  </si>
  <si>
    <t xml:space="preserve">WSHB_G009</t>
  </si>
  <si>
    <t xml:space="preserve">WSHB_G010</t>
  </si>
  <si>
    <t xml:space="preserve">WSHB_G011</t>
  </si>
  <si>
    <t xml:space="preserve">OSKB</t>
  </si>
  <si>
    <t xml:space="preserve">OSKB_L001</t>
  </si>
  <si>
    <t xml:space="preserve">6/2/2022</t>
  </si>
  <si>
    <t xml:space="preserve">12:20:00 PM</t>
  </si>
  <si>
    <t xml:space="preserve">6/3/2022</t>
  </si>
  <si>
    <t xml:space="preserve">ACI measurement unreliable and no LMA</t>
  </si>
  <si>
    <t xml:space="preserve">OSKB_L002</t>
  </si>
  <si>
    <t xml:space="preserve">9:31:00 AM</t>
  </si>
  <si>
    <t xml:space="preserve">no lma/no ACI</t>
  </si>
  <si>
    <t xml:space="preserve">OSKB_L003</t>
  </si>
  <si>
    <t xml:space="preserve">9:38:00 AM</t>
  </si>
  <si>
    <t xml:space="preserve">OSKB_L004</t>
  </si>
  <si>
    <t xml:space="preserve">9:46:00 AM</t>
  </si>
  <si>
    <t xml:space="preserve">OSKB_L005</t>
  </si>
  <si>
    <t xml:space="preserve">9:52:00 AM</t>
  </si>
  <si>
    <t xml:space="preserve">OSKB_L006</t>
  </si>
  <si>
    <t xml:space="preserve">9:59:00 AM</t>
  </si>
  <si>
    <t xml:space="preserve">OSKB_L007</t>
  </si>
  <si>
    <t xml:space="preserve">10:05:00 AM</t>
  </si>
  <si>
    <t xml:space="preserve">no lma/no ACI/no toughness</t>
  </si>
  <si>
    <t xml:space="preserve">SPLB</t>
  </si>
  <si>
    <t xml:space="preserve">SPLB_L001</t>
  </si>
  <si>
    <t xml:space="preserve">11:58:00 AM</t>
  </si>
  <si>
    <t xml:space="preserve">10:17:00 AM</t>
  </si>
  <si>
    <t xml:space="preserve">SPLB_L002</t>
  </si>
  <si>
    <t xml:space="preserve">10:25:00 AM</t>
  </si>
  <si>
    <t xml:space="preserve">SPLB_L003</t>
  </si>
  <si>
    <t xml:space="preserve">SPLB_L004</t>
  </si>
  <si>
    <t xml:space="preserve">10:40:00 AM</t>
  </si>
  <si>
    <t xml:space="preserve">SPLB_L005</t>
  </si>
  <si>
    <t xml:space="preserve">SPLB_L006</t>
  </si>
  <si>
    <t xml:space="preserve">SPLB_L007</t>
  </si>
  <si>
    <t xml:space="preserve">SPLB_L008</t>
  </si>
  <si>
    <t xml:space="preserve">SPLB_L009</t>
  </si>
  <si>
    <t xml:space="preserve">YCNB</t>
  </si>
  <si>
    <t xml:space="preserve">YCNB_L001</t>
  </si>
  <si>
    <t xml:space="preserve">YCNB_L002</t>
  </si>
  <si>
    <t xml:space="preserve">12:18:00 PM</t>
  </si>
  <si>
    <t xml:space="preserve">YCNB_L003</t>
  </si>
  <si>
    <t xml:space="preserve">YCNB_L004</t>
  </si>
  <si>
    <t xml:space="preserve">YCNB_L005</t>
  </si>
  <si>
    <t xml:space="preserve">12:42:00 PM</t>
  </si>
  <si>
    <t xml:space="preserve">YCNB_L006</t>
  </si>
  <si>
    <t xml:space="preserve">YCNB_L007</t>
  </si>
  <si>
    <t xml:space="preserve">12:53:00 PM</t>
  </si>
  <si>
    <t xml:space="preserve">YCNB_L008</t>
  </si>
  <si>
    <t xml:space="preserve">12:59:00 PM</t>
  </si>
  <si>
    <t xml:space="preserve">YCNB_L009</t>
  </si>
  <si>
    <t xml:space="preserve">1:04:00 PM</t>
  </si>
  <si>
    <t xml:space="preserve">YCNB_L010</t>
  </si>
  <si>
    <t xml:space="preserve">1:09:00 PM</t>
  </si>
  <si>
    <t xml:space="preserve">KNOB</t>
  </si>
  <si>
    <t xml:space="preserve">KNOB_L001</t>
  </si>
  <si>
    <t xml:space="preserve">6/14/2022</t>
  </si>
  <si>
    <t xml:space="preserve">4:00:00 PM</t>
  </si>
  <si>
    <t xml:space="preserve">6/15/2022</t>
  </si>
  <si>
    <t xml:space="preserve">10:06:00 AM</t>
  </si>
  <si>
    <t xml:space="preserve">KNOB_L002</t>
  </si>
  <si>
    <t xml:space="preserve">KNOB_L003</t>
  </si>
  <si>
    <t xml:space="preserve">KNOB_L004</t>
  </si>
  <si>
    <t xml:space="preserve">KNOB_L005</t>
  </si>
  <si>
    <t xml:space="preserve">KNOB_L006</t>
  </si>
  <si>
    <t xml:space="preserve">KNOB_L007</t>
  </si>
  <si>
    <t xml:space="preserve">11:13:00 AM</t>
  </si>
  <si>
    <t xml:space="preserve">KNOB_L008</t>
  </si>
  <si>
    <t xml:space="preserve">KNOB_L009</t>
  </si>
  <si>
    <t xml:space="preserve">KNOB_L010</t>
  </si>
  <si>
    <t xml:space="preserve">OPN</t>
  </si>
  <si>
    <t xml:space="preserve">OPNZ_L101</t>
  </si>
  <si>
    <t xml:space="preserve">4:20:00 PM</t>
  </si>
  <si>
    <t xml:space="preserve">OPNZ_L102</t>
  </si>
  <si>
    <t xml:space="preserve">OPNZ_L103</t>
  </si>
  <si>
    <t xml:space="preserve">OPNZ_L104</t>
  </si>
  <si>
    <t xml:space="preserve">OPNZ_L105</t>
  </si>
  <si>
    <t xml:space="preserve">1:08:00 PM</t>
  </si>
  <si>
    <t xml:space="preserve">OPNZ_L106</t>
  </si>
  <si>
    <t xml:space="preserve">OPNZ_L107</t>
  </si>
  <si>
    <t xml:space="preserve">OPNZ_L108</t>
  </si>
  <si>
    <t xml:space="preserve">1:31:00 PM</t>
  </si>
  <si>
    <t xml:space="preserve">OPNZ_L109</t>
  </si>
  <si>
    <t xml:space="preserve">1:40:00 PM</t>
  </si>
  <si>
    <t xml:space="preserve">OPNZ_L110</t>
  </si>
  <si>
    <t xml:space="preserve">1:46:00 PM</t>
  </si>
  <si>
    <t xml:space="preserve">no ACI</t>
  </si>
  <si>
    <t xml:space="preserve">OPNZ_L001</t>
  </si>
  <si>
    <t xml:space="preserve">7/17/2021</t>
  </si>
  <si>
    <t xml:space="preserve">OPNZ_L002</t>
  </si>
  <si>
    <t xml:space="preserve">OPNZ_L003</t>
  </si>
  <si>
    <t xml:space="preserve">OPNZ_L004</t>
  </si>
  <si>
    <t xml:space="preserve">OPNZ_L005</t>
  </si>
  <si>
    <t xml:space="preserve">OPNZ_L006</t>
  </si>
  <si>
    <t xml:space="preserve">OPNZ_L007</t>
  </si>
  <si>
    <t xml:space="preserve">OPNZ_L008</t>
  </si>
  <si>
    <t xml:space="preserve">OPNZ_L009</t>
  </si>
  <si>
    <t xml:space="preserve">OPNZ_L010</t>
  </si>
  <si>
    <t xml:space="preserve">C8262022</t>
  </si>
  <si>
    <t xml:space="preserve">C9302022</t>
  </si>
  <si>
    <t xml:space="preserve">C10082022</t>
  </si>
  <si>
    <t xml:space="preserve">C11052022</t>
  </si>
  <si>
    <t xml:space="preserve">CA12192022</t>
  </si>
  <si>
    <t xml:space="preserve">P1PCR1NEG</t>
  </si>
  <si>
    <t xml:space="preserve">P1PCR2NEG</t>
  </si>
  <si>
    <t xml:space="preserve">C12192022</t>
  </si>
  <si>
    <t xml:space="preserve">CA1122023</t>
  </si>
  <si>
    <t xml:space="preserve">CB1122023</t>
  </si>
  <si>
    <t xml:space="preserve">C1192023</t>
  </si>
  <si>
    <t xml:space="preserve">C2042023</t>
  </si>
  <si>
    <t xml:space="preserve">C3142023</t>
  </si>
  <si>
    <t xml:space="preserve">P2PCR1NEG</t>
  </si>
  <si>
    <t xml:space="preserve">P2PCR2NEG</t>
  </si>
  <si>
    <t xml:space="preserve">BHEB_N208</t>
  </si>
  <si>
    <t xml:space="preserve">WSHB_G205</t>
  </si>
  <si>
    <t xml:space="preserve">Site_name</t>
  </si>
  <si>
    <t xml:space="preserve">Forest_Park</t>
  </si>
  <si>
    <t xml:space="preserve">Elevation_ft</t>
  </si>
  <si>
    <t xml:space="preserve">#M.laciniatus</t>
  </si>
  <si>
    <t xml:space="preserve">#M.guttatus</t>
  </si>
  <si>
    <t xml:space="preserve">#M.nasutus</t>
  </si>
  <si>
    <t xml:space="preserve">#M.bicolor</t>
  </si>
  <si>
    <t xml:space="preserve">Sympatric(Y/N)</t>
  </si>
  <si>
    <t xml:space="preserve">Bretz Mill Road</t>
  </si>
  <si>
    <t xml:space="preserve">Sierra_National_Forest</t>
  </si>
  <si>
    <t xml:space="preserve">BMLZ</t>
  </si>
  <si>
    <t xml:space="preserve">*aka: BML2019</t>
  </si>
  <si>
    <t xml:space="preserve">Shaver Lake</t>
  </si>
  <si>
    <t xml:space="preserve">SHLZ</t>
  </si>
  <si>
    <t xml:space="preserve">*aka: SHL2019</t>
  </si>
  <si>
    <t xml:space="preserve">Yosemite_National_Park</t>
  </si>
  <si>
    <t xml:space="preserve">N</t>
  </si>
  <si>
    <t xml:space="preserve">Lower Yosemite Falls Trail</t>
  </si>
  <si>
    <t xml:space="preserve">Huntington Lake Overview</t>
  </si>
  <si>
    <t xml:space="preserve">SUMMARY TABLE</t>
  </si>
  <si>
    <t xml:space="preserve">Elevation</t>
  </si>
  <si>
    <t xml:space="preserve">Huntington Lake</t>
  </si>
  <si>
    <t xml:space="preserve">MIN</t>
  </si>
  <si>
    <t xml:space="preserve">Little Meadow</t>
  </si>
  <si>
    <t xml:space="preserve">LMZZ</t>
  </si>
  <si>
    <t xml:space="preserve">MAX</t>
  </si>
  <si>
    <t xml:space="preserve">Crane Flat</t>
  </si>
  <si>
    <t xml:space="preserve">CFZZ</t>
  </si>
  <si>
    <t xml:space="preserve">TOTAL per Species</t>
  </si>
  <si>
    <t xml:space="preserve">13(N) 11(Y)</t>
  </si>
  <si>
    <t xml:space="preserve">Angel Falls</t>
  </si>
  <si>
    <t xml:space="preserve">TOTAL # sites</t>
  </si>
  <si>
    <t xml:space="preserve">Bald Mountain</t>
  </si>
  <si>
    <t xml:space="preserve">TOTAL</t>
  </si>
  <si>
    <t xml:space="preserve">Hetch Hetchy B</t>
  </si>
  <si>
    <t xml:space="preserve">Turtle Back Dome B</t>
  </si>
  <si>
    <t xml:space="preserve">Turtle Back Dome</t>
  </si>
  <si>
    <t xml:space="preserve">TRTZ</t>
  </si>
  <si>
    <t xml:space="preserve">* aka: TRT2019</t>
  </si>
  <si>
    <t xml:space="preserve">Tawonga</t>
  </si>
  <si>
    <t xml:space="preserve">Stanislaus_National_Forest</t>
  </si>
  <si>
    <t xml:space="preserve">Carson Creek</t>
  </si>
  <si>
    <t xml:space="preserve">Mariposa County</t>
  </si>
  <si>
    <t xml:space="preserve">North Fork Willow Creek</t>
  </si>
  <si>
    <t xml:space="preserve">Wildcat Falls</t>
  </si>
  <si>
    <t xml:space="preserve">Highland Drive Road</t>
  </si>
  <si>
    <t xml:space="preserve">Stoddard Spring</t>
  </si>
  <si>
    <t xml:space="preserve">Crab Tree Road</t>
  </si>
  <si>
    <t xml:space="preserve">Wawona School</t>
  </si>
  <si>
    <t xml:space="preserve">Onion Skins</t>
  </si>
  <si>
    <t xml:space="preserve">Spotless</t>
  </si>
  <si>
    <t xml:space="preserve">Yosemite Creek B</t>
  </si>
  <si>
    <t xml:space="preserve">The Knobs</t>
  </si>
  <si>
    <t xml:space="preserve">Olmstead Point</t>
  </si>
  <si>
    <t xml:space="preserve">OPNZ</t>
  </si>
  <si>
    <t xml:space="preserve">* The letter Z is used as a place holder for population == Unique_ID or Sample_ID</t>
  </si>
  <si>
    <t xml:space="preserve">GPS_metadata</t>
  </si>
  <si>
    <t xml:space="preserve">X</t>
  </si>
  <si>
    <t xml:space="preserve">ele</t>
  </si>
  <si>
    <t xml:space="preserve">time</t>
  </si>
  <si>
    <t xml:space="preserve">magvar</t>
  </si>
  <si>
    <t xml:space="preserve">geoidheight</t>
  </si>
  <si>
    <t xml:space="preserve">name</t>
  </si>
  <si>
    <t xml:space="preserve">cmt</t>
  </si>
  <si>
    <t xml:space="preserve">desc</t>
  </si>
  <si>
    <t xml:space="preserve">2022/06/02 19:20:56+00</t>
  </si>
  <si>
    <t xml:space="preserve">Onion Skinning site. Roadside  M. laciniatus population. Highly lobed.</t>
  </si>
  <si>
    <t xml:space="preserve">2019/05/10 16:37:02+00</t>
  </si>
  <si>
    <t xml:space="preserve">TNL2019</t>
  </si>
  <si>
    <t xml:space="preserve">M. Nasutus and M. Laciniatus and some other Mimulus sp.</t>
  </si>
  <si>
    <t xml:space="preserve">2022/04/20 18:35:08+00</t>
  </si>
  <si>
    <t xml:space="preserve">HHAB</t>
  </si>
  <si>
    <t xml:space="preserve">2019/04/19 18:32:40+00</t>
  </si>
  <si>
    <t xml:space="preserve">YCN</t>
  </si>
  <si>
    <t xml:space="preserve">M. laciniatus reported; genotype: 6, 11, 12, 13, and 15.</t>
  </si>
  <si>
    <t xml:space="preserve">2022/05/02 22:31:28+00</t>
  </si>
  <si>
    <t xml:space="preserve">MDWB</t>
  </si>
  <si>
    <t xml:space="preserve">Mini Meadow. M. guttatus population in recovering meadow. The center of the population is a sweat bee nest.</t>
  </si>
  <si>
    <t xml:space="preserve">2022/04/30 04:28:36+00</t>
  </si>
  <si>
    <t xml:space="preserve">SMDB</t>
  </si>
  <si>
    <t xml:space="preserve">2022/05/21 21:50:11+00</t>
  </si>
  <si>
    <t xml:space="preserve">Stoddard Spring. Stanislaus Nat'l Forest. Left hand side of the road towards Pincrest on road 108. Mimulus guttatus and Mimulus bicolor on granite outcrop and granite sand.</t>
  </si>
  <si>
    <t xml:space="preserve">2019/05/30 23:59:22+00</t>
  </si>
  <si>
    <t xml:space="preserve">SHL2019</t>
  </si>
  <si>
    <t xml:space="preserve">Easily accesible. Found M. nasutus, M. laciniatus amd M. bicolor on site. Some specimens appear to be hybrids between M. laciniatus and M. guttatus. This is what N. Gonzales calls SHL hybrids in the Ferris lab.</t>
  </si>
  <si>
    <t xml:space="preserve">no data</t>
  </si>
  <si>
    <t xml:space="preserve">2019/05/10 17:40:26+00</t>
  </si>
  <si>
    <t xml:space="preserve">STD2019</t>
  </si>
  <si>
    <t xml:space="preserve">2019/06/27 20:26:43+00</t>
  </si>
  <si>
    <t xml:space="preserve">2019/05/31 17:31:04+00</t>
  </si>
  <si>
    <t xml:space="preserve">BML2019 HYBRID</t>
  </si>
  <si>
    <t xml:space="preserve">Disturbed site by construction and minor logging. laciniatus and Guttatus hybrids, potentially some Nasutus. M. bicolor also present.</t>
  </si>
  <si>
    <t xml:space="preserve">2021/05/03 21:31:19+00</t>
  </si>
  <si>
    <t xml:space="preserve">2022/05/08 19:23:50+00</t>
  </si>
  <si>
    <t xml:space="preserve">MGTB</t>
  </si>
  <si>
    <t xml:space="preserve">Mariposa Grove Trail. M. guttatus population off the side of trail in granite outcrop in diraction towards Mariposa tree.</t>
  </si>
  <si>
    <t xml:space="preserve">2022/06/14 23:08:35+00</t>
  </si>
  <si>
    <t xml:space="preserve">M. laciniatus.</t>
  </si>
  <si>
    <t xml:space="preserve">2022/06/02 18:10:25+00</t>
  </si>
  <si>
    <t xml:space="preserve">Mimulus laciniatus sampled for field survey by Bolívar. This path of flowers is about 40m up and left of YCN site. There is some M. primuloides, oschatus and breweri.</t>
  </si>
  <si>
    <t xml:space="preserve">2022/04/22 18:56:35+00</t>
  </si>
  <si>
    <t xml:space="preserve">2022/05/02 20:55:39+00</t>
  </si>
  <si>
    <t xml:space="preserve">NTWB</t>
  </si>
  <si>
    <t xml:space="preserve">M. nasutus wall on Cherry Lake Rd. Water flowing </t>
  </si>
  <si>
    <t xml:space="preserve">2021/04/06 19:35:37+00</t>
  </si>
  <si>
    <t xml:space="preserve">Yosemite Creek Site</t>
  </si>
  <si>
    <t xml:space="preserve">Mimulus laciniatus and M. Breweri.around.
Same site as YCN2019.</t>
  </si>
  <si>
    <t xml:space="preserve">2022/05/21 23:47:03+00</t>
  </si>
  <si>
    <t xml:space="preserve">Cross Country site on Crabtree road (04N26). Mimulus guttatus on moss outcrop/sedimented granite. various patches of 15'×15' along creek slope. about 300ft from Crabtree road.</t>
  </si>
  <si>
    <t xml:space="preserve">2021/05/07 23:43:36+00</t>
  </si>
  <si>
    <t xml:space="preserve">Lower Yosemite falls trail. Mimulus guttatus population on the trail. </t>
  </si>
  <si>
    <t xml:space="preserve">2021/05/03 17:05:26+00</t>
  </si>
  <si>
    <t xml:space="preserve">2021/05/12 18:23:13+00</t>
  </si>
  <si>
    <t xml:space="preserve">BCKB</t>
  </si>
  <si>
    <t xml:space="preserve">M. nasutus population</t>
  </si>
  <si>
    <t xml:space="preserve">2022/06/02 19:02:48+00</t>
  </si>
  <si>
    <t xml:space="preserve">Spotless Laciniatus population. Hence the name. Mimulus laciniatus. Maybe M. filicifolious. On the left side of the road on the way to YCN. Also Mimulus breweri.</t>
  </si>
  <si>
    <t xml:space="preserve">2022/04/20 20:24:14+00</t>
  </si>
  <si>
    <t xml:space="preserve">2022/05/01 18:43:31+00</t>
  </si>
  <si>
    <t xml:space="preserve">PETB</t>
  </si>
  <si>
    <t xml:space="preserve">2019/06/27 23:56:12+00</t>
  </si>
  <si>
    <t xml:space="preserve">No mimulus data </t>
  </si>
  <si>
    <t xml:space="preserve">2022/05/01 18:40:27+00</t>
  </si>
  <si>
    <t xml:space="preserve">DNKB</t>
  </si>
  <si>
    <t xml:space="preserve">2021/04/24 20:20:45+00</t>
  </si>
  <si>
    <t xml:space="preserve">Wildcat Falls. M. Nasutus and M. Laciniatus and some other Mimulus sp. Previously WWRB 2. ALSO, CLOSE OR COULD BE CONSIDERED TNL2019</t>
  </si>
  <si>
    <t xml:space="preserve">2021/05/09 19:07:05+00</t>
  </si>
  <si>
    <t xml:space="preserve">CHFB</t>
  </si>
  <si>
    <t xml:space="preserve">SBL</t>
  </si>
  <si>
    <t xml:space="preserve">2019/06/27 22:44:40+00</t>
  </si>
  <si>
    <t xml:space="preserve">YCN 2019</t>
  </si>
  <si>
    <t xml:space="preserve">2020 data indicates potential M. lacinatus </t>
  </si>
  <si>
    <t xml:space="preserve">2021/04/24 22:52:01+00</t>
  </si>
  <si>
    <t xml:space="preserve">MFCB</t>
  </si>
  <si>
    <t xml:space="preserve">2019/05/10 17:11:31+00</t>
  </si>
  <si>
    <t xml:space="preserve">TRT2019</t>
  </si>
  <si>
    <t xml:space="preserve">2022/04/20 20:19:52+00</t>
  </si>
  <si>
    <t xml:space="preserve">HHCB</t>
  </si>
  <si>
    <t xml:space="preserve">2019/05/31 16:09:01+00</t>
  </si>
  <si>
    <t xml:space="preserve">BML2019</t>
  </si>
  <si>
    <t xml:space="preserve">Bretz Mill Road. 
Bicolor mimulus and M.laciniatus sympatric population</t>
  </si>
  <si>
    <t xml:space="preserve">2021/05/12 21:09:52+00</t>
  </si>
  <si>
    <t xml:space="preserve">2021/05/12 21:10:51+00</t>
  </si>
  <si>
    <t xml:space="preserve">Huntington Lake Overview
Mimulus guttatus and Mimulus nasutus on the side of the road. Granite wall about 50m long overlooking Shaver Lake. The site is named Huntington Lake Overview, but is not said lake. although, is is on Huntington Lake Road. #168</t>
  </si>
  <si>
    <t xml:space="preserve">2022/05/12 20:27:16+00</t>
  </si>
  <si>
    <t xml:space="preserve">Highland Drive Road. Sierra Nat'l Forest. Granite outcrop on side of the road. M.guttatus/nasutus</t>
  </si>
  <si>
    <t xml:space="preserve">2022/04/22 22:34:43+00</t>
  </si>
  <si>
    <t xml:space="preserve">Bald Mountain
M. guttatus and M. nasutus population on "The Four Lane"</t>
  </si>
  <si>
    <t xml:space="preserve">2022/05/02 20:22:33+00</t>
  </si>
  <si>
    <t xml:space="preserve">M. guttatus population on right side of the road on way to Camp Tawonga. some have square-ish stems but reproductive parts are much like guttatus.</t>
  </si>
  <si>
    <t xml:space="preserve">2022/05/12 19:19:41+00</t>
  </si>
  <si>
    <t xml:space="preserve">2022/04/29 17:23:50+00</t>
  </si>
  <si>
    <t xml:space="preserve">Mimulus guttatus population. Identified by Katie Ferris in June 2021.   This population is by the swimming hole in front of the school in Wawona.</t>
  </si>
  <si>
    <t xml:space="preserve">2022/05/05 23:40:45+00</t>
  </si>
  <si>
    <t xml:space="preserve">Carson Creek
140 road</t>
  </si>
  <si>
    <t xml:space="preserve">M.laciniatus</t>
  </si>
  <si>
    <t xml:space="preserve">M.guttatus</t>
  </si>
  <si>
    <t xml:space="preserve">M.nasutus</t>
  </si>
  <si>
    <t xml:space="preserve">M.bicolor</t>
  </si>
  <si>
    <t xml:space="preserve">Sympatric</t>
  </si>
  <si>
    <t xml:space="preserve">*Detailed information on sites can be found in /field_data/gps_points/mim2_lat_long.csv
</t>
  </si>
  <si>
    <t xml:space="preserve">L</t>
  </si>
  <si>
    <t xml:space="preserve">G</t>
  </si>
  <si>
    <t xml:space="preserve">C-10082022</t>
  </si>
  <si>
    <t xml:space="preserve">C-11052022</t>
  </si>
  <si>
    <t xml:space="preserve">C-8262022</t>
  </si>
  <si>
    <t xml:space="preserve">C-9302022</t>
  </si>
  <si>
    <t xml:space="preserve">C-A12192022</t>
  </si>
  <si>
    <t xml:space="preserve">PCR-</t>
  </si>
  <si>
    <t xml:space="preserve">PCR+*</t>
  </si>
  <si>
    <t xml:space="preserve">Sequen_ID</t>
  </si>
  <si>
    <t xml:space="preserve">Extrac_event</t>
  </si>
  <si>
    <t xml:space="preserve">Subsampled</t>
  </si>
  <si>
    <t xml:space="preserve">Subsampling_Qotes</t>
  </si>
  <si>
    <t xml:space="preserve">Lyophilized</t>
  </si>
  <si>
    <t xml:space="preserve">DNA_extr</t>
  </si>
  <si>
    <t xml:space="preserve">Extr_date</t>
  </si>
  <si>
    <t xml:space="preserve">DNA_conc._ng/µl</t>
  </si>
  <si>
    <t xml:space="preserve">Extr_Box</t>
  </si>
  <si>
    <t xml:space="preserve">Extraction_Method</t>
  </si>
  <si>
    <t xml:space="preserve">Extr_notes</t>
  </si>
  <si>
    <t xml:space="preserve">PCR1</t>
  </si>
  <si>
    <t xml:space="preserve">PCR2</t>
  </si>
  <si>
    <t xml:space="preserve">sample_control</t>
  </si>
  <si>
    <t xml:space="preserve">C-</t>
  </si>
  <si>
    <t xml:space="preserve">QA</t>
  </si>
  <si>
    <t xml:space="preserve">too low</t>
  </si>
  <si>
    <t xml:space="preserve">control</t>
  </si>
  <si>
    <t xml:space="preserve">NA</t>
  </si>
  <si>
    <t xml:space="preserve">S1</t>
  </si>
  <si>
    <t xml:space="preserve">S2</t>
  </si>
  <si>
    <t xml:space="preserve">13728.67 ng/mL</t>
  </si>
  <si>
    <t xml:space="preserve">B</t>
  </si>
  <si>
    <t xml:space="preserve">CB12192022</t>
  </si>
  <si>
    <t xml:space="preserve">A</t>
  </si>
  <si>
    <t xml:space="preserve">S13142023</t>
  </si>
  <si>
    <t xml:space="preserve">S23142023</t>
  </si>
  <si>
    <t xml:space="preserve">C5072023</t>
  </si>
  <si>
    <t xml:space="preserve">S15072023</t>
  </si>
  <si>
    <t xml:space="preserve">S25072023</t>
  </si>
  <si>
    <t xml:space="preserve">C5102023</t>
  </si>
  <si>
    <t xml:space="preserve">S15102023</t>
  </si>
  <si>
    <t xml:space="preserve">S25102023</t>
  </si>
  <si>
    <t xml:space="preserve">C5122023</t>
  </si>
  <si>
    <t xml:space="preserve">S15122023</t>
  </si>
  <si>
    <t xml:space="preserve">S25122023</t>
  </si>
  <si>
    <t xml:space="preserve">C5152023</t>
  </si>
  <si>
    <t xml:space="preserve">S15152023</t>
  </si>
  <si>
    <t xml:space="preserve">S25152023</t>
  </si>
  <si>
    <t xml:space="preserve">C5312023</t>
  </si>
  <si>
    <t xml:space="preserve">S15312023</t>
  </si>
  <si>
    <t xml:space="preserve">S25312023</t>
  </si>
  <si>
    <t xml:space="preserve">C5302023</t>
  </si>
  <si>
    <t xml:space="preserve">S15302023</t>
  </si>
  <si>
    <t xml:space="preserve">S25302023</t>
  </si>
  <si>
    <t xml:space="preserve">yes</t>
  </si>
  <si>
    <t xml:space="preserve">sample</t>
  </si>
  <si>
    <r>
      <rPr>
        <sz val="11"/>
        <color theme="1"/>
        <rFont val="Arial"/>
        <family val="0"/>
        <charset val="1"/>
      </rPr>
      <t xml:space="preserve">Ruined! I added 197 μL of Qubit </t>
    </r>
    <r>
      <rPr>
        <i val="true"/>
        <sz val="11"/>
        <color theme="1"/>
        <rFont val="Arial"/>
        <family val="0"/>
        <charset val="1"/>
      </rPr>
      <t xml:space="preserve">buffer to DNA.</t>
    </r>
    <r>
      <rPr>
        <sz val="11"/>
        <color theme="1"/>
        <rFont val="Arial"/>
        <family val="0"/>
        <charset val="1"/>
      </rPr>
      <t xml:space="preserve"> I kept samples in case there is something that can be done. (-BAR, 10/04/2022)</t>
    </r>
  </si>
  <si>
    <t xml:space="preserve">not enough tissue (.22g)</t>
  </si>
  <si>
    <t xml:space="preserve">not enough tissue (.12g)</t>
  </si>
  <si>
    <t xml:space="preserve">not enough tissue (.10g)</t>
  </si>
  <si>
    <t xml:space="preserve">not enough tissue (.15g); 1st time lyophilized w/o loosening caps, 2 days @ room temp., then lyophilized a second time</t>
  </si>
  <si>
    <t xml:space="preserve">not enough tissue (.13g); 1st time lyophilized w/o loosening caps, 2 days @ room temp., then lyophilized a second time</t>
  </si>
  <si>
    <t xml:space="preserve">not enough tissue (.08g)</t>
  </si>
  <si>
    <t xml:space="preserve">not enough tissue (.15g)</t>
  </si>
  <si>
    <t xml:space="preserve">not enough tissue (.09g)</t>
  </si>
  <si>
    <t xml:space="preserve">Re_Quantify: Potentially inverted with BHEB_G9</t>
  </si>
  <si>
    <t xml:space="preserve">Re_Quantify: Potentially inverted with BHEB_G6</t>
  </si>
  <si>
    <t xml:space="preserve">Re-Tissuelyser; Fine dust at the bottom did not soak Master Mix. Tried to “mix for ~ 30s.; *Re-cleaned with step 20 (500uL of 70% EtOH)</t>
  </si>
  <si>
    <t xml:space="preserve">Re-Tissuelyser; *Re-cleaned with step 20 (500uL of 70% EtOH)</t>
  </si>
  <si>
    <t xml:space="preserve">2 samples (one labeled normally, one labeled with "#2")</t>
  </si>
  <si>
    <t xml:space="preserve">not enought tissue (.13g)</t>
  </si>
  <si>
    <t xml:space="preserve">not enought tissue (.10g)</t>
  </si>
  <si>
    <t xml:space="preserve">need to find this sample -HF</t>
  </si>
  <si>
    <t xml:space="preserve">not enought tissue (.16g)</t>
  </si>
  <si>
    <t xml:space="preserve">not enought tissue (.16g); labeled as "BML_L5_HYB"</t>
  </si>
  <si>
    <t xml:space="preserve">hybrid</t>
  </si>
  <si>
    <t xml:space="preserve">not enough tissue (.18g); 1st time lyophilized w/o loosening caps, 2 days @ room temp., then lyophilized a second time</t>
  </si>
  <si>
    <t xml:space="preserve">not enough tissue (.16g); 1st time lyophilized w/o loosening caps, 2 days @ room temp., then lyophilized a second time</t>
  </si>
  <si>
    <t xml:space="preserve">not enough tissue (.09g); 1st time lyophilized w/o loosening caps, 2 days @ room temp., then lyophilized a second time</t>
  </si>
  <si>
    <t xml:space="preserve">not enough tissue (.05g); 1st time lyophilized w/o loosening caps, 2 days @ room temp., then lyophilized a second time</t>
  </si>
  <si>
    <t xml:space="preserve">not enough tissue (.18g)</t>
  </si>
  <si>
    <t xml:space="preserve">not enough tissue (.12g); 1st time lyophilized w/o loosening caps, 2 days @ room temp., then lyophilized a second time</t>
  </si>
  <si>
    <t xml:space="preserve">not enough tissue (.08g); 1st time lyophilized w/o loosening caps, 2 days @ room temp., then lyophilized a second time</t>
  </si>
  <si>
    <t xml:space="preserve">not enough tissue (.11g); 1st time lyophilized w/o loosening caps, 2 days @ room temp., then lyophilized a second time</t>
  </si>
  <si>
    <t xml:space="preserve">not enough tissue (.14g); 1st time lyophilized w/o loosening caps, 2 days @ room temp., then lyophilized a second time</t>
  </si>
  <si>
    <t xml:space="preserve">not enough tissue (.17g); 1st time lyophilized w/o loosening caps, 2 days @ room temp., then lyophilized a second time</t>
  </si>
  <si>
    <t xml:space="preserve">not enough tissue (.26g); 1st time lyophilized w/o loosening caps, 2 days @ room temp., then lyophilized a second time</t>
  </si>
  <si>
    <t xml:space="preserve">2 samples ("A" and "B")</t>
  </si>
  <si>
    <r>
      <rPr>
        <b val="true"/>
        <sz val="11"/>
        <color theme="1"/>
        <rFont val="Arial"/>
        <family val="0"/>
        <charset val="1"/>
      </rPr>
      <t xml:space="preserve">CCRB-N1_A:</t>
    </r>
    <r>
      <rPr>
        <sz val="11"/>
        <color theme="1"/>
        <rFont val="Arial"/>
        <family val="0"/>
        <charset val="1"/>
      </rPr>
      <t xml:space="preserve"> Ruined! I added 197 μL of Qubit </t>
    </r>
    <r>
      <rPr>
        <i val="true"/>
        <sz val="11"/>
        <color theme="1"/>
        <rFont val="Arial"/>
        <family val="0"/>
        <charset val="1"/>
      </rPr>
      <t xml:space="preserve">buffer to DNA.</t>
    </r>
    <r>
      <rPr>
        <sz val="11"/>
        <color theme="1"/>
        <rFont val="Arial"/>
        <family val="0"/>
        <charset val="1"/>
      </rPr>
      <t xml:space="preserve"> I kept samples in case there is something that can be done. (-BAR, 10/04/2022)</t>
    </r>
  </si>
  <si>
    <t xml:space="preserve">*Re-cleaned with step 20 (500uL of 70% EtOH)</t>
  </si>
  <si>
    <t xml:space="preserve">not enough tissue (.29g)</t>
  </si>
  <si>
    <t xml:space="preserve">not enought tissue (.24g)</t>
  </si>
  <si>
    <t xml:space="preserve">not enough tissue (.28g)</t>
  </si>
  <si>
    <t xml:space="preserve">not enough tissue (.21g)</t>
  </si>
  <si>
    <t xml:space="preserve">not enough tissue (.20g)</t>
  </si>
  <si>
    <t xml:space="preserve">not enough tissue (.05g)</t>
  </si>
  <si>
    <t xml:space="preserve">not enough tissue (.26g)</t>
  </si>
  <si>
    <t xml:space="preserve">not enough tissue (.17g)</t>
  </si>
  <si>
    <t xml:space="preserve">1st time lyophilized w/o loosening caps, 2 days @ room temp., then lyophilized a second time</t>
  </si>
  <si>
    <t xml:space="preserve">not enough tissue (.06g); 1st time lyophilized w/o loosening caps, 2 days @ room temp., then lyophilized a second time</t>
  </si>
  <si>
    <t xml:space="preserve">vial holding original sample broke - new lid doesnt fit well. I taped the new lid on and there isnt enough for a second subsample anyway.; 1st time lyophilized w/o loosening caps, 2 days @ room temp., then lyophilized a second time</t>
  </si>
  <si>
    <t xml:space="preserve">not enough tissue (.04g); 1st time lyophilized w/o loosening caps, 2 days @ room temp., then lyophilized a second time</t>
  </si>
  <si>
    <t xml:space="preserve">says (2021) on quantification sheet</t>
  </si>
  <si>
    <t xml:space="preserve">says 2021 in quantification sheet</t>
  </si>
  <si>
    <t xml:space="preserve">not enough tissue (.13g)</t>
  </si>
  <si>
    <t xml:space="preserve">see KNOB_L209</t>
  </si>
  <si>
    <t xml:space="preserve">see KNOB_L210</t>
  </si>
  <si>
    <t xml:space="preserve">see KNOB_L211</t>
  </si>
  <si>
    <t xml:space="preserve">not enough tissue (.21g); 1st time lyophilized w/o loosening caps, 2 days @ room temp., then lyophilized a second time</t>
  </si>
  <si>
    <t xml:space="preserve">not enough tissue (.27g)</t>
  </si>
  <si>
    <t xml:space="preserve">not enough tissue (.23g)</t>
  </si>
  <si>
    <t xml:space="preserve">not enough tissue (.20g); 1st time lyophilized w/o loosening caps, 2 days @ room temp., then lyophilized a second time</t>
  </si>
  <si>
    <t xml:space="preserve">not enough tissue (.07g)</t>
  </si>
  <si>
    <t xml:space="preserve">not enough tissue (.06g)</t>
  </si>
  <si>
    <t xml:space="preserve">not enough tissue (.14g)</t>
  </si>
  <si>
    <t xml:space="preserve">not enought tissue (.11g)</t>
  </si>
  <si>
    <t xml:space="preserve">not enough tissue (.24g)</t>
  </si>
  <si>
    <t xml:space="preserve">!!:)</t>
  </si>
  <si>
    <t xml:space="preserve">not enough tissue (.25g); 1st time lyophilized w/o loosening caps, 2 days @ room temp., then lyophilized a second time</t>
  </si>
  <si>
    <t xml:space="preserve">2 samples (one labeled plain and one with "B"</t>
  </si>
  <si>
    <t xml:space="preserve">Also extracted ad WSHB_G205</t>
  </si>
  <si>
    <t xml:space="preserve">Also extracted ad WSHB_G206</t>
  </si>
  <si>
    <t xml:space="preserve">Also extracted ad WSHB_G207</t>
  </si>
  <si>
    <t xml:space="preserve">not enough tissue (.16g)</t>
  </si>
  <si>
    <t xml:space="preserve">double check 5 in 2.51 is a 5 cuz handwriting</t>
  </si>
  <si>
    <t xml:space="preserve">AGFB_L1_x2</t>
  </si>
  <si>
    <t xml:space="preserve">left @ room temperature for ~144 hours after lyophilization</t>
  </si>
  <si>
    <t xml:space="preserve">BHEB_G1_x2</t>
  </si>
  <si>
    <t xml:space="preserve">BHEB_G2_x2</t>
  </si>
  <si>
    <t xml:space="preserve">BHEB_G3_x2</t>
  </si>
  <si>
    <t xml:space="preserve">BHEB_G4_x2</t>
  </si>
  <si>
    <t xml:space="preserve">BHEB_G5_x2</t>
  </si>
  <si>
    <t xml:space="preserve">BHEB_G6_x2</t>
  </si>
  <si>
    <t xml:space="preserve">BHEB_G7_x2</t>
  </si>
  <si>
    <t xml:space="preserve">not enough tissue (.17g); left @ room temperature for ~144 hours after lyophilization</t>
  </si>
  <si>
    <t xml:space="preserve">BHEB_G8_x2</t>
  </si>
  <si>
    <t xml:space="preserve">BHEB_N1_x2</t>
  </si>
  <si>
    <t xml:space="preserve">BHEB_N2_x2</t>
  </si>
  <si>
    <t xml:space="preserve">BHEB_N3_x2</t>
  </si>
  <si>
    <t xml:space="preserve">BHEB_N4_x2</t>
  </si>
  <si>
    <t xml:space="preserve">BHEB_N5_x2</t>
  </si>
  <si>
    <t xml:space="preserve">BHEB_N6_x2</t>
  </si>
  <si>
    <t xml:space="preserve">BHEB_N7_x2</t>
  </si>
  <si>
    <t xml:space="preserve">not enough tissue (.20g); left @ room temperature for ~144 hours after lyophilization</t>
  </si>
  <si>
    <t xml:space="preserve">BHEB_N8_#2_x2</t>
  </si>
  <si>
    <t xml:space="preserve">COUNTED AS BHEB_N008</t>
  </si>
  <si>
    <t xml:space="preserve">BHEB_N8_x2</t>
  </si>
  <si>
    <t xml:space="preserve">BML_G1_x2</t>
  </si>
  <si>
    <t xml:space="preserve">BML_G4_x2</t>
  </si>
  <si>
    <t xml:space="preserve">BML_G5_x2</t>
  </si>
  <si>
    <t xml:space="preserve">CCRB_N1_A_x2</t>
  </si>
  <si>
    <t xml:space="preserve">CCRB_N1_B_x2</t>
  </si>
  <si>
    <t xml:space="preserve">CCRB_N2_x2</t>
  </si>
  <si>
    <t xml:space="preserve">CCRB_N3_x2</t>
  </si>
  <si>
    <t xml:space="preserve">CCRB_N4_x2</t>
  </si>
  <si>
    <t xml:space="preserve">CCRB_N5_x2</t>
  </si>
  <si>
    <t xml:space="preserve">CCRB_N6_x2</t>
  </si>
  <si>
    <t xml:space="preserve">CCRB_N7_x2</t>
  </si>
  <si>
    <t xml:space="preserve">CCRB_N8_x2</t>
  </si>
  <si>
    <t xml:space="preserve">CCRB_N9_x2</t>
  </si>
  <si>
    <t xml:space="preserve">CF_G2_x2</t>
  </si>
  <si>
    <t xml:space="preserve">not enough tissue (.26g), only stems left in sample</t>
  </si>
  <si>
    <t xml:space="preserve">CF_G9_x2</t>
  </si>
  <si>
    <t xml:space="preserve">only stems left in sample</t>
  </si>
  <si>
    <t xml:space="preserve">HULB_G4_x2</t>
  </si>
  <si>
    <t xml:space="preserve">HULB_L2_x2</t>
  </si>
  <si>
    <t xml:space="preserve">lid broken when i went to open it, subsampled and sealed with parafilm (HCF)</t>
  </si>
  <si>
    <t xml:space="preserve">HULB_L5_x2</t>
  </si>
  <si>
    <t xml:space="preserve">HUOB_G2_x2</t>
  </si>
  <si>
    <t xml:space="preserve">HUOB_G3_x2</t>
  </si>
  <si>
    <t xml:space="preserve">HUOB_N2_x2</t>
  </si>
  <si>
    <t xml:space="preserve">HUOB_N5_x2</t>
  </si>
  <si>
    <t xml:space="preserve">lid was loose when I went to open it</t>
  </si>
  <si>
    <t xml:space="preserve">LM_G4_x2</t>
  </si>
  <si>
    <t xml:space="preserve">LM_G9_x2</t>
  </si>
  <si>
    <t xml:space="preserve">LYFB_G1_x2</t>
  </si>
  <si>
    <t xml:space="preserve">LYFB_G2_x2</t>
  </si>
  <si>
    <t xml:space="preserve">LYFB_G3_x2</t>
  </si>
  <si>
    <t xml:space="preserve">LYFB_G4_x2</t>
  </si>
  <si>
    <t xml:space="preserve">LYFB_G5_x2</t>
  </si>
  <si>
    <t xml:space="preserve">SHL_G2_x2</t>
  </si>
  <si>
    <t xml:space="preserve">SHL_G3_x2</t>
  </si>
  <si>
    <t xml:space="preserve">SHL_G4_x2</t>
  </si>
  <si>
    <t xml:space="preserve">SHL_L3_x2</t>
  </si>
  <si>
    <t xml:space="preserve">SPLB_L7_x2</t>
  </si>
  <si>
    <t xml:space="preserve">SPLB_L9_x2</t>
  </si>
  <si>
    <t xml:space="preserve">TRTB_L1_x2</t>
  </si>
  <si>
    <t xml:space="preserve">TWGB_G6_x2</t>
  </si>
  <si>
    <t xml:space="preserve">TWGB_G9_x2</t>
  </si>
  <si>
    <t xml:space="preserve">WCFB_G10_x2</t>
  </si>
  <si>
    <t xml:space="preserve">HDRB_G10_x2</t>
  </si>
  <si>
    <t xml:space="preserve">HDRB_G202</t>
  </si>
  <si>
    <t xml:space="preserve">HDRB_G202 = HDRB_G2_B_x2</t>
  </si>
  <si>
    <t xml:space="preserve">HDRB_G202 = HDRB_G2_B_x3</t>
  </si>
  <si>
    <t xml:space="preserve">HDRB_G202 = HDRB_G2_B_x4</t>
  </si>
  <si>
    <t xml:space="preserve">HDRB_G3_x2</t>
  </si>
  <si>
    <t xml:space="preserve">HDRB_G4_x2</t>
  </si>
  <si>
    <t xml:space="preserve">HDRB_G6_x2</t>
  </si>
  <si>
    <t xml:space="preserve">not enough tissue (.01g)</t>
  </si>
  <si>
    <t xml:space="preserve">HDRB_G207</t>
  </si>
  <si>
    <t xml:space="preserve">HDRB_G207 = HDRB_G7_x2</t>
  </si>
  <si>
    <t xml:space="preserve">HDRB_G8_x2</t>
  </si>
  <si>
    <t xml:space="preserve">not enough tissue (.04g)</t>
  </si>
  <si>
    <t xml:space="preserve">HHBB_G1_x2</t>
  </si>
  <si>
    <t xml:space="preserve">HHBB_G10_x2</t>
  </si>
  <si>
    <t xml:space="preserve">HHBB_G2_x2</t>
  </si>
  <si>
    <t xml:space="preserve">HHBB_G6_x2</t>
  </si>
  <si>
    <t xml:space="preserve">HHBB_G8_x2</t>
  </si>
  <si>
    <t xml:space="preserve">not enough tissue (.03g)</t>
  </si>
  <si>
    <t xml:space="preserve">HHBB_L9_x2</t>
  </si>
  <si>
    <t xml:space="preserve">HUOB_G12_x2</t>
  </si>
  <si>
    <t xml:space="preserve">HUOB_G22_x2</t>
  </si>
  <si>
    <t xml:space="preserve">HUOB_G82_x2</t>
  </si>
  <si>
    <t xml:space="preserve">KNOB_L10_x2</t>
  </si>
  <si>
    <t xml:space="preserve">KNOB_L5_x2</t>
  </si>
  <si>
    <t xml:space="preserve">KNOB_L209</t>
  </si>
  <si>
    <t xml:space="preserve">KNOB_L209 = KNOB_L9_X2</t>
  </si>
  <si>
    <t xml:space="preserve">KNOB_L209 = KNOB_L9_X3</t>
  </si>
  <si>
    <t xml:space="preserve">KNOB_L209 = KNOB_L9_X4</t>
  </si>
  <si>
    <t xml:space="preserve">NFWB_L4_x2</t>
  </si>
  <si>
    <t xml:space="preserve">NFWB_N2_x2</t>
  </si>
  <si>
    <t xml:space="preserve">NFWB_N3_x2</t>
  </si>
  <si>
    <t xml:space="preserve">NFWB_N206</t>
  </si>
  <si>
    <t xml:space="preserve">NFWB_N206 = NFWB_N6_x2</t>
  </si>
  <si>
    <t xml:space="preserve">NFWB_N8_x2</t>
  </si>
  <si>
    <t xml:space="preserve">OPN_L101_x2</t>
  </si>
  <si>
    <t xml:space="preserve">OPN_L103_x2</t>
  </si>
  <si>
    <t xml:space="preserve">OPN_L105_x2</t>
  </si>
  <si>
    <t xml:space="preserve">OPN_L107_x2</t>
  </si>
  <si>
    <t xml:space="preserve">SPLB_L2_x2</t>
  </si>
  <si>
    <t xml:space="preserve">SPLB_L204</t>
  </si>
  <si>
    <t xml:space="preserve">SPLB_L204 = SPLB_L4_x2</t>
  </si>
  <si>
    <t xml:space="preserve">SPLB_L204 = SPLB_L4_x3</t>
  </si>
  <si>
    <t xml:space="preserve">SPLB_L204 = SPLB_L4_x4</t>
  </si>
  <si>
    <t xml:space="preserve">SPLB_L5_x2</t>
  </si>
  <si>
    <t xml:space="preserve">SPLB_L6_x2</t>
  </si>
  <si>
    <t xml:space="preserve">TRTZ_L201</t>
  </si>
  <si>
    <t xml:space="preserve">TRTZ_L201 =TRT_L1_x2</t>
  </si>
  <si>
    <t xml:space="preserve">TRTZ_L204</t>
  </si>
  <si>
    <t xml:space="preserve">TRTZ_L204 =TRT_L4_x2</t>
  </si>
  <si>
    <t xml:space="preserve">TRT_L6_x2</t>
  </si>
  <si>
    <t xml:space="preserve">TWGB_G1_x2</t>
  </si>
  <si>
    <t xml:space="preserve">WCFB_G5_x2</t>
  </si>
  <si>
    <t xml:space="preserve">WCFB_G6_x2</t>
  </si>
  <si>
    <t xml:space="preserve">WCFB_G208</t>
  </si>
  <si>
    <t xml:space="preserve">WCFB_G208 = WCFB_G8_X2</t>
  </si>
  <si>
    <t xml:space="preserve">WCFB_G9_x2</t>
  </si>
  <si>
    <t xml:space="preserve">WCFB_L4_x2</t>
  </si>
  <si>
    <t xml:space="preserve">WSHB_G10_x2</t>
  </si>
  <si>
    <t xml:space="preserve">WCFB_G211</t>
  </si>
  <si>
    <t xml:space="preserve">WCFB_G211 = WCFB_G11_X2</t>
  </si>
  <si>
    <t xml:space="preserve">WSHB_G2_x2</t>
  </si>
  <si>
    <t xml:space="preserve">WSHB_G3_x2</t>
  </si>
  <si>
    <t xml:space="preserve">WSHB_G4_x2</t>
  </si>
  <si>
    <t xml:space="preserve">WSHB_G205 </t>
  </si>
  <si>
    <t xml:space="preserve">WSHB_G205 =WSHB_G5_B_x2</t>
  </si>
  <si>
    <t xml:space="preserve">WSHB_G205 =WSHB_G5_B_x3</t>
  </si>
  <si>
    <t xml:space="preserve">WSHB_G205 =WSHB_G5_B_x4</t>
  </si>
  <si>
    <t xml:space="preserve">WSHB_G5_x2</t>
  </si>
  <si>
    <t xml:space="preserve">WSHB_G6_x2</t>
  </si>
  <si>
    <t xml:space="preserve">WSHB_G7_x2</t>
  </si>
  <si>
    <t xml:space="preserve">WSHB_G8_x2</t>
  </si>
  <si>
    <t xml:space="preserve">WSHB_G9_x2</t>
  </si>
  <si>
    <t xml:space="preserve">BHEB_N8_#2</t>
  </si>
  <si>
    <t xml:space="preserve">DUPLICATE OF BHEB_N008</t>
  </si>
  <si>
    <t xml:space="preserve">Count of Population</t>
  </si>
  <si>
    <t xml:space="preserve">dna_CONC_#1</t>
  </si>
  <si>
    <t xml:space="preserve">dna_conc_#2</t>
  </si>
  <si>
    <t xml:space="preserve">CCRB_N_x2</t>
  </si>
  <si>
    <t xml:space="preserve">(empty)</t>
  </si>
  <si>
    <t xml:space="preserve">Total Result</t>
  </si>
  <si>
    <t xml:space="preserve"> Divided by 3 (data sheet has triplicate entries)</t>
  </si>
  <si>
    <t xml:space="preserve"> * Samples with enough tissue to split</t>
  </si>
  <si>
    <t xml:space="preserve">Summary</t>
  </si>
  <si>
    <t xml:space="preserve">~ 27 populations</t>
  </si>
  <si>
    <t xml:space="preserve">~312 samples</t>
  </si>
  <si>
    <t xml:space="preserve">~128 samples DNA extracted</t>
  </si>
  <si>
    <t xml:space="preserve"> ~ 96 samples PCR stage</t>
  </si>
  <si>
    <t xml:space="preserve">HDRB_G202(G002_X2)</t>
  </si>
  <si>
    <t xml:space="preserve">HDRB_G207(G007_X2)</t>
  </si>
  <si>
    <t xml:space="preserve">KNOB_L209(L9_X2)</t>
  </si>
  <si>
    <t xml:space="preserve">NFWB_N206(N6_X2)</t>
  </si>
  <si>
    <t xml:space="preserve">SPLB_L204(L4_x2)</t>
  </si>
  <si>
    <t xml:space="preserve">TRTZ_L201(L1_x2)</t>
  </si>
  <si>
    <t xml:space="preserve">TRTZ_L204(L4_x2)</t>
  </si>
  <si>
    <t xml:space="preserve">WCFB_G208(G8_x2)</t>
  </si>
  <si>
    <t xml:space="preserve">WCFB_G211(G11_x2)</t>
  </si>
  <si>
    <t xml:space="preserve">na</t>
  </si>
  <si>
    <t xml:space="preserve">WSHB_G5_B_x2</t>
  </si>
  <si>
    <t xml:space="preserve">Day3_generalgrowth</t>
  </si>
  <si>
    <t xml:space="preserve">Day5_growth_FB</t>
  </si>
  <si>
    <t xml:space="preserve">Redo_notes</t>
  </si>
  <si>
    <t xml:space="preserve">Slant_growth_FB</t>
  </si>
  <si>
    <t xml:space="preserve">Day7_growth</t>
  </si>
  <si>
    <t xml:space="preserve">Day3_Secondtry</t>
  </si>
  <si>
    <t xml:space="preserve">Day5_secondtry</t>
  </si>
  <si>
    <t xml:space="preserve">HUOB_N5_A</t>
  </si>
  <si>
    <t xml:space="preserve">no</t>
  </si>
  <si>
    <t xml:space="preserve">none</t>
  </si>
  <si>
    <t xml:space="preserve">HUOB_N5_B</t>
  </si>
  <si>
    <t xml:space="preserve">HUOB_N5_C</t>
  </si>
  <si>
    <t xml:space="preserve">HUOB_N5_D</t>
  </si>
  <si>
    <t xml:space="preserve">HUOB_N5_E</t>
  </si>
  <si>
    <t xml:space="preserve">HUOB_G5_A</t>
  </si>
  <si>
    <t xml:space="preserve">HUOB_G5_B</t>
  </si>
  <si>
    <t xml:space="preserve">HUOB_G5_C</t>
  </si>
  <si>
    <t xml:space="preserve">F</t>
  </si>
  <si>
    <t xml:space="preserve">*potential contamination - aspergillus </t>
  </si>
  <si>
    <t xml:space="preserve">f</t>
  </si>
  <si>
    <t xml:space="preserve">cf</t>
  </si>
  <si>
    <t xml:space="preserve">HUOB_G5_D</t>
  </si>
  <si>
    <t xml:space="preserve">HUOB_G5_E</t>
  </si>
  <si>
    <t xml:space="preserve">F </t>
  </si>
  <si>
    <t xml:space="preserve">TRTB_L1_A</t>
  </si>
  <si>
    <t xml:space="preserve">FB</t>
  </si>
  <si>
    <t xml:space="preserve">* potential contamination</t>
  </si>
  <si>
    <t xml:space="preserve">cfb</t>
  </si>
  <si>
    <t xml:space="preserve">fb?</t>
  </si>
  <si>
    <t xml:space="preserve">TRTB_L1_B</t>
  </si>
  <si>
    <t xml:space="preserve">cb</t>
  </si>
  <si>
    <t xml:space="preserve">b</t>
  </si>
  <si>
    <t xml:space="preserve">TRTB_L1_C</t>
  </si>
  <si>
    <t xml:space="preserve">* sample didn't stick</t>
  </si>
  <si>
    <t xml:space="preserve">TRTB_L1_D</t>
  </si>
  <si>
    <t xml:space="preserve">TRTB_L1_E</t>
  </si>
  <si>
    <t xml:space="preserve">LYFB_G5_A</t>
  </si>
  <si>
    <t xml:space="preserve">* contaminated - growth not from sample</t>
  </si>
  <si>
    <t xml:space="preserve">LYFB_G5_B</t>
  </si>
  <si>
    <t xml:space="preserve">* potential aspergillus</t>
  </si>
  <si>
    <t xml:space="preserve">cf?</t>
  </si>
  <si>
    <t xml:space="preserve">f (aspergillus?)</t>
  </si>
  <si>
    <t xml:space="preserve">f(c)</t>
  </si>
  <si>
    <t xml:space="preserve">LYFB_G5_C</t>
  </si>
  <si>
    <t xml:space="preserve">LYFB_G5_D</t>
  </si>
  <si>
    <t xml:space="preserve">*contaminated - aspergillus</t>
  </si>
  <si>
    <t xml:space="preserve">LYFB_G5_E</t>
  </si>
  <si>
    <t xml:space="preserve">SHL_G5_A</t>
  </si>
  <si>
    <t xml:space="preserve">* potentially contaminated - bacterial growth w fungi</t>
  </si>
  <si>
    <t xml:space="preserve">SHL_G5_B</t>
  </si>
  <si>
    <t xml:space="preserve">SHL_G5_C</t>
  </si>
  <si>
    <t xml:space="preserve">* contaminated</t>
  </si>
  <si>
    <t xml:space="preserve">SHL_G5_D</t>
  </si>
  <si>
    <t xml:space="preserve">SHL_G5_E</t>
  </si>
  <si>
    <t xml:space="preserve">BML_L3_A</t>
  </si>
  <si>
    <t xml:space="preserve">BML_L3_B</t>
  </si>
  <si>
    <t xml:space="preserve">f </t>
  </si>
  <si>
    <t xml:space="preserve">BML_L3_C</t>
  </si>
  <si>
    <t xml:space="preserve">BML_L3_D</t>
  </si>
  <si>
    <t xml:space="preserve">* contaminated (bacteria in slant)</t>
  </si>
  <si>
    <t xml:space="preserve">b (expected)</t>
  </si>
  <si>
    <t xml:space="preserve">BML_L3_E</t>
  </si>
  <si>
    <t xml:space="preserve">CF_LM_A</t>
  </si>
  <si>
    <t xml:space="preserve">* contaminated (F)</t>
  </si>
  <si>
    <t xml:space="preserve">CF_LM_B</t>
  </si>
  <si>
    <t xml:space="preserve">B </t>
  </si>
  <si>
    <t xml:space="preserve">CF_LM_C</t>
  </si>
  <si>
    <t xml:space="preserve">CF_LM_D</t>
  </si>
  <si>
    <t xml:space="preserve">CF_LM_E</t>
  </si>
  <si>
    <t xml:space="preserve">CF_G1_N</t>
  </si>
  <si>
    <t xml:space="preserve">CF_G2_N</t>
  </si>
  <si>
    <t xml:space="preserve">CF_G3_N</t>
  </si>
  <si>
    <t xml:space="preserve">CF_G4_N</t>
  </si>
  <si>
    <t xml:space="preserve">CF_G5_N</t>
  </si>
  <si>
    <t xml:space="preserve">CF_G6_N</t>
  </si>
  <si>
    <t xml:space="preserve">CF_G7_N</t>
  </si>
  <si>
    <t xml:space="preserve">CF_G8_N</t>
  </si>
  <si>
    <t xml:space="preserve">CF_G9_N</t>
  </si>
  <si>
    <t xml:space="preserve">CF_G10_N</t>
  </si>
  <si>
    <t xml:space="preserve">LM_G1_N</t>
  </si>
  <si>
    <t xml:space="preserve">LM_G2_N</t>
  </si>
  <si>
    <t xml:space="preserve">LM_G3_N</t>
  </si>
  <si>
    <t xml:space="preserve">LM_G4_N</t>
  </si>
  <si>
    <t xml:space="preserve">LM_G5_N</t>
  </si>
  <si>
    <t xml:space="preserve">LM_G6_N</t>
  </si>
  <si>
    <t xml:space="preserve">LM_G7_N</t>
  </si>
  <si>
    <t xml:space="preserve">LM_G8_N</t>
  </si>
  <si>
    <t xml:space="preserve">*part of leaf cut off in picture</t>
  </si>
  <si>
    <t xml:space="preserve">LM_G9_N</t>
  </si>
  <si>
    <t xml:space="preserve">LM_G10_N</t>
  </si>
  <si>
    <t xml:space="preserve">Day5_growth</t>
  </si>
  <si>
    <t xml:space="preserve">day7_growth</t>
  </si>
  <si>
    <t xml:space="preserve">1A</t>
  </si>
  <si>
    <t xml:space="preserve">FB </t>
  </si>
  <si>
    <t xml:space="preserve">1B</t>
  </si>
  <si>
    <t xml:space="preserve">2A</t>
  </si>
  <si>
    <t xml:space="preserve">2B</t>
  </si>
  <si>
    <t xml:space="preserve">3A</t>
  </si>
  <si>
    <t xml:space="preserve">3B</t>
  </si>
  <si>
    <t xml:space="preserve">4A</t>
  </si>
  <si>
    <t xml:space="preserve">4B</t>
  </si>
  <si>
    <t xml:space="preserve">B?</t>
  </si>
  <si>
    <t xml:space="preserve">5A</t>
  </si>
  <si>
    <t xml:space="preserve">F?</t>
  </si>
  <si>
    <t xml:space="preserve">F (a lot)</t>
  </si>
  <si>
    <t xml:space="preserve">5B</t>
  </si>
  <si>
    <t xml:space="preserve">6A</t>
  </si>
  <si>
    <t xml:space="preserve">6B</t>
  </si>
  <si>
    <t xml:space="preserve">7A</t>
  </si>
  <si>
    <t xml:space="preserve">7B</t>
  </si>
  <si>
    <t xml:space="preserve">8A</t>
  </si>
  <si>
    <t xml:space="preserve">8B</t>
  </si>
  <si>
    <t xml:space="preserve">all growth was directly from leaf pieces, not from other spots in agar; probably no contamination, some leaves just had either bacteria/fungi sometimes both</t>
  </si>
</sst>
</file>

<file path=xl/styles.xml><?xml version="1.0" encoding="utf-8"?>
<styleSheet xmlns="http://schemas.openxmlformats.org/spreadsheetml/2006/main">
  <numFmts count="12">
    <numFmt numFmtId="164" formatCode="General"/>
    <numFmt numFmtId="165" formatCode="m/d/yyyy"/>
    <numFmt numFmtId="166" formatCode="hh:mm:ss"/>
    <numFmt numFmtId="167" formatCode="[$-F400]h:mm:ss\ AM/PM"/>
    <numFmt numFmtId="168" formatCode="0.00"/>
    <numFmt numFmtId="169" formatCode="@"/>
    <numFmt numFmtId="170" formatCode="#,##0"/>
    <numFmt numFmtId="171" formatCode="000"/>
    <numFmt numFmtId="172" formatCode="0.00E+00"/>
    <numFmt numFmtId="173" formatCode="m/d/yy"/>
    <numFmt numFmtId="174" formatCode="#,##0.00"/>
    <numFmt numFmtId="175" formatCode="0.0"/>
  </numFmts>
  <fonts count="20">
    <font>
      <sz val="11"/>
      <color theme="1"/>
      <name val="Arial"/>
      <family val="0"/>
      <charset val="1"/>
    </font>
    <font>
      <sz val="10"/>
      <name val="Arial"/>
      <family val="0"/>
    </font>
    <font>
      <sz val="10"/>
      <name val="Arial"/>
      <family val="0"/>
    </font>
    <font>
      <sz val="10"/>
      <name val="Arial"/>
      <family val="0"/>
    </font>
    <font>
      <b val="true"/>
      <sz val="11"/>
      <color theme="1"/>
      <name val="Arial"/>
      <family val="0"/>
      <charset val="1"/>
    </font>
    <font>
      <b val="true"/>
      <sz val="12"/>
      <color theme="1"/>
      <name val="Calibri"/>
      <family val="0"/>
      <charset val="1"/>
    </font>
    <font>
      <b val="true"/>
      <sz val="10"/>
      <name val="Calibri"/>
      <family val="0"/>
      <charset val="1"/>
    </font>
    <font>
      <sz val="11"/>
      <color theme="1"/>
      <name val="Calibri"/>
      <family val="0"/>
      <charset val="1"/>
    </font>
    <font>
      <b val="true"/>
      <sz val="11"/>
      <color rgb="FFFFFFFF"/>
      <name val="Arial"/>
      <family val="0"/>
      <charset val="1"/>
    </font>
    <font>
      <b val="true"/>
      <sz val="10"/>
      <color theme="0"/>
      <name val="Calibri"/>
      <family val="0"/>
      <charset val="1"/>
    </font>
    <font>
      <sz val="10"/>
      <color theme="1"/>
      <name val="Calibri"/>
      <family val="0"/>
      <charset val="1"/>
    </font>
    <font>
      <b val="true"/>
      <sz val="10"/>
      <color rgb="FFFFFFFF"/>
      <name val="Calibri"/>
      <family val="0"/>
      <charset val="1"/>
    </font>
    <font>
      <b val="true"/>
      <sz val="10"/>
      <color theme="1"/>
      <name val="Calibri"/>
      <family val="0"/>
      <charset val="1"/>
    </font>
    <font>
      <sz val="11"/>
      <color theme="1"/>
      <name val="Arial"/>
      <family val="0"/>
    </font>
    <font>
      <sz val="14"/>
      <color rgb="FFC9211E"/>
      <name val="Arial"/>
      <family val="0"/>
      <charset val="1"/>
    </font>
    <font>
      <b val="true"/>
      <sz val="11"/>
      <color theme="1"/>
      <name val="Calibri"/>
      <family val="0"/>
      <charset val="1"/>
    </font>
    <font>
      <sz val="11"/>
      <color rgb="FF000000"/>
      <name val="Arial"/>
      <family val="0"/>
      <charset val="1"/>
    </font>
    <font>
      <i val="true"/>
      <sz val="11"/>
      <color theme="1"/>
      <name val="Arial"/>
      <family val="0"/>
      <charset val="1"/>
    </font>
    <font>
      <sz val="12"/>
      <color theme="1"/>
      <name val="Calibri"/>
      <family val="0"/>
      <charset val="1"/>
    </font>
    <font>
      <sz val="11"/>
      <color rgb="FF000000"/>
      <name val="Roboto"/>
      <family val="0"/>
      <charset val="1"/>
    </font>
  </fonts>
  <fills count="14">
    <fill>
      <patternFill patternType="none"/>
    </fill>
    <fill>
      <patternFill patternType="gray125"/>
    </fill>
    <fill>
      <patternFill patternType="solid">
        <fgColor rgb="FFFFF2CC"/>
        <bgColor rgb="FFFEF2CB"/>
      </patternFill>
    </fill>
    <fill>
      <patternFill patternType="solid">
        <fgColor rgb="FFF1C232"/>
        <bgColor rgb="FFFFC000"/>
      </patternFill>
    </fill>
    <fill>
      <patternFill patternType="solid">
        <fgColor rgb="FFE2EFD9"/>
        <bgColor rgb="FFFEF2CB"/>
      </patternFill>
    </fill>
    <fill>
      <patternFill patternType="solid">
        <fgColor rgb="FFFF0000"/>
        <bgColor rgb="FFC9211E"/>
      </patternFill>
    </fill>
    <fill>
      <patternFill patternType="solid">
        <fgColor rgb="FF000000"/>
        <bgColor rgb="FF003300"/>
      </patternFill>
    </fill>
    <fill>
      <patternFill patternType="solid">
        <fgColor rgb="FFFEF2CB"/>
        <bgColor rgb="FFFFF2CC"/>
      </patternFill>
    </fill>
    <fill>
      <patternFill patternType="solid">
        <fgColor rgb="FFFFCCFF"/>
        <bgColor rgb="FFD9D9D9"/>
      </patternFill>
    </fill>
    <fill>
      <patternFill patternType="solid">
        <fgColor rgb="FFFFFF00"/>
        <bgColor rgb="FFFFC000"/>
      </patternFill>
    </fill>
    <fill>
      <patternFill patternType="solid">
        <fgColor rgb="FFFFFFFF"/>
        <bgColor rgb="FFFFF2CC"/>
      </patternFill>
    </fill>
    <fill>
      <patternFill patternType="solid">
        <fgColor rgb="FF0070C0"/>
        <bgColor rgb="FF008080"/>
      </patternFill>
    </fill>
    <fill>
      <patternFill patternType="solid">
        <fgColor rgb="FF9CC2E5"/>
        <bgColor rgb="FF9999FF"/>
      </patternFill>
    </fill>
    <fill>
      <patternFill patternType="solid">
        <fgColor rgb="FFFFE598"/>
        <bgColor rgb="FFFEF2CB"/>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style="thin"/>
      <right style="medium"/>
      <top style="thin"/>
      <bottom style="thin"/>
      <diagonal/>
    </border>
    <border diagonalUp="true" diagonalDown="true">
      <left style="thin"/>
      <right style="thin"/>
      <top style="thin"/>
      <bottom style="thin"/>
      <diagonal style="hair"/>
    </border>
    <border diagonalUp="false" diagonalDown="false">
      <left style="thin"/>
      <right style="thin"/>
      <top/>
      <bottom style="thin"/>
      <diagonal/>
    </border>
    <border diagonalUp="false" diagonalDown="false">
      <left/>
      <right style="thin"/>
      <top/>
      <bottom style="thin"/>
      <diagonal/>
    </border>
    <border diagonalUp="false" diagonalDown="false">
      <left/>
      <right/>
      <top/>
      <bottom style="thin"/>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4" borderId="0"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true" applyAlignment="true" applyProtection="true">
      <alignment horizontal="general" vertical="bottom" textRotation="0" wrapText="false" indent="0" shrinkToFit="false"/>
      <protection locked="true" hidden="false"/>
    </xf>
    <xf numFmtId="165" fontId="7" fillId="4" borderId="0" xfId="0" applyFont="true" applyBorder="true" applyAlignment="true" applyProtection="true">
      <alignment horizontal="general" vertical="bottom" textRotation="0" wrapText="false" indent="0" shrinkToFit="false"/>
      <protection locked="true" hidden="false"/>
    </xf>
    <xf numFmtId="167" fontId="7" fillId="4" borderId="0" xfId="0" applyFont="true" applyBorder="tru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8" fontId="7" fillId="4"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8" fontId="7"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9" fontId="0" fillId="5" borderId="0" xfId="0" applyFont="true" applyBorder="false" applyAlignment="true" applyProtection="true">
      <alignment horizontal="general" vertical="bottom" textRotation="0" wrapText="false" indent="0" shrinkToFit="false"/>
      <protection locked="true" hidden="false"/>
    </xf>
    <xf numFmtId="166" fontId="0" fillId="5" borderId="0" xfId="0" applyFont="true" applyBorder="false" applyAlignment="true" applyProtection="true">
      <alignment horizontal="general"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9" fillId="6" borderId="0" xfId="0" applyFont="true" applyBorder="true" applyAlignment="true" applyProtection="true">
      <alignment horizontal="general" vertical="bottom" textRotation="0" wrapText="false" indent="0" shrinkToFit="false"/>
      <protection locked="true" hidden="false"/>
    </xf>
    <xf numFmtId="164" fontId="9" fillId="6"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70" fontId="10" fillId="0"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true" applyAlignment="true" applyProtection="true">
      <alignment horizontal="general" vertical="bottom" textRotation="0" wrapText="true" indent="0" shrinkToFit="false"/>
      <protection locked="true" hidden="false"/>
    </xf>
    <xf numFmtId="164" fontId="7" fillId="0" borderId="4"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5" xfId="0" applyFont="true" applyBorder="tru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68" fontId="7" fillId="0" borderId="5" xfId="0" applyFont="true" applyBorder="true" applyAlignment="true" applyProtection="true">
      <alignment horizontal="general" vertical="bottom" textRotation="0" wrapText="false" indent="0" shrinkToFit="false"/>
      <protection locked="true" hidden="false"/>
    </xf>
    <xf numFmtId="164" fontId="0" fillId="7" borderId="1" xfId="0" applyFont="true" applyBorder="true" applyAlignment="true" applyProtection="true">
      <alignment horizontal="general"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73" fontId="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right" vertical="bottom" textRotation="0" wrapText="false" indent="0" shrinkToFit="false"/>
      <protection locked="true" hidden="false"/>
    </xf>
    <xf numFmtId="174" fontId="0"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4" fontId="16" fillId="0" borderId="7" xfId="0" applyFont="true" applyBorder="tru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0" fillId="8" borderId="0" xfId="0" applyFont="true" applyBorder="true" applyAlignment="true" applyProtection="true">
      <alignment horizontal="general" vertical="bottom" textRotation="0" wrapText="false" indent="0" shrinkToFit="false"/>
      <protection locked="true" hidden="false"/>
    </xf>
    <xf numFmtId="164" fontId="7" fillId="9" borderId="0" xfId="0" applyFont="true" applyBorder="true" applyAlignment="true" applyProtection="true">
      <alignment horizontal="general" vertical="bottom" textRotation="0" wrapText="false" indent="0" shrinkToFit="false"/>
      <protection locked="true" hidden="false"/>
    </xf>
    <xf numFmtId="164" fontId="0" fillId="9" borderId="0" xfId="0" applyFont="true" applyBorder="true" applyAlignment="true" applyProtection="true">
      <alignment horizontal="general" vertical="bottom" textRotation="0" wrapText="false" indent="0" shrinkToFit="false"/>
      <protection locked="true" hidden="false"/>
    </xf>
    <xf numFmtId="164" fontId="16" fillId="10" borderId="0" xfId="0" applyFont="true" applyBorder="true" applyAlignment="true" applyProtection="true">
      <alignment horizontal="left" vertical="bottom" textRotation="0" wrapText="false" indent="0" shrinkToFit="false"/>
      <protection locked="true" hidden="false"/>
    </xf>
    <xf numFmtId="164" fontId="7" fillId="7"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10" borderId="7" xfId="0" applyFont="true" applyBorder="true" applyAlignment="true" applyProtection="true">
      <alignment horizontal="left" vertical="bottom" textRotation="0" wrapText="false" indent="0" shrinkToFit="false"/>
      <protection locked="true" hidden="false"/>
    </xf>
    <xf numFmtId="168" fontId="16" fillId="0" borderId="0" xfId="0" applyFont="true" applyBorder="false" applyAlignment="true" applyProtection="true">
      <alignment horizontal="right" vertical="bottom" textRotation="0" wrapText="false" indent="0" shrinkToFit="false"/>
      <protection locked="true" hidden="false"/>
    </xf>
    <xf numFmtId="175" fontId="0" fillId="0" borderId="0" xfId="0" applyFont="true" applyBorder="false" applyAlignment="true" applyProtection="true">
      <alignment horizontal="general" vertical="bottom" textRotation="0" wrapText="false" indent="0" shrinkToFit="false"/>
      <protection locked="true" hidden="false"/>
    </xf>
    <xf numFmtId="171" fontId="0" fillId="8" borderId="0" xfId="0" applyFont="true" applyBorder="true" applyAlignment="true" applyProtection="true">
      <alignment horizontal="general" vertical="bottom" textRotation="0" wrapText="false" indent="0" shrinkToFit="false"/>
      <protection locked="true" hidden="false"/>
    </xf>
    <xf numFmtId="164" fontId="18" fillId="8" borderId="0" xfId="0" applyFont="true" applyBorder="true" applyAlignment="true" applyProtection="true">
      <alignment horizontal="general" vertical="bottom" textRotation="0" wrapText="false" indent="0" shrinkToFit="false"/>
      <protection locked="true" hidden="false"/>
    </xf>
    <xf numFmtId="164" fontId="7" fillId="8" borderId="0" xfId="0" applyFont="true" applyBorder="true" applyAlignment="true" applyProtection="true">
      <alignment horizontal="general" vertical="bottom" textRotation="0" wrapText="false" indent="0" shrinkToFit="false"/>
      <protection locked="true" hidden="false"/>
    </xf>
    <xf numFmtId="165" fontId="7" fillId="8" borderId="0" xfId="0" applyFont="true" applyBorder="true" applyAlignment="true" applyProtection="true">
      <alignment horizontal="general" vertical="bottom" textRotation="0" wrapText="false" indent="0" shrinkToFit="false"/>
      <protection locked="true" hidden="false"/>
    </xf>
    <xf numFmtId="164" fontId="19" fillId="8" borderId="0" xfId="0" applyFont="true" applyBorder="true" applyAlignment="true" applyProtection="true">
      <alignment horizontal="general" vertical="bottom" textRotation="0" wrapText="false" indent="0" shrinkToFit="false"/>
      <protection locked="true" hidden="false"/>
    </xf>
    <xf numFmtId="165" fontId="0" fillId="8" borderId="0" xfId="0" applyFont="true" applyBorder="true" applyAlignment="true" applyProtection="true">
      <alignment horizontal="general" vertical="bottom" textRotation="0" wrapText="false" indent="0" shrinkToFit="false"/>
      <protection locked="true" hidden="false"/>
    </xf>
    <xf numFmtId="164" fontId="18" fillId="11" borderId="0" xfId="0" applyFont="true" applyBorder="true" applyAlignment="true" applyProtection="true">
      <alignment horizontal="general" vertical="bottom" textRotation="0" wrapText="false" indent="0" shrinkToFit="false"/>
      <protection locked="true" hidden="false"/>
    </xf>
    <xf numFmtId="164" fontId="7" fillId="11" borderId="0" xfId="0" applyFont="true" applyBorder="true" applyAlignment="true" applyProtection="true">
      <alignment horizontal="general" vertical="bottom" textRotation="0" wrapText="false" indent="0" shrinkToFit="false"/>
      <protection locked="true" hidden="false"/>
    </xf>
    <xf numFmtId="165" fontId="7" fillId="11" borderId="0" xfId="0" applyFont="true" applyBorder="true" applyAlignment="true" applyProtection="true">
      <alignment horizontal="general" vertical="bottom" textRotation="0" wrapText="false" indent="0" shrinkToFit="false"/>
      <protection locked="true" hidden="false"/>
    </xf>
    <xf numFmtId="164" fontId="0" fillId="11" borderId="0" xfId="0" applyFont="true" applyBorder="true" applyAlignment="true" applyProtection="true">
      <alignment horizontal="general" vertical="bottom" textRotation="0" wrapText="false" indent="0" shrinkToFit="false"/>
      <protection locked="true" hidden="false"/>
    </xf>
    <xf numFmtId="164" fontId="19" fillId="11" borderId="0" xfId="0" applyFont="true" applyBorder="true" applyAlignment="true" applyProtection="true">
      <alignment horizontal="general" vertical="bottom" textRotation="0" wrapText="false" indent="0" shrinkToFit="false"/>
      <protection locked="true" hidden="false"/>
    </xf>
    <xf numFmtId="165" fontId="0" fillId="11" borderId="0" xfId="0" applyFont="true" applyBorder="true" applyAlignment="true" applyProtection="true">
      <alignment horizontal="general" vertical="bottom" textRotation="0" wrapText="false" indent="0" shrinkToFit="false"/>
      <protection locked="true" hidden="false"/>
    </xf>
    <xf numFmtId="164" fontId="0" fillId="11" borderId="0" xfId="0" applyFont="true" applyBorder="tru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5" fontId="7" fillId="8" borderId="7" xfId="0" applyFont="true" applyBorder="true" applyAlignment="true" applyProtection="true">
      <alignment horizontal="general" vertical="bottom" textRotation="0" wrapText="false" indent="0" shrinkToFit="false"/>
      <protection locked="true" hidden="false"/>
    </xf>
    <xf numFmtId="164" fontId="16" fillId="8" borderId="0" xfId="0" applyFont="true" applyBorder="true" applyAlignment="true" applyProtection="true">
      <alignment horizontal="left" vertical="bottom" textRotation="0" wrapText="false" indent="0" shrinkToFit="false"/>
      <protection locked="true" hidden="false"/>
    </xf>
    <xf numFmtId="164" fontId="15" fillId="12" borderId="1" xfId="0" applyFont="true" applyBorder="true" applyAlignment="true" applyProtection="true">
      <alignment horizontal="general" vertical="bottom" textRotation="0" wrapText="false" indent="0" shrinkToFit="false"/>
      <protection locked="true" hidden="false"/>
    </xf>
    <xf numFmtId="164" fontId="5" fillId="12" borderId="1" xfId="0" applyFont="true" applyBorder="true" applyAlignment="true" applyProtection="true">
      <alignment horizontal="general" vertical="bottom" textRotation="0" wrapText="false" indent="0" shrinkToFit="false"/>
      <protection locked="true" hidden="false"/>
    </xf>
    <xf numFmtId="165" fontId="5" fillId="12"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12" borderId="1" xfId="0" applyFont="true" applyBorder="true" applyAlignment="true" applyProtection="true">
      <alignment horizontal="left" vertical="bottom" textRotation="0" wrapText="false" indent="0" shrinkToFit="false"/>
      <protection locked="true" hidden="false"/>
    </xf>
    <xf numFmtId="164" fontId="0" fillId="0" borderId="8" xfId="22" applyFont="true" applyBorder="true" applyAlignment="false" applyProtection="false">
      <alignment horizontal="general" vertical="bottom" textRotation="0" wrapText="false" indent="0" shrinkToFit="false"/>
      <protection locked="true" hidden="false"/>
    </xf>
    <xf numFmtId="164" fontId="0" fillId="0" borderId="9" xfId="21" applyFont="true" applyBorder="true" applyAlignment="false" applyProtection="false">
      <alignment horizontal="general" vertical="bottom" textRotation="0" wrapText="false" indent="0" shrinkToFit="false"/>
      <protection locked="true" hidden="false"/>
    </xf>
    <xf numFmtId="164" fontId="0" fillId="0" borderId="10" xfId="20" applyFont="true" applyBorder="true" applyAlignment="false" applyProtection="false">
      <alignment horizontal="left" vertical="bottom" textRotation="0" wrapText="false" indent="0" shrinkToFit="false"/>
      <protection locked="true" hidden="false"/>
    </xf>
    <xf numFmtId="164" fontId="0" fillId="0" borderId="11" xfId="25" applyFont="false" applyBorder="true" applyAlignment="false" applyProtection="false">
      <alignment horizontal="general"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0" fillId="0" borderId="14" xfId="25" applyFont="false" applyBorder="true" applyAlignment="false" applyProtection="false">
      <alignment horizontal="general" vertical="bottom" textRotation="0" wrapText="false" indent="0" shrinkToFit="false"/>
      <protection locked="true" hidden="false"/>
    </xf>
    <xf numFmtId="164" fontId="4" fillId="0" borderId="15" xfId="24" applyFont="true" applyBorder="true" applyAlignment="false" applyProtection="false">
      <alignment horizontal="left" vertical="bottom" textRotation="0" wrapText="false" indent="0" shrinkToFit="false"/>
      <protection locked="true" hidden="false"/>
    </xf>
    <xf numFmtId="164" fontId="4" fillId="0" borderId="16" xfId="23" applyFont="false" applyBorder="true" applyAlignment="false" applyProtection="false">
      <alignment horizontal="general" vertical="bottom" textRotation="0" wrapText="false" indent="0" shrinkToFit="false"/>
      <protection locked="true" hidden="false"/>
    </xf>
    <xf numFmtId="164" fontId="4" fillId="13" borderId="1" xfId="0" applyFont="true" applyBorder="true" applyAlignment="true" applyProtection="true">
      <alignment horizontal="left" vertical="bottom" textRotation="0" wrapText="false" indent="0" shrinkToFit="false"/>
      <protection locked="true" hidden="false"/>
    </xf>
    <xf numFmtId="164" fontId="0" fillId="13" borderId="1" xfId="0" applyFont="true" applyBorder="true" applyAlignment="true" applyProtection="true">
      <alignment horizontal="general" vertical="bottom" textRotation="0" wrapText="false" indent="0" shrinkToFit="false"/>
      <protection locked="true" hidden="false"/>
    </xf>
    <xf numFmtId="164" fontId="0" fillId="13" borderId="1" xfId="0" applyFont="true" applyBorder="true" applyAlignment="true" applyProtection="true">
      <alignment horizontal="left" vertical="top" textRotation="0" wrapText="false" indent="0" shrinkToFit="false"/>
      <protection locked="true" hidden="false"/>
    </xf>
    <xf numFmtId="164" fontId="0" fillId="13" borderId="1" xfId="0" applyFont="true" applyBorder="true" applyAlignment="true" applyProtection="true">
      <alignment horizontal="general" vertical="top" textRotation="0" wrapText="false" indent="0" shrinkToFit="false"/>
      <protection locked="true" hidden="false"/>
    </xf>
    <xf numFmtId="164" fontId="0" fillId="13" borderId="1" xfId="0" applyFont="true" applyBorder="tru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CFF"/>
      <rgbColor rgb="FF808080"/>
      <rgbColor rgb="FF9999FF"/>
      <rgbColor rgb="FF993366"/>
      <rgbColor rgb="FFFFF2CC"/>
      <rgbColor rgb="FFCCFFFF"/>
      <rgbColor rgb="FF660066"/>
      <rgbColor rgb="FFFF8080"/>
      <rgbColor rgb="FF0070C0"/>
      <rgbColor rgb="FFD9D9D9"/>
      <rgbColor rgb="FF000080"/>
      <rgbColor rgb="FFFF00FF"/>
      <rgbColor rgb="FFF1C232"/>
      <rgbColor rgb="FF00FFFF"/>
      <rgbColor rgb="FF800080"/>
      <rgbColor rgb="FF800000"/>
      <rgbColor rgb="FF008080"/>
      <rgbColor rgb="FF0000FF"/>
      <rgbColor rgb="FF00CCFF"/>
      <rgbColor rgb="FFCCFFFF"/>
      <rgbColor rgb="FFE2EFD9"/>
      <rgbColor rgb="FFFEF2CB"/>
      <rgbColor rgb="FF9CC2E5"/>
      <rgbColor rgb="FFFF99CC"/>
      <rgbColor rgb="FFCC99FF"/>
      <rgbColor rgb="FFFFE598"/>
      <rgbColor rgb="FF3366FF"/>
      <rgbColor rgb="FF33CCCC"/>
      <rgbColor rgb="FF99CC00"/>
      <rgbColor rgb="FFFFC0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externalLink" Target="externalLinks/externalLink1.xml"/><Relationship Id="rId13" Type="http://schemas.openxmlformats.org/officeDocument/2006/relationships/externalLink" Target="externalLinks/externalLink2.xml"/><Relationship Id="rId14" Type="http://schemas.openxmlformats.org/officeDocument/2006/relationships/sharedStrings" Target="sharedStrings.xml"/><Relationship Id="rId15" Type="http://schemas.openxmlformats.org/officeDocument/2006/relationships/pivotCacheDefinition" Target="pivotCache/pivotCacheDefinition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CH2_PCRs/PCR1_spreadsheets/PCR1_Mimulus_CH2_maps_parameters.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H2_PCRs/PCR2_spreadsheets/MIM_CH2_v1_PCR2_maps_barcode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P4_PCR1_MIM52-56C"/>
      <sheetName val="P3_PCR1_MIM52-56C"/>
      <sheetName val="Plate_1-2_LongFormat"/>
      <sheetName val="P2_PCR1_MIM52-56C_03182023"/>
      <sheetName val="P1_PCR1_MIM52-56C_02252023"/>
    </sheetNames>
    <sheetDataSet>
      <sheetData sheetId="0"/>
      <sheetData sheetId="1"/>
      <sheetData sheetId="2">
        <row r="2">
          <cell r="A2" t="str">
            <v>HDRB_G007</v>
          </cell>
        </row>
        <row r="3">
          <cell r="A3" t="str">
            <v>WCFB_G012</v>
          </cell>
        </row>
        <row r="4">
          <cell r="A4" t="str">
            <v>KNOB_L005</v>
          </cell>
        </row>
        <row r="5">
          <cell r="A5" t="str">
            <v>NFWB_N003</v>
          </cell>
        </row>
        <row r="6">
          <cell r="A6" t="str">
            <v>SDSB_G010</v>
          </cell>
        </row>
        <row r="7">
          <cell r="A7" t="str">
            <v>TWGB_G001</v>
          </cell>
        </row>
        <row r="8">
          <cell r="A8" t="str">
            <v>BHEB_N002</v>
          </cell>
        </row>
        <row r="9">
          <cell r="A9" t="str">
            <v>TWGB_G006</v>
          </cell>
        </row>
        <row r="10">
          <cell r="A10" t="str">
            <v>SDSB_G002</v>
          </cell>
        </row>
        <row r="11">
          <cell r="A11" t="str">
            <v>HHBB_L008</v>
          </cell>
        </row>
        <row r="12">
          <cell r="A12" t="str">
            <v>SPLB_L001</v>
          </cell>
        </row>
        <row r="13">
          <cell r="A13" t="str">
            <v>KNOB_L010</v>
          </cell>
        </row>
        <row r="14">
          <cell r="A14" t="str">
            <v>CCRB_N006</v>
          </cell>
        </row>
        <row r="15">
          <cell r="A15" t="str">
            <v>SDSB_G008</v>
          </cell>
        </row>
        <row r="16">
          <cell r="A16" t="str">
            <v>BHEB_N005</v>
          </cell>
        </row>
        <row r="17">
          <cell r="A17" t="str">
            <v>OPNZ_L103</v>
          </cell>
        </row>
        <row r="18">
          <cell r="A18" t="str">
            <v>WCFB_L007</v>
          </cell>
        </row>
        <row r="19">
          <cell r="A19" t="str">
            <v>CCRB_N007</v>
          </cell>
        </row>
        <row r="20">
          <cell r="A20" t="str">
            <v>KNOB_L009</v>
          </cell>
        </row>
        <row r="21">
          <cell r="A21" t="str">
            <v>NFWB_N002</v>
          </cell>
        </row>
        <row r="22">
          <cell r="A22" t="str">
            <v>SPLB_L006</v>
          </cell>
        </row>
        <row r="23">
          <cell r="A23" t="str">
            <v>HDRB_G010</v>
          </cell>
        </row>
        <row r="24">
          <cell r="A24" t="str">
            <v>CCRB_N001</v>
          </cell>
        </row>
        <row r="25">
          <cell r="A25" t="str">
            <v>AGFB_L010</v>
          </cell>
        </row>
        <row r="26">
          <cell r="A26" t="str">
            <v>HUOB_G012</v>
          </cell>
        </row>
        <row r="27">
          <cell r="A27" t="str">
            <v>WSHB_G010</v>
          </cell>
        </row>
        <row r="28">
          <cell r="A28" t="str">
            <v>HUOB_G092</v>
          </cell>
        </row>
        <row r="29">
          <cell r="A29" t="str">
            <v>SPLB_L009</v>
          </cell>
        </row>
        <row r="30">
          <cell r="A30" t="str">
            <v>WSHB_G005</v>
          </cell>
        </row>
        <row r="31">
          <cell r="A31" t="str">
            <v>HHBB_G002</v>
          </cell>
        </row>
        <row r="32">
          <cell r="A32" t="str">
            <v>TRTZ_L006</v>
          </cell>
        </row>
        <row r="33">
          <cell r="A33" t="str">
            <v>SPLB_L007</v>
          </cell>
        </row>
        <row r="34">
          <cell r="A34" t="str">
            <v>TRTZ_L003</v>
          </cell>
        </row>
        <row r="35">
          <cell r="A35" t="str">
            <v>TWGB_G009</v>
          </cell>
        </row>
        <row r="36">
          <cell r="A36" t="str">
            <v>WCFB_G009</v>
          </cell>
        </row>
        <row r="37">
          <cell r="A37" t="str">
            <v>TRTZ_L005</v>
          </cell>
        </row>
        <row r="38">
          <cell r="A38" t="str">
            <v>TRTZ_L001</v>
          </cell>
        </row>
        <row r="39">
          <cell r="A39" t="str">
            <v>SPLB_L002</v>
          </cell>
        </row>
        <row r="40">
          <cell r="A40" t="str">
            <v>HDRB_G002</v>
          </cell>
        </row>
        <row r="41">
          <cell r="A41" t="str">
            <v>WCFB_G008</v>
          </cell>
        </row>
        <row r="42">
          <cell r="A42" t="str">
            <v>HHBB_G010</v>
          </cell>
        </row>
        <row r="43">
          <cell r="A43" t="str">
            <v>NFWB_L006</v>
          </cell>
        </row>
        <row r="44">
          <cell r="A44" t="str">
            <v>HUOB_G022</v>
          </cell>
        </row>
        <row r="45">
          <cell r="A45" t="str">
            <v>BHEB_G007</v>
          </cell>
        </row>
        <row r="46">
          <cell r="A46" t="str">
            <v>BHEB_G003</v>
          </cell>
        </row>
        <row r="47">
          <cell r="A47" t="str">
            <v>HDRB_G001</v>
          </cell>
        </row>
        <row r="48">
          <cell r="A48" t="str">
            <v>SDSB_G005</v>
          </cell>
        </row>
        <row r="49">
          <cell r="A49" t="str">
            <v>NFWB_N008</v>
          </cell>
        </row>
        <row r="50">
          <cell r="A50" t="str">
            <v>HHBB_L010</v>
          </cell>
        </row>
        <row r="51">
          <cell r="A51" t="str">
            <v>NFWB_N006</v>
          </cell>
        </row>
        <row r="52">
          <cell r="A52" t="str">
            <v>WSHB_G004</v>
          </cell>
        </row>
        <row r="53">
          <cell r="A53" t="str">
            <v>SDSB_G003</v>
          </cell>
        </row>
        <row r="54">
          <cell r="A54" t="str">
            <v>HUOB_G112</v>
          </cell>
        </row>
        <row r="55">
          <cell r="A55" t="str">
            <v>HDRB_G005</v>
          </cell>
        </row>
        <row r="56">
          <cell r="A56" t="str">
            <v>AGFB_N003</v>
          </cell>
        </row>
        <row r="57">
          <cell r="A57" t="str">
            <v>OSKB_L001</v>
          </cell>
        </row>
        <row r="58">
          <cell r="A58" t="str">
            <v>HDRB_G006</v>
          </cell>
        </row>
        <row r="59">
          <cell r="A59" t="str">
            <v>AGFB_L005</v>
          </cell>
        </row>
        <row r="60">
          <cell r="A60" t="str">
            <v>NFWB_N010</v>
          </cell>
        </row>
        <row r="61">
          <cell r="A61" t="str">
            <v>SPLB_L003</v>
          </cell>
        </row>
        <row r="62">
          <cell r="A62" t="str">
            <v>BHEB_N8_#2</v>
          </cell>
        </row>
        <row r="63">
          <cell r="A63" t="str">
            <v>WSHB_G003</v>
          </cell>
        </row>
        <row r="64">
          <cell r="A64" t="str">
            <v>TWGB_G002</v>
          </cell>
        </row>
        <row r="65">
          <cell r="A65" t="str">
            <v>WSHB_G5_B_x2</v>
          </cell>
        </row>
        <row r="66">
          <cell r="A66" t="str">
            <v>BHEB_G009</v>
          </cell>
        </row>
        <row r="67">
          <cell r="A67" t="str">
            <v>CCRB_N003</v>
          </cell>
        </row>
        <row r="68">
          <cell r="A68" t="str">
            <v>OPNZ_L104</v>
          </cell>
        </row>
        <row r="69">
          <cell r="A69" t="str">
            <v>HUOB_G062</v>
          </cell>
        </row>
        <row r="70">
          <cell r="A70" t="str">
            <v>WCFB_G004</v>
          </cell>
        </row>
        <row r="71">
          <cell r="A71" t="str">
            <v>WCFB_L009</v>
          </cell>
        </row>
        <row r="72">
          <cell r="A72" t="str">
            <v>WSHB_G002</v>
          </cell>
        </row>
        <row r="73">
          <cell r="A73" t="str">
            <v>BHEB_N006</v>
          </cell>
        </row>
        <row r="74">
          <cell r="A74" t="str">
            <v>BHEB_G006</v>
          </cell>
        </row>
        <row r="75">
          <cell r="A75" t="str">
            <v>CCRB_N001</v>
          </cell>
        </row>
        <row r="76">
          <cell r="A76" t="str">
            <v>BHEB_G002</v>
          </cell>
        </row>
        <row r="77">
          <cell r="A77" t="str">
            <v>OPNZ_L105</v>
          </cell>
        </row>
        <row r="78">
          <cell r="A78" t="str">
            <v>BHEB_N004</v>
          </cell>
        </row>
        <row r="79">
          <cell r="A79" t="str">
            <v>BHEB_G008</v>
          </cell>
        </row>
        <row r="80">
          <cell r="A80" t="str">
            <v>CCRB_N002</v>
          </cell>
        </row>
        <row r="81">
          <cell r="A81" t="str">
            <v>WSHB_G008</v>
          </cell>
        </row>
        <row r="82">
          <cell r="A82" t="str">
            <v>WSHB_G007</v>
          </cell>
        </row>
        <row r="83">
          <cell r="A83" t="str">
            <v>WCFB_L001</v>
          </cell>
        </row>
        <row r="84">
          <cell r="A84" t="str">
            <v>CCNB_G004</v>
          </cell>
        </row>
        <row r="85">
          <cell r="A85" t="str">
            <v>SDSB_G009</v>
          </cell>
        </row>
        <row r="86">
          <cell r="A86" t="str">
            <v>NFWB_L010</v>
          </cell>
        </row>
        <row r="87">
          <cell r="A87" t="str">
            <v>SPLB_L005</v>
          </cell>
        </row>
        <row r="88">
          <cell r="A88" t="str">
            <v>TRTZ_L004</v>
          </cell>
        </row>
        <row r="89">
          <cell r="A89" t="str">
            <v>HDRB_G202</v>
          </cell>
        </row>
        <row r="90">
          <cell r="A90" t="str">
            <v>C-8262022</v>
          </cell>
        </row>
        <row r="91">
          <cell r="A91" t="str">
            <v>C-9302022</v>
          </cell>
        </row>
        <row r="92">
          <cell r="A92" t="str">
            <v>C-10082022</v>
          </cell>
        </row>
        <row r="93">
          <cell r="A93" t="str">
            <v>C-11052022</v>
          </cell>
        </row>
        <row r="94">
          <cell r="A94" t="str">
            <v>C-A12192022</v>
          </cell>
        </row>
        <row r="95">
          <cell r="A95" t="str">
            <v>WCFB_G006</v>
          </cell>
        </row>
        <row r="96">
          <cell r="A96" t="str">
            <v>P1PCRPOS</v>
          </cell>
        </row>
        <row r="97">
          <cell r="A97" t="str">
            <v>P1PCRNEG</v>
          </cell>
        </row>
        <row r="98">
          <cell r="A98" t="str">
            <v>NFWB_N001</v>
          </cell>
        </row>
        <row r="99">
          <cell r="A99" t="str">
            <v>CCRB_N004</v>
          </cell>
        </row>
        <row r="100">
          <cell r="A100" t="str">
            <v>SDSB_G004</v>
          </cell>
        </row>
        <row r="101">
          <cell r="A101" t="str">
            <v>CCRB_N008</v>
          </cell>
        </row>
        <row r="102">
          <cell r="A102" t="str">
            <v>SDSB_B002</v>
          </cell>
        </row>
        <row r="103">
          <cell r="A103" t="str">
            <v>HUOB_G082</v>
          </cell>
        </row>
        <row r="104">
          <cell r="A104" t="str">
            <v>YCNB_L001</v>
          </cell>
        </row>
        <row r="105">
          <cell r="A105" t="str">
            <v>HHBB_G009</v>
          </cell>
        </row>
        <row r="106">
          <cell r="A106" t="str">
            <v>AGFB_L007</v>
          </cell>
        </row>
        <row r="107">
          <cell r="A107" t="str">
            <v>OPNZ_L107</v>
          </cell>
        </row>
        <row r="108">
          <cell r="A108" t="str">
            <v>HHBB_L009</v>
          </cell>
        </row>
        <row r="109">
          <cell r="A109" t="str">
            <v>AGFB_N009</v>
          </cell>
        </row>
        <row r="110">
          <cell r="A110" t="str">
            <v>KNOB_L002</v>
          </cell>
        </row>
        <row r="111">
          <cell r="A111" t="str">
            <v>YCNB_L002</v>
          </cell>
        </row>
        <row r="112">
          <cell r="A112" t="str">
            <v>AGFB_N004</v>
          </cell>
        </row>
        <row r="113">
          <cell r="A113" t="str">
            <v>BHEB_N007</v>
          </cell>
        </row>
        <row r="114">
          <cell r="A114" t="str">
            <v>HDRB_G009</v>
          </cell>
        </row>
        <row r="115">
          <cell r="A115" t="str">
            <v>WCFB_G007</v>
          </cell>
        </row>
        <row r="116">
          <cell r="A116" t="str">
            <v>BHEB_G001</v>
          </cell>
        </row>
        <row r="117">
          <cell r="A117" t="str">
            <v>BHEB_G005</v>
          </cell>
        </row>
        <row r="118">
          <cell r="A118" t="str">
            <v>KNOB_L008</v>
          </cell>
        </row>
        <row r="119">
          <cell r="A119" t="str">
            <v>AGFB_N008</v>
          </cell>
        </row>
        <row r="120">
          <cell r="A120" t="str">
            <v>YCNB_L009</v>
          </cell>
        </row>
        <row r="121">
          <cell r="A121" t="str">
            <v>CCRB_N005</v>
          </cell>
        </row>
        <row r="122">
          <cell r="A122" t="str">
            <v>NFWB_N009</v>
          </cell>
        </row>
        <row r="123">
          <cell r="A123" t="str">
            <v>KNOB_L004</v>
          </cell>
        </row>
        <row r="124">
          <cell r="A124" t="str">
            <v>WCFB_L010</v>
          </cell>
        </row>
        <row r="125">
          <cell r="A125" t="str">
            <v>OPNZ_L101</v>
          </cell>
        </row>
        <row r="126">
          <cell r="A126" t="str">
            <v>OSKB_L004</v>
          </cell>
        </row>
        <row r="127">
          <cell r="A127" t="str">
            <v>SDSB_B001</v>
          </cell>
        </row>
        <row r="128">
          <cell r="A128" t="str">
            <v>YCNB_L010</v>
          </cell>
        </row>
        <row r="129">
          <cell r="A129" t="str">
            <v>HHBB_G004</v>
          </cell>
        </row>
        <row r="130">
          <cell r="A130" t="str">
            <v>WSHB_G001</v>
          </cell>
        </row>
        <row r="131">
          <cell r="A131" t="str">
            <v>WCFB_L004</v>
          </cell>
        </row>
        <row r="132">
          <cell r="A132" t="str">
            <v>BHEB_N008</v>
          </cell>
        </row>
        <row r="133">
          <cell r="A133" t="str">
            <v>WCFB_G005</v>
          </cell>
        </row>
        <row r="134">
          <cell r="A134" t="str">
            <v>TWGB_G007</v>
          </cell>
        </row>
        <row r="135">
          <cell r="A135" t="str">
            <v>OSKB_L007</v>
          </cell>
        </row>
        <row r="136">
          <cell r="A136" t="str">
            <v>YCNB_L008</v>
          </cell>
        </row>
        <row r="137">
          <cell r="A137" t="str">
            <v>TRTZ_L002</v>
          </cell>
        </row>
        <row r="138">
          <cell r="A138" t="str">
            <v>HDRB_G008</v>
          </cell>
        </row>
        <row r="139">
          <cell r="A139" t="str">
            <v>AGFB_L002</v>
          </cell>
        </row>
        <row r="140">
          <cell r="A140" t="str">
            <v>HHBB_G001</v>
          </cell>
        </row>
        <row r="141">
          <cell r="A141" t="str">
            <v>AGFB_N007</v>
          </cell>
        </row>
        <row r="142">
          <cell r="A142" t="str">
            <v>LMZZ_G004</v>
          </cell>
        </row>
        <row r="143">
          <cell r="A143" t="str">
            <v>SDSB_B005</v>
          </cell>
        </row>
        <row r="144">
          <cell r="A144" t="str">
            <v>YCNB_L004</v>
          </cell>
        </row>
        <row r="145">
          <cell r="A145" t="str">
            <v>WCFB_L006</v>
          </cell>
        </row>
        <row r="146">
          <cell r="A146" t="str">
            <v>HDRB_G003</v>
          </cell>
        </row>
        <row r="147">
          <cell r="A147" t="str">
            <v>AGFB_L011</v>
          </cell>
        </row>
        <row r="148">
          <cell r="A148" t="str">
            <v>OSKB_L005</v>
          </cell>
        </row>
        <row r="149">
          <cell r="A149" t="str">
            <v>HHBB_L002</v>
          </cell>
        </row>
        <row r="150">
          <cell r="A150" t="str">
            <v>HUOB_N003</v>
          </cell>
        </row>
        <row r="151">
          <cell r="A151" t="str">
            <v>YCNB_L005</v>
          </cell>
        </row>
        <row r="152">
          <cell r="A152" t="str">
            <v>HULB_L002</v>
          </cell>
        </row>
        <row r="153">
          <cell r="A153" t="str">
            <v>WCFB_L011</v>
          </cell>
        </row>
        <row r="154">
          <cell r="A154" t="str">
            <v>YCNB_L007</v>
          </cell>
        </row>
        <row r="155">
          <cell r="A155" t="str">
            <v>TWGB_G008</v>
          </cell>
        </row>
        <row r="156">
          <cell r="A156" t="str">
            <v>WSHB_G009</v>
          </cell>
        </row>
        <row r="157">
          <cell r="A157" t="str">
            <v>AGFB_L004</v>
          </cell>
        </row>
        <row r="158">
          <cell r="A158" t="str">
            <v>AGFB_N005</v>
          </cell>
        </row>
        <row r="159">
          <cell r="A159" t="str">
            <v>CFZZ_G008</v>
          </cell>
        </row>
        <row r="160">
          <cell r="A160" t="str">
            <v>LMZZ_G002</v>
          </cell>
        </row>
        <row r="161">
          <cell r="A161" t="str">
            <v>OSKB_L002</v>
          </cell>
        </row>
        <row r="162">
          <cell r="A162" t="str">
            <v>OPNZ_L010</v>
          </cell>
        </row>
        <row r="163">
          <cell r="A163" t="str">
            <v>CCRB_N009</v>
          </cell>
        </row>
        <row r="164">
          <cell r="A164" t="str">
            <v>TRTZ_L010</v>
          </cell>
        </row>
        <row r="165">
          <cell r="A165" t="str">
            <v>AGFB_L006</v>
          </cell>
        </row>
        <row r="166">
          <cell r="A166" t="str">
            <v>KNOB_L001</v>
          </cell>
        </row>
        <row r="167">
          <cell r="A167" t="str">
            <v>HUOB_N005</v>
          </cell>
        </row>
        <row r="168">
          <cell r="A168" t="str">
            <v>LMZZ_G008</v>
          </cell>
        </row>
        <row r="169">
          <cell r="A169" t="str">
            <v>WCFB_G003</v>
          </cell>
        </row>
        <row r="170">
          <cell r="A170" t="str">
            <v>WCFB_G011</v>
          </cell>
        </row>
        <row r="171">
          <cell r="A171" t="str">
            <v>NFWB_L004</v>
          </cell>
        </row>
        <row r="172">
          <cell r="A172" t="str">
            <v>HHBB_G005</v>
          </cell>
        </row>
        <row r="173">
          <cell r="A173" t="str">
            <v>TWGB_G004</v>
          </cell>
        </row>
        <row r="174">
          <cell r="A174" t="str">
            <v>BHEB_N001</v>
          </cell>
        </row>
        <row r="175">
          <cell r="A175" t="str">
            <v>LMZZ_G006</v>
          </cell>
        </row>
        <row r="176">
          <cell r="A176" t="str">
            <v>CFZZ_G004</v>
          </cell>
        </row>
        <row r="177">
          <cell r="A177" t="str">
            <v>WCFB_G211</v>
          </cell>
        </row>
        <row r="178">
          <cell r="A178" t="str">
            <v>HDRB_G004</v>
          </cell>
        </row>
        <row r="179">
          <cell r="A179" t="str">
            <v>AGFB_L001</v>
          </cell>
        </row>
        <row r="180">
          <cell r="A180" t="str">
            <v>WCFB_G010</v>
          </cell>
        </row>
        <row r="181">
          <cell r="A181" t="str">
            <v>KNOB_L003</v>
          </cell>
        </row>
        <row r="182">
          <cell r="A182" t="str">
            <v>WSHB_G006</v>
          </cell>
        </row>
        <row r="183">
          <cell r="A183" t="str">
            <v>HUOB_N001</v>
          </cell>
        </row>
        <row r="184">
          <cell r="A184" t="str">
            <v>HHBB_L003</v>
          </cell>
        </row>
        <row r="185">
          <cell r="A185" t="str">
            <v>NFWB_N007</v>
          </cell>
        </row>
        <row r="186">
          <cell r="A186" t="str">
            <v>C-12192022</v>
          </cell>
        </row>
        <row r="187">
          <cell r="A187" t="str">
            <v>C-A1122023</v>
          </cell>
        </row>
        <row r="188">
          <cell r="A188" t="str">
            <v>C-B1122023</v>
          </cell>
        </row>
        <row r="189">
          <cell r="A189" t="str">
            <v>C-1192023</v>
          </cell>
        </row>
        <row r="190">
          <cell r="A190" t="str">
            <v>C-2042023</v>
          </cell>
        </row>
        <row r="191">
          <cell r="A191" t="str">
            <v>C-3142023</v>
          </cell>
        </row>
        <row r="192">
          <cell r="A192" t="str">
            <v>P2PCRPOS</v>
          </cell>
        </row>
        <row r="193">
          <cell r="A193" t="str">
            <v>P2PCRNEG</v>
          </cell>
        </row>
      </sheetData>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IM_CH2_V1_metadata"/>
      <sheetName val="PicoGreen_04252023"/>
      <sheetName val="PCR2_PLATE2_metadata"/>
      <sheetName val="PCR2_PLATE1_metadata"/>
      <sheetName val="PCR_PLATE2"/>
      <sheetName val="PCR_PLATE1"/>
      <sheetName val="Attached_indexes"/>
      <sheetName val="Final_Lib_pooling_calculato"/>
      <sheetName val="List of Barcodes"/>
    </sheetNames>
    <sheetDataSet>
      <sheetData sheetId="0"/>
      <sheetData sheetId="1"/>
      <sheetData sheetId="2"/>
      <sheetData sheetId="3"/>
      <sheetData sheetId="4"/>
      <sheetData sheetId="5"/>
      <sheetData sheetId="6">
        <row r="2">
          <cell r="C2" t="str">
            <v>HDRB_G007</v>
          </cell>
        </row>
        <row r="3">
          <cell r="C3" t="str">
            <v>WCFB_G012</v>
          </cell>
        </row>
        <row r="4">
          <cell r="C4" t="str">
            <v>KNOB_L005</v>
          </cell>
        </row>
        <row r="5">
          <cell r="C5" t="str">
            <v>NFWB_N003</v>
          </cell>
        </row>
        <row r="6">
          <cell r="C6" t="str">
            <v>SDSB_G010</v>
          </cell>
        </row>
        <row r="7">
          <cell r="C7" t="str">
            <v>TWGB_G001</v>
          </cell>
        </row>
        <row r="8">
          <cell r="C8" t="str">
            <v>BHEB_N002</v>
          </cell>
        </row>
        <row r="9">
          <cell r="C9" t="str">
            <v>TWGB_G006</v>
          </cell>
        </row>
        <row r="10">
          <cell r="C10" t="str">
            <v>SDSB_G002</v>
          </cell>
        </row>
        <row r="11">
          <cell r="C11" t="str">
            <v>HHBB_L008</v>
          </cell>
        </row>
        <row r="12">
          <cell r="C12" t="str">
            <v>SPLB_L001</v>
          </cell>
        </row>
        <row r="13">
          <cell r="C13" t="str">
            <v>KNOB_L010</v>
          </cell>
        </row>
        <row r="14">
          <cell r="C14" t="str">
            <v>CCRB_N006</v>
          </cell>
        </row>
        <row r="15">
          <cell r="C15" t="str">
            <v>SDSB_G008</v>
          </cell>
        </row>
        <row r="16">
          <cell r="C16" t="str">
            <v>BHEB_N005</v>
          </cell>
        </row>
        <row r="17">
          <cell r="C17" t="str">
            <v>OPNZ_L103</v>
          </cell>
        </row>
        <row r="18">
          <cell r="C18" t="str">
            <v>WCFB_L007</v>
          </cell>
        </row>
        <row r="19">
          <cell r="C19" t="str">
            <v>CCRB_N007</v>
          </cell>
        </row>
        <row r="20">
          <cell r="C20" t="str">
            <v>KNOB_L009</v>
          </cell>
        </row>
        <row r="21">
          <cell r="C21" t="str">
            <v>NFWB_N002</v>
          </cell>
        </row>
        <row r="22">
          <cell r="C22" t="str">
            <v>SPLB_L006</v>
          </cell>
        </row>
        <row r="23">
          <cell r="C23" t="str">
            <v>HDRB_G010</v>
          </cell>
        </row>
        <row r="24">
          <cell r="C24" t="str">
            <v>CCRB_N001</v>
          </cell>
        </row>
        <row r="25">
          <cell r="C25" t="str">
            <v>AGFB_L010</v>
          </cell>
        </row>
        <row r="26">
          <cell r="C26" t="str">
            <v>HUOB_G012</v>
          </cell>
        </row>
        <row r="27">
          <cell r="C27" t="str">
            <v>WSHB_G010</v>
          </cell>
        </row>
        <row r="28">
          <cell r="C28" t="str">
            <v>HUOB_G092</v>
          </cell>
        </row>
        <row r="29">
          <cell r="C29" t="str">
            <v>SPLB_L009</v>
          </cell>
        </row>
        <row r="30">
          <cell r="C30" t="str">
            <v>WSHB_G005</v>
          </cell>
        </row>
        <row r="31">
          <cell r="C31" t="str">
            <v>HHBB_G002</v>
          </cell>
        </row>
        <row r="32">
          <cell r="C32" t="str">
            <v>TRTZ_L006</v>
          </cell>
        </row>
        <row r="33">
          <cell r="C33" t="str">
            <v>SPLB_L007</v>
          </cell>
        </row>
        <row r="34">
          <cell r="C34" t="str">
            <v>TRTZ_L003</v>
          </cell>
        </row>
        <row r="35">
          <cell r="C35" t="str">
            <v>TWGB_G009</v>
          </cell>
        </row>
        <row r="36">
          <cell r="C36" t="str">
            <v>WCFB_G009</v>
          </cell>
        </row>
        <row r="37">
          <cell r="C37" t="str">
            <v>TRTZ_L005</v>
          </cell>
        </row>
        <row r="38">
          <cell r="C38" t="str">
            <v>TRTZ_L001</v>
          </cell>
        </row>
        <row r="39">
          <cell r="C39" t="str">
            <v>SPLB_L002</v>
          </cell>
        </row>
        <row r="40">
          <cell r="C40" t="str">
            <v>HDRB_G002</v>
          </cell>
        </row>
        <row r="41">
          <cell r="C41" t="str">
            <v>WCFB_G008</v>
          </cell>
        </row>
        <row r="42">
          <cell r="C42" t="str">
            <v>HHBB_G010</v>
          </cell>
        </row>
        <row r="43">
          <cell r="C43" t="str">
            <v>NFWB_L006</v>
          </cell>
        </row>
        <row r="44">
          <cell r="C44" t="str">
            <v>HUOB_G022</v>
          </cell>
        </row>
        <row r="45">
          <cell r="C45" t="str">
            <v>BHEB_G007</v>
          </cell>
        </row>
        <row r="46">
          <cell r="C46" t="str">
            <v>BHEB_G003</v>
          </cell>
        </row>
        <row r="47">
          <cell r="C47" t="str">
            <v>HDRB_G001</v>
          </cell>
        </row>
        <row r="48">
          <cell r="C48" t="str">
            <v>SDSB_G005</v>
          </cell>
        </row>
        <row r="49">
          <cell r="C49" t="str">
            <v>NFWB_N008</v>
          </cell>
        </row>
        <row r="50">
          <cell r="C50" t="str">
            <v>HHBB_L010</v>
          </cell>
        </row>
        <row r="51">
          <cell r="C51" t="str">
            <v>NFWB_N006</v>
          </cell>
        </row>
        <row r="52">
          <cell r="C52" t="str">
            <v>WSHB_G004</v>
          </cell>
        </row>
        <row r="53">
          <cell r="C53" t="str">
            <v>SDSB_G003</v>
          </cell>
        </row>
        <row r="54">
          <cell r="C54" t="str">
            <v>HDRB_G005</v>
          </cell>
        </row>
        <row r="55">
          <cell r="C55" t="str">
            <v>HUOB_G112</v>
          </cell>
        </row>
        <row r="56">
          <cell r="C56" t="str">
            <v>AGFB_N003</v>
          </cell>
        </row>
        <row r="57">
          <cell r="C57" t="str">
            <v>OSKB_L001</v>
          </cell>
        </row>
        <row r="58">
          <cell r="C58" t="str">
            <v>HDRB_G006</v>
          </cell>
        </row>
        <row r="59">
          <cell r="C59" t="str">
            <v>AGFB_L005</v>
          </cell>
        </row>
        <row r="60">
          <cell r="C60" t="str">
            <v>NFWB_N010</v>
          </cell>
        </row>
        <row r="61">
          <cell r="C61" t="str">
            <v>SPLB_L003</v>
          </cell>
        </row>
        <row r="62">
          <cell r="C62" t="str">
            <v>BHEB_N8_#2</v>
          </cell>
        </row>
        <row r="63">
          <cell r="C63" t="str">
            <v>WSHB_G003</v>
          </cell>
        </row>
        <row r="64">
          <cell r="C64" t="str">
            <v>TWGB_G002</v>
          </cell>
        </row>
        <row r="65">
          <cell r="C65" t="str">
            <v>WSHB_G5_B_x2</v>
          </cell>
        </row>
        <row r="66">
          <cell r="C66" t="str">
            <v>BHEB_G009</v>
          </cell>
        </row>
        <row r="67">
          <cell r="C67" t="str">
            <v>CCRB_N003</v>
          </cell>
        </row>
        <row r="68">
          <cell r="C68" t="str">
            <v>OPNZ_L104</v>
          </cell>
        </row>
        <row r="69">
          <cell r="C69" t="str">
            <v>HUOB_G062</v>
          </cell>
        </row>
        <row r="70">
          <cell r="C70" t="str">
            <v>WCFB_G004</v>
          </cell>
        </row>
        <row r="71">
          <cell r="C71" t="str">
            <v>WCFB_L009</v>
          </cell>
        </row>
        <row r="72">
          <cell r="C72" t="str">
            <v>WSHB_G002</v>
          </cell>
        </row>
        <row r="73">
          <cell r="C73" t="str">
            <v>BHEB_N006</v>
          </cell>
        </row>
        <row r="74">
          <cell r="C74" t="str">
            <v>BHEB_G006</v>
          </cell>
        </row>
        <row r="75">
          <cell r="C75" t="str">
            <v>CCRB_N001</v>
          </cell>
        </row>
        <row r="76">
          <cell r="C76" t="str">
            <v>BHEB_G002</v>
          </cell>
        </row>
        <row r="77">
          <cell r="C77" t="str">
            <v>OPNZ_L105</v>
          </cell>
        </row>
        <row r="78">
          <cell r="C78" t="str">
            <v>BHEB_N004</v>
          </cell>
        </row>
        <row r="79">
          <cell r="C79" t="str">
            <v>BHEB_G008</v>
          </cell>
        </row>
        <row r="80">
          <cell r="C80" t="str">
            <v>CCRB_N002</v>
          </cell>
        </row>
        <row r="81">
          <cell r="C81" t="str">
            <v>WSHB_G008</v>
          </cell>
        </row>
        <row r="82">
          <cell r="C82" t="str">
            <v>WSHB_G007</v>
          </cell>
        </row>
        <row r="83">
          <cell r="C83" t="str">
            <v>WCFB_L001</v>
          </cell>
        </row>
        <row r="84">
          <cell r="C84" t="str">
            <v>CCNB_G004</v>
          </cell>
        </row>
        <row r="85">
          <cell r="C85" t="str">
            <v>SDSB_G009</v>
          </cell>
        </row>
        <row r="86">
          <cell r="C86" t="str">
            <v>NFWB_L010</v>
          </cell>
        </row>
        <row r="87">
          <cell r="C87" t="str">
            <v>SPLB_L005</v>
          </cell>
        </row>
        <row r="88">
          <cell r="C88" t="str">
            <v>TRTZ_L004</v>
          </cell>
        </row>
        <row r="89">
          <cell r="C89" t="str">
            <v>HDRB_G202</v>
          </cell>
        </row>
        <row r="90">
          <cell r="C90" t="str">
            <v>C-8262022</v>
          </cell>
        </row>
        <row r="91">
          <cell r="C91" t="str">
            <v>C-9302022</v>
          </cell>
        </row>
        <row r="92">
          <cell r="C92" t="str">
            <v>C-10082022</v>
          </cell>
        </row>
        <row r="93">
          <cell r="C93" t="str">
            <v>C-11052022</v>
          </cell>
        </row>
        <row r="94">
          <cell r="C94" t="str">
            <v>C-A12192022</v>
          </cell>
        </row>
        <row r="95">
          <cell r="C95" t="str">
            <v>WCFB_G006</v>
          </cell>
        </row>
        <row r="96">
          <cell r="C96" t="str">
            <v>P1PCR1NEG</v>
          </cell>
        </row>
        <row r="97">
          <cell r="C97" t="str">
            <v>P1PCR2NEG</v>
          </cell>
        </row>
        <row r="98">
          <cell r="C98" t="str">
            <v>NFWB_N001</v>
          </cell>
        </row>
        <row r="99">
          <cell r="C99" t="str">
            <v>CCRB_N004</v>
          </cell>
        </row>
        <row r="100">
          <cell r="C100" t="str">
            <v>SDSB_G004</v>
          </cell>
        </row>
        <row r="101">
          <cell r="C101" t="str">
            <v>CCRB_N008</v>
          </cell>
        </row>
        <row r="102">
          <cell r="C102" t="str">
            <v>SDSB_B002</v>
          </cell>
        </row>
        <row r="103">
          <cell r="C103" t="str">
            <v>HUOB_G082</v>
          </cell>
        </row>
        <row r="104">
          <cell r="C104" t="str">
            <v>YCNB_L001</v>
          </cell>
        </row>
        <row r="105">
          <cell r="C105" t="str">
            <v>HHBB_G009</v>
          </cell>
        </row>
        <row r="106">
          <cell r="C106" t="str">
            <v>AGFB_L007</v>
          </cell>
        </row>
        <row r="107">
          <cell r="C107" t="str">
            <v>OPNZ_L107</v>
          </cell>
        </row>
        <row r="108">
          <cell r="C108" t="str">
            <v>HHBB_L009</v>
          </cell>
        </row>
        <row r="109">
          <cell r="C109" t="str">
            <v>AGFB_N009</v>
          </cell>
        </row>
        <row r="110">
          <cell r="C110" t="str">
            <v>KNOB_L002</v>
          </cell>
        </row>
        <row r="111">
          <cell r="C111" t="str">
            <v>YCNB_L002</v>
          </cell>
        </row>
        <row r="112">
          <cell r="C112" t="str">
            <v>AGFB_N004</v>
          </cell>
        </row>
        <row r="113">
          <cell r="C113" t="str">
            <v>BHEB_N007</v>
          </cell>
        </row>
        <row r="114">
          <cell r="C114" t="str">
            <v>HDRB_G009</v>
          </cell>
        </row>
        <row r="115">
          <cell r="C115" t="str">
            <v>WCFB_G007</v>
          </cell>
        </row>
        <row r="116">
          <cell r="C116" t="str">
            <v>BHEB_G001</v>
          </cell>
        </row>
        <row r="117">
          <cell r="C117" t="str">
            <v>BHEB_G005</v>
          </cell>
        </row>
        <row r="118">
          <cell r="C118" t="str">
            <v>KNOB_L008</v>
          </cell>
        </row>
        <row r="119">
          <cell r="C119" t="str">
            <v>AGFB_N008</v>
          </cell>
        </row>
        <row r="120">
          <cell r="C120" t="str">
            <v>YCNB_L009</v>
          </cell>
        </row>
        <row r="121">
          <cell r="C121" t="str">
            <v>CCRB_N005</v>
          </cell>
        </row>
        <row r="122">
          <cell r="C122" t="str">
            <v>NFWB_N009</v>
          </cell>
        </row>
        <row r="123">
          <cell r="C123" t="str">
            <v>KNOB_L004</v>
          </cell>
        </row>
        <row r="124">
          <cell r="C124" t="str">
            <v>WCFB_L010</v>
          </cell>
        </row>
        <row r="125">
          <cell r="C125" t="str">
            <v>OPNZ_L101</v>
          </cell>
        </row>
        <row r="126">
          <cell r="C126" t="str">
            <v>OSKB_L004</v>
          </cell>
        </row>
        <row r="127">
          <cell r="C127" t="str">
            <v>SDSB_B001</v>
          </cell>
        </row>
        <row r="128">
          <cell r="C128" t="str">
            <v>YCNB_L010</v>
          </cell>
        </row>
        <row r="129">
          <cell r="C129" t="str">
            <v>HHBB_G004</v>
          </cell>
        </row>
        <row r="130">
          <cell r="C130" t="str">
            <v>WSHB_G001</v>
          </cell>
        </row>
        <row r="131">
          <cell r="C131" t="str">
            <v>WCFB_L004</v>
          </cell>
        </row>
        <row r="132">
          <cell r="C132" t="str">
            <v>BHEB_N008</v>
          </cell>
        </row>
        <row r="133">
          <cell r="C133" t="str">
            <v>WCFB_G005</v>
          </cell>
        </row>
        <row r="134">
          <cell r="C134" t="str">
            <v>TWGB_G007</v>
          </cell>
        </row>
        <row r="135">
          <cell r="C135" t="str">
            <v>OSKB_L007</v>
          </cell>
        </row>
        <row r="136">
          <cell r="C136" t="str">
            <v>YCNB_L008</v>
          </cell>
        </row>
        <row r="137">
          <cell r="C137" t="str">
            <v>TRTZ_L002</v>
          </cell>
        </row>
        <row r="138">
          <cell r="C138" t="str">
            <v>HDRB_G008</v>
          </cell>
        </row>
        <row r="139">
          <cell r="C139" t="str">
            <v>AGFB_L002</v>
          </cell>
        </row>
        <row r="140">
          <cell r="C140" t="str">
            <v>HHBB_G001</v>
          </cell>
        </row>
        <row r="141">
          <cell r="C141" t="str">
            <v>AGFB_N007</v>
          </cell>
        </row>
        <row r="142">
          <cell r="C142" t="str">
            <v>LMZZ_G004</v>
          </cell>
        </row>
        <row r="143">
          <cell r="C143" t="str">
            <v>SDSB_B005</v>
          </cell>
        </row>
        <row r="144">
          <cell r="C144" t="str">
            <v>YCNB_L004</v>
          </cell>
        </row>
        <row r="145">
          <cell r="C145" t="str">
            <v>WCFB_L006</v>
          </cell>
        </row>
        <row r="146">
          <cell r="C146" t="str">
            <v>HDRB_G003</v>
          </cell>
        </row>
        <row r="147">
          <cell r="C147" t="str">
            <v>AGFB_L011</v>
          </cell>
        </row>
        <row r="148">
          <cell r="C148" t="str">
            <v>OSKB_L005</v>
          </cell>
        </row>
        <row r="149">
          <cell r="C149" t="str">
            <v>HHBB_L002</v>
          </cell>
        </row>
        <row r="150">
          <cell r="C150" t="str">
            <v>HUOB_N003</v>
          </cell>
        </row>
        <row r="151">
          <cell r="C151" t="str">
            <v>YCNB_L005</v>
          </cell>
        </row>
        <row r="152">
          <cell r="C152" t="str">
            <v>HULB_L002</v>
          </cell>
        </row>
        <row r="153">
          <cell r="C153" t="str">
            <v>WCFB_L011</v>
          </cell>
        </row>
        <row r="154">
          <cell r="C154" t="str">
            <v>YCNB_L007</v>
          </cell>
        </row>
        <row r="155">
          <cell r="C155" t="str">
            <v>TWGB_G008</v>
          </cell>
        </row>
        <row r="156">
          <cell r="C156" t="str">
            <v>WSHB_G009</v>
          </cell>
        </row>
        <row r="157">
          <cell r="C157" t="str">
            <v>AGFB_L004</v>
          </cell>
        </row>
        <row r="158">
          <cell r="C158" t="str">
            <v>AGFB_N005</v>
          </cell>
        </row>
        <row r="159">
          <cell r="C159" t="str">
            <v>CFZZ_G008</v>
          </cell>
        </row>
        <row r="160">
          <cell r="C160" t="str">
            <v>LMZZ_G002</v>
          </cell>
        </row>
        <row r="161">
          <cell r="C161" t="str">
            <v>OSKB_L002</v>
          </cell>
        </row>
        <row r="162">
          <cell r="C162" t="str">
            <v>OPNZ_L010</v>
          </cell>
        </row>
        <row r="163">
          <cell r="C163" t="str">
            <v>CCRB_N009</v>
          </cell>
        </row>
        <row r="164">
          <cell r="C164" t="str">
            <v>TRTZ_L010</v>
          </cell>
        </row>
        <row r="165">
          <cell r="C165" t="str">
            <v>AGFB_L006</v>
          </cell>
        </row>
        <row r="166">
          <cell r="C166" t="str">
            <v>KNOB_L001</v>
          </cell>
        </row>
        <row r="167">
          <cell r="C167" t="str">
            <v>HUOB_N005</v>
          </cell>
        </row>
        <row r="168">
          <cell r="C168" t="str">
            <v>LMZZ_G008</v>
          </cell>
        </row>
        <row r="169">
          <cell r="C169" t="str">
            <v>WCFB_G003</v>
          </cell>
        </row>
        <row r="170">
          <cell r="C170" t="str">
            <v>WCFB_G011</v>
          </cell>
        </row>
        <row r="171">
          <cell r="C171" t="str">
            <v>NFWB_L004</v>
          </cell>
        </row>
        <row r="172">
          <cell r="C172" t="str">
            <v>HHBB_G005</v>
          </cell>
        </row>
        <row r="173">
          <cell r="C173" t="str">
            <v>TWGB_G004</v>
          </cell>
        </row>
        <row r="174">
          <cell r="C174" t="str">
            <v>BHEB_N001</v>
          </cell>
        </row>
        <row r="175">
          <cell r="C175" t="str">
            <v>LMZZ_G006</v>
          </cell>
        </row>
        <row r="176">
          <cell r="C176" t="str">
            <v>CFZZ_G004</v>
          </cell>
        </row>
        <row r="177">
          <cell r="C177" t="str">
            <v>WCFB_G211</v>
          </cell>
        </row>
        <row r="178">
          <cell r="C178" t="str">
            <v>HDRB_G004</v>
          </cell>
        </row>
        <row r="179">
          <cell r="C179" t="str">
            <v>AGFB_L001</v>
          </cell>
        </row>
        <row r="180">
          <cell r="C180" t="str">
            <v>WCFB_G010</v>
          </cell>
        </row>
        <row r="181">
          <cell r="C181" t="str">
            <v>KNOB_L003</v>
          </cell>
        </row>
        <row r="182">
          <cell r="C182" t="str">
            <v>WSHB_G006</v>
          </cell>
        </row>
        <row r="183">
          <cell r="C183" t="str">
            <v>HUOB_N001</v>
          </cell>
        </row>
        <row r="184">
          <cell r="C184" t="str">
            <v>HHBB_L003</v>
          </cell>
        </row>
        <row r="185">
          <cell r="C185" t="str">
            <v>NFWB_N007</v>
          </cell>
        </row>
        <row r="186">
          <cell r="C186" t="str">
            <v>C-12192022</v>
          </cell>
        </row>
        <row r="187">
          <cell r="C187" t="str">
            <v>C-A1122023</v>
          </cell>
        </row>
        <row r="188">
          <cell r="C188" t="str">
            <v>C-B1122023</v>
          </cell>
        </row>
        <row r="189">
          <cell r="C189" t="str">
            <v>C-1192023</v>
          </cell>
        </row>
        <row r="190">
          <cell r="C190" t="str">
            <v>C-2042023</v>
          </cell>
        </row>
        <row r="191">
          <cell r="C191" t="str">
            <v>C-3142023</v>
          </cell>
        </row>
        <row r="192">
          <cell r="C192" t="str">
            <v>P2PCR1NEG</v>
          </cell>
        </row>
        <row r="193">
          <cell r="C193" t="str">
            <v>P2PCR2NEG</v>
          </cell>
        </row>
      </sheetData>
      <sheetData sheetId="7"/>
      <sheetData sheetId="8"/>
    </sheetDataSet>
  </externalBook>
</externalLink>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145" createdVersion="3">
  <cacheSource type="worksheet">
    <worksheetSource ref="B1:M1164" sheet="DNA_PCR_progress"/>
  </cacheSource>
  <cacheFields count="12">
    <cacheField name="Population" numFmtId="0">
      <sharedItems containsBlank="1" count="30">
        <s v="AGFB"/>
        <s v="BHEB"/>
        <s v="BMLZ"/>
        <s v="C-"/>
        <s v="CCNB"/>
        <s v="CCRB"/>
        <s v="CFZZ"/>
        <s v="FVWB"/>
        <s v="HDRB"/>
        <s v="HHBB"/>
        <s v="HULB"/>
        <s v="HUOB"/>
        <s v="KNOB"/>
        <s v="LMZZ"/>
        <s v="LYFB"/>
        <s v="NFWB"/>
        <s v="OPNZ"/>
        <s v="OSKB"/>
        <s v="S1"/>
        <s v="S2"/>
        <s v="SDSB"/>
        <s v="SHLZ"/>
        <s v="SPLB"/>
        <s v="TRTB"/>
        <s v="TRTZ"/>
        <s v="TWGB"/>
        <s v="WCFB"/>
        <s v="WSHB"/>
        <s v="YCNB"/>
        <m/>
      </sharedItems>
    </cacheField>
    <cacheField name="Species" numFmtId="0">
      <sharedItems containsBlank="1" count="6">
        <s v="A"/>
        <s v="B"/>
        <s v="M. guttatus"/>
        <s v="M. laciniatus"/>
        <s v="M. nasutus"/>
        <m/>
      </sharedItems>
    </cacheField>
    <cacheField name="Hybrid" numFmtId="0">
      <sharedItems containsBlank="1" count="2">
        <s v="Y"/>
        <m/>
      </sharedItems>
    </cacheField>
    <cacheField name="Sample" numFmtId="0">
      <sharedItems containsString="0" containsBlank="1" containsNumber="1" containsInteger="1" minValue="1" maxValue="12192022" count="51">
        <n v="1"/>
        <n v="2"/>
        <n v="3"/>
        <n v="4"/>
        <n v="5"/>
        <n v="6"/>
        <n v="7"/>
        <n v="8"/>
        <n v="9"/>
        <n v="10"/>
        <n v="11"/>
        <n v="12"/>
        <n v="22"/>
        <n v="32"/>
        <n v="42"/>
        <n v="52"/>
        <n v="62"/>
        <n v="72"/>
        <n v="82"/>
        <n v="92"/>
        <n v="101"/>
        <n v="102"/>
        <n v="103"/>
        <n v="104"/>
        <n v="105"/>
        <n v="106"/>
        <n v="107"/>
        <n v="108"/>
        <n v="109"/>
        <n v="110"/>
        <n v="112"/>
        <n v="122"/>
        <n v="1122023"/>
        <n v="1162023"/>
        <n v="1192023"/>
        <n v="2042023"/>
        <n v="2062023"/>
        <n v="3142023"/>
        <n v="5072023"/>
        <n v="5102023"/>
        <n v="5122023"/>
        <n v="5152023"/>
        <n v="5252023"/>
        <n v="5302023"/>
        <n v="5312023"/>
        <n v="8262022"/>
        <n v="9302022"/>
        <n v="10082022"/>
        <n v="11052022"/>
        <n v="12192022"/>
        <m/>
      </sharedItems>
    </cacheField>
    <cacheField name="Sequen_ID" numFmtId="0">
      <sharedItems containsBlank="1" count="362">
        <s v=""/>
        <s v="_"/>
        <s v="AGFB_M. laciniatus001"/>
        <s v="AGFB_M. laciniatus002"/>
        <s v="AGFB_M. laciniatus003"/>
        <s v="AGFB_M. laciniatus004"/>
        <s v="AGFB_M. laciniatus005"/>
        <s v="AGFB_M. laciniatus006"/>
        <s v="AGFB_M. laciniatus007"/>
        <s v="AGFB_M. laciniatus008"/>
        <s v="AGFB_M. laciniatus009"/>
        <s v="AGFB_M. laciniatus010"/>
        <s v="AGFB_M. laciniatus011"/>
        <s v="AGFB_M. nasutus001"/>
        <s v="AGFB_M. nasutus002"/>
        <s v="AGFB_M. nasutus003"/>
        <s v="AGFB_M. nasutus004"/>
        <s v="AGFB_M. nasutus005"/>
        <s v="AGFB_M. nasutus006"/>
        <s v="AGFB_M. nasutus007"/>
        <s v="AGFB_M. nasutus008"/>
        <s v="AGFB_M. nasutus009"/>
        <s v="AGFB_M. nasutus010"/>
        <s v="BHEB_M. guttatus001"/>
        <s v="BHEB_M. guttatus002"/>
        <s v="BHEB_M. guttatus003"/>
        <s v="BHEB_M. guttatus004"/>
        <s v="BHEB_M. guttatus005"/>
        <s v="BHEB_M. guttatus006"/>
        <s v="BHEB_M. guttatus007"/>
        <s v="BHEB_M. guttatus008"/>
        <s v="BHEB_M. guttatus009"/>
        <s v="BHEB_M. guttatus010"/>
        <s v="BHEB_M. nasutus001"/>
        <s v="BHEB_M. nasutus002"/>
        <s v="BHEB_M. nasutus003"/>
        <s v="BHEB_M. nasutus004"/>
        <s v="BHEB_M. nasutus005"/>
        <s v="BHEB_M. nasutus006"/>
        <s v="BHEB_M. nasutus007"/>
        <s v="BHEB_M. nasutus008"/>
        <s v="BHEB_N8_#2"/>
        <s v="BMLZ_M. guttatus001"/>
        <s v="BMLZ_M. guttatus002"/>
        <s v="BMLZ_M. guttatus003"/>
        <s v="BMLZ_M. guttatus004"/>
        <s v="BMLZ_M. guttatus005"/>
        <s v="BMLZ_M. laciniatus001"/>
        <s v="BMLZ_M. laciniatus002"/>
        <s v="BMLZ_M. laciniatus003"/>
        <s v="BMLZ_M. laciniatus004"/>
        <s v="BMLZ_M. laciniatus005"/>
        <s v="C-10082022"/>
        <s v="C-11052022"/>
        <s v="C-1192023"/>
        <s v="C-12192022"/>
        <s v="C-2042023"/>
        <s v="C-3142023"/>
        <s v="C-5072023"/>
        <s v="C-5102023"/>
        <s v="C-5122023"/>
        <s v="C-5152023"/>
        <s v="C-5252023"/>
        <s v="C-5302023"/>
        <s v="C-5312023"/>
        <s v="C-8262022"/>
        <s v="C-9302022"/>
        <s v="C-A1122023"/>
        <s v="C-A12192022"/>
        <s v="C-B1122023"/>
        <s v="C-B12192022"/>
        <s v="CCNB_B001"/>
        <s v="CCNB_B002"/>
        <s v="CCNB_B003"/>
        <s v="CCNB_B004"/>
        <s v="CCNB_M. guttatus001"/>
        <s v="CCNB_M. guttatus002"/>
        <s v="CCNB_M. guttatus003"/>
        <s v="CCNB_M. guttatus004"/>
        <s v="CCNB_M. guttatus005"/>
        <s v="CCNB_M. guttatus006"/>
        <s v="CCNB_M. guttatus007"/>
        <s v="CCNB_M. guttatus008"/>
        <s v="CCNB_M. guttatus009"/>
        <s v="CCNB_M. guttatus010"/>
        <s v="CCNB_M. guttatus011"/>
        <s v="CCNB_M. guttatus012"/>
        <s v="CCRB_M. nasutus001"/>
        <s v="CCRB_M. nasutus002"/>
        <s v="CCRB_M. nasutus003"/>
        <s v="CCRB_M. nasutus004"/>
        <s v="CCRB_M. nasutus005"/>
        <s v="CCRB_M. nasutus006"/>
        <s v="CCRB_M. nasutus007"/>
        <s v="CCRB_M. nasutus008"/>
        <s v="CCRB_M. nasutus009"/>
        <s v="CFZZ_M. guttatus001"/>
        <s v="CFZZ_M. guttatus002"/>
        <s v="CFZZ_M. guttatus003"/>
        <s v="CFZZ_M. guttatus004"/>
        <s v="CFZZ_M. guttatus005"/>
        <s v="CFZZ_M. guttatus006"/>
        <s v="CFZZ_M. guttatus007"/>
        <s v="CFZZ_M. guttatus008"/>
        <s v="CFZZ_M. guttatus009"/>
        <s v="CFZZ_M. guttatus010"/>
        <s v="FVWB_M. guttatus001"/>
        <s v="HDRB_M. guttatus001"/>
        <s v="HDRB_M. guttatus002"/>
        <s v="HDRB_M. guttatus003"/>
        <s v="HDRB_M. guttatus004"/>
        <s v="HDRB_M. guttatus005"/>
        <s v="HDRB_M. guttatus006"/>
        <s v="HDRB_M. guttatus007"/>
        <s v="HDRB_M. guttatus008"/>
        <s v="HDRB_M. guttatus009"/>
        <s v="HDRB_M. guttatus010"/>
        <s v="HHBB_M. guttatus001"/>
        <s v="HHBB_M. guttatus002"/>
        <s v="HHBB_M. guttatus003"/>
        <s v="HHBB_M. guttatus004"/>
        <s v="HHBB_M. guttatus005"/>
        <s v="HHBB_M. guttatus006"/>
        <s v="HHBB_M. guttatus007"/>
        <s v="HHBB_M. guttatus008"/>
        <s v="HHBB_M. guttatus009"/>
        <s v="HHBB_M. guttatus010"/>
        <s v="HHBB_M. laciniatus001"/>
        <s v="HHBB_M. laciniatus002"/>
        <s v="HHBB_M. laciniatus003"/>
        <s v="HHBB_M. laciniatus004"/>
        <s v="HHBB_M. laciniatus005"/>
        <s v="HHBB_M. laciniatus006"/>
        <s v="HHBB_M. laciniatus007"/>
        <s v="HHBB_M. laciniatus008"/>
        <s v="HHBB_M. laciniatus009"/>
        <s v="HHBB_M. laciniatus010"/>
        <s v="HULB_M. guttatus001"/>
        <s v="HULB_M. guttatus002"/>
        <s v="HULB_M. guttatus003"/>
        <s v="HULB_M. guttatus004"/>
        <s v="HULB_M. guttatus005"/>
        <s v="HULB_M. laciniatus001"/>
        <s v="HULB_M. laciniatus002"/>
        <s v="HULB_M. laciniatus003"/>
        <s v="HULB_M. laciniatus004"/>
        <s v="HULB_M. laciniatus005"/>
        <s v="HUOB_M. guttatus001"/>
        <s v="HUOB_M. guttatus002"/>
        <s v="HUOB_M. guttatus003"/>
        <s v="HUOB_M. guttatus004"/>
        <s v="HUOB_M. guttatus005"/>
        <s v="HUOB_M. guttatus012"/>
        <s v="HUOB_M. guttatus022"/>
        <s v="HUOB_M. guttatus032"/>
        <s v="HUOB_M. guttatus042"/>
        <s v="HUOB_M. guttatus052"/>
        <s v="HUOB_M. guttatus062"/>
        <s v="HUOB_M. guttatus072"/>
        <s v="HUOB_M. guttatus082"/>
        <s v="HUOB_M. guttatus092"/>
        <s v="HUOB_M. guttatus102"/>
        <s v="HUOB_M. guttatus112"/>
        <s v="HUOB_M. guttatus122"/>
        <s v="HUOB_M. nasutus001"/>
        <s v="HUOB_M. nasutus002"/>
        <s v="HUOB_M. nasutus003"/>
        <s v="HUOB_M. nasutus004"/>
        <s v="HUOB_M. nasutus005"/>
        <s v="KNOB_M. laciniatus001"/>
        <s v="KNOB_M. laciniatus002"/>
        <s v="KNOB_M. laciniatus003"/>
        <s v="KNOB_M. laciniatus004"/>
        <s v="KNOB_M. laciniatus005"/>
        <s v="KNOB_M. laciniatus006"/>
        <s v="KNOB_M. laciniatus007"/>
        <s v="KNOB_M. laciniatus008"/>
        <s v="KNOB_M. laciniatus009"/>
        <s v="KNOB_M. laciniatus010"/>
        <s v="LMZZ_M. guttatus001"/>
        <s v="LMZZ_M. guttatus002"/>
        <s v="LMZZ_M. guttatus003"/>
        <s v="LMZZ_M. guttatus004"/>
        <s v="LMZZ_M. guttatus005"/>
        <s v="LMZZ_M. guttatus006"/>
        <s v="LMZZ_M. guttatus007"/>
        <s v="LMZZ_M. guttatus008"/>
        <s v="LMZZ_M. guttatus009"/>
        <s v="LMZZ_M. guttatus010"/>
        <s v="LYFB_M. guttatus001"/>
        <s v="LYFB_M. guttatus002"/>
        <s v="LYFB_M. guttatus003"/>
        <s v="LYFB_M. guttatus004"/>
        <s v="LYFB_M. guttatus005"/>
        <s v="NFWB_M. laciniatus001"/>
        <s v="NFWB_M. laciniatus002"/>
        <s v="NFWB_M. laciniatus003"/>
        <s v="NFWB_M. laciniatus004"/>
        <s v="NFWB_M. laciniatus005"/>
        <s v="NFWB_M. laciniatus006"/>
        <s v="NFWB_M. laciniatus007"/>
        <s v="NFWB_M. laciniatus008"/>
        <s v="NFWB_M. laciniatus009"/>
        <s v="NFWB_M. laciniatus010"/>
        <s v="NFWB_M. nasutus001"/>
        <s v="NFWB_M. nasutus002"/>
        <s v="NFWB_M. nasutus003"/>
        <s v="NFWB_M. nasutus004"/>
        <s v="NFWB_M. nasutus005"/>
        <s v="NFWB_M. nasutus006"/>
        <s v="NFWB_M. nasutus007"/>
        <s v="NFWB_M. nasutus008"/>
        <s v="NFWB_M. nasutus009"/>
        <s v="NFWB_M. nasutus010"/>
        <s v="OPNZ_M. laciniatus001"/>
        <s v="OPNZ_M. laciniatus002"/>
        <s v="OPNZ_M. laciniatus003"/>
        <s v="OPNZ_M. laciniatus004"/>
        <s v="OPNZ_M. laciniatus005"/>
        <s v="OPNZ_M. laciniatus006"/>
        <s v="OPNZ_M. laciniatus007"/>
        <s v="OPNZ_M. laciniatus008"/>
        <s v="OPNZ_M. laciniatus009"/>
        <s v="OPNZ_M. laciniatus010"/>
        <s v="OPNZ_M. laciniatus101"/>
        <s v="OPNZ_M. laciniatus102"/>
        <s v="OPNZ_M. laciniatus103"/>
        <s v="OPNZ_M. laciniatus104"/>
        <s v="OPNZ_M. laciniatus105"/>
        <s v="OPNZ_M. laciniatus106"/>
        <s v="OPNZ_M. laciniatus107"/>
        <s v="OPNZ_M. laciniatus108"/>
        <s v="OPNZ_M. laciniatus109"/>
        <s v="OPNZ_M. laciniatus110"/>
        <s v="OSKB_M. laciniatus001"/>
        <s v="OSKB_M. laciniatus002"/>
        <s v="OSKB_M. laciniatus003"/>
        <s v="OSKB_M. laciniatus004"/>
        <s v="OSKB_M. laciniatus005"/>
        <s v="OSKB_M. laciniatus006"/>
        <s v="OSKB_M. laciniatus007"/>
        <s v="S11162023"/>
        <s v="S11192023"/>
        <s v="S12062023"/>
        <s v="S13142023"/>
        <s v="S15072023"/>
        <s v="S15102023"/>
        <s v="S15122023"/>
        <s v="S15152023"/>
        <s v="S15252023"/>
        <s v="S15302023"/>
        <s v="S15312023"/>
        <s v="S21162023"/>
        <s v="S21192023"/>
        <s v="S22062023"/>
        <s v="S23142023"/>
        <s v="S25072023"/>
        <s v="S25102023"/>
        <s v="S25122023"/>
        <s v="S25152023"/>
        <s v="S25252023"/>
        <s v="S25302023"/>
        <s v="S25312023"/>
        <s v="SDSB_B001"/>
        <s v="SDSB_B002"/>
        <s v="SDSB_B003"/>
        <s v="SDSB_B004"/>
        <s v="SDSB_B005"/>
        <s v="SDSB_M. guttatus001"/>
        <s v="SDSB_M. guttatus002"/>
        <s v="SDSB_M. guttatus003"/>
        <s v="SDSB_M. guttatus004"/>
        <s v="SDSB_M. guttatus005"/>
        <s v="SDSB_M. guttatus006"/>
        <s v="SDSB_M. guttatus007"/>
        <s v="SDSB_M. guttatus008"/>
        <s v="SDSB_M. guttatus009"/>
        <s v="SDSB_M. guttatus010"/>
        <s v="SHLZ_M. guttatus001"/>
        <s v="SHLZ_M. guttatus002"/>
        <s v="SHLZ_M. guttatus003"/>
        <s v="SHLZ_M. guttatus004"/>
        <s v="SHLZ_M. guttatus005"/>
        <s v="SHLZ_M. laciniatus001"/>
        <s v="SHLZ_M. laciniatus002"/>
        <s v="SHLZ_M. laciniatus003"/>
        <s v="SHLZ_M. laciniatus004"/>
        <s v="SHLZ_M. laciniatus005"/>
        <s v="SPLB_M. laciniatus001"/>
        <s v="SPLB_M. laciniatus002"/>
        <s v="SPLB_M. laciniatus003"/>
        <s v="SPLB_M. laciniatus004"/>
        <s v="SPLB_M. laciniatus005"/>
        <s v="SPLB_M. laciniatus006"/>
        <s v="SPLB_M. laciniatus007"/>
        <s v="SPLB_M. laciniatus008"/>
        <s v="SPLB_M. laciniatus009"/>
        <s v="TRTB_M. laciniatus001"/>
        <s v="TRTZ_M. laciniatus001"/>
        <s v="TRTZ_M. laciniatus002"/>
        <s v="TRTZ_M. laciniatus003"/>
        <s v="TRTZ_M. laciniatus004"/>
        <s v="TRTZ_M. laciniatus005"/>
        <s v="TRTZ_M. laciniatus006"/>
        <s v="TRTZ_M. laciniatus007"/>
        <s v="TRTZ_M. laciniatus008"/>
        <s v="TRTZ_M. laciniatus009"/>
        <s v="TRTZ_M. laciniatus010"/>
        <s v="TWGB_M. guttatus001"/>
        <s v="TWGB_M. guttatus002"/>
        <s v="TWGB_M. guttatus003"/>
        <s v="TWGB_M. guttatus004"/>
        <s v="TWGB_M. guttatus005"/>
        <s v="TWGB_M. guttatus006"/>
        <s v="TWGB_M. guttatus007"/>
        <s v="TWGB_M. guttatus008"/>
        <s v="TWGB_M. guttatus009"/>
        <s v="WCFB_M. guttatus001"/>
        <s v="WCFB_M. guttatus002"/>
        <s v="WCFB_M. guttatus003"/>
        <s v="WCFB_M. guttatus004"/>
        <s v="WCFB_M. guttatus005"/>
        <s v="WCFB_M. guttatus006"/>
        <s v="WCFB_M. guttatus007"/>
        <s v="WCFB_M. guttatus008"/>
        <s v="WCFB_M. guttatus009"/>
        <s v="WCFB_M. guttatus010"/>
        <s v="WCFB_M. guttatus011"/>
        <s v="WCFB_M. guttatus012"/>
        <s v="WCFB_M. laciniatus001"/>
        <s v="WCFB_M. laciniatus002"/>
        <s v="WCFB_M. laciniatus003"/>
        <s v="WCFB_M. laciniatus004"/>
        <s v="WCFB_M. laciniatus005"/>
        <s v="WCFB_M. laciniatus006"/>
        <s v="WCFB_M. laciniatus007"/>
        <s v="WCFB_M. laciniatus008"/>
        <s v="WCFB_M. laciniatus009"/>
        <s v="WCFB_M. laciniatus010"/>
        <s v="WCFB_M. laciniatus011"/>
        <s v="WSHB_M. guttatus001"/>
        <s v="WSHB_M. guttatus002"/>
        <s v="WSHB_M. guttatus003"/>
        <s v="WSHB_M. guttatus004"/>
        <s v="WSHB_M. guttatus005"/>
        <s v="WSHB_M. guttatus006"/>
        <s v="WSHB_M. guttatus007"/>
        <s v="WSHB_M. guttatus008"/>
        <s v="WSHB_M. guttatus009"/>
        <s v="WSHB_M. guttatus010"/>
        <s v="WSHB_M. guttatus011"/>
        <s v="YCNB_M. laciniatus001"/>
        <s v="YCNB_M. laciniatus002"/>
        <s v="YCNB_M. laciniatus003"/>
        <s v="YCNB_M. laciniatus004"/>
        <s v="YCNB_M. laciniatus005"/>
        <s v="YCNB_M. laciniatus006"/>
        <s v="YCNB_M. laciniatus007"/>
        <s v="YCNB_M. laciniatus008"/>
        <s v="YCNB_M. laciniatus009"/>
        <s v="YCNB_M. laciniatus010"/>
        <m/>
      </sharedItems>
    </cacheField>
    <cacheField name="Unique_ID" numFmtId="0">
      <sharedItems containsBlank="1" count="471">
        <s v="AGFB_L001"/>
        <s v="AGFB_L002"/>
        <s v="AGFB_L003"/>
        <s v="AGFB_L004"/>
        <s v="AGFB_L005"/>
        <s v="AGFB_L006"/>
        <s v="AGFB_L007"/>
        <s v="AGFB_L008"/>
        <s v="AGFB_L009"/>
        <s v="AGFB_L010"/>
        <s v="AGFB_L011"/>
        <s v="AGFB_L1_x2"/>
        <s v="AGFB_N001"/>
        <s v="AGFB_N002"/>
        <s v="AGFB_N003"/>
        <s v="AGFB_N004"/>
        <s v="AGFB_N005"/>
        <s v="AGFB_N006"/>
        <s v="AGFB_N007"/>
        <s v="AGFB_N008"/>
        <s v="AGFB_N009"/>
        <s v="AGFB_N010"/>
        <s v="BHEB_G001"/>
        <s v="BHEB_G002"/>
        <s v="BHEB_G003"/>
        <s v="BHEB_G004"/>
        <s v="BHEB_G005"/>
        <s v="BHEB_G006"/>
        <s v="BHEB_G007"/>
        <s v="BHEB_G008"/>
        <s v="BHEB_G009"/>
        <s v="BHEB_G010"/>
        <s v="BHEB_G1_x2"/>
        <s v="BHEB_G2_x2"/>
        <s v="BHEB_G3_x2"/>
        <s v="BHEB_G4_x2"/>
        <s v="BHEB_G5_x2"/>
        <s v="BHEB_G6_x2"/>
        <s v="BHEB_G7_x2"/>
        <s v="BHEB_G8_x2"/>
        <s v="BHEB_N001"/>
        <s v="BHEB_N002"/>
        <s v="BHEB_N003"/>
        <s v="BHEB_N004"/>
        <s v="BHEB_N005"/>
        <s v="BHEB_N006"/>
        <s v="BHEB_N007"/>
        <s v="BHEB_N008"/>
        <s v="BHEB_N1_x2"/>
        <s v="BHEB_N2_x2"/>
        <s v="BHEB_N3_x2"/>
        <s v="BHEB_N4_x2"/>
        <s v="BHEB_N5_x2"/>
        <s v="BHEB_N6_x2"/>
        <s v="BHEB_N7_x2"/>
        <s v="BHEB_N8_#2"/>
        <s v="BHEB_N8_#2_x2"/>
        <s v="BHEB_N8_x2"/>
        <s v="BML_G1_x2"/>
        <s v="BML_G4_x2"/>
        <s v="BML_G5_x2"/>
        <s v="BMLZ_G001"/>
        <s v="BMLZ_G002"/>
        <s v="BMLZ_G003"/>
        <s v="BMLZ_G004"/>
        <s v="BMLZ_G005"/>
        <s v="BMLZ_L001"/>
        <s v="BMLZ_L002"/>
        <s v="BMLZ_L003"/>
        <s v="BMLZ_L004"/>
        <s v="BMLZ_L005"/>
        <s v="C-1192023"/>
        <s v="C-2042023"/>
        <s v="C-5252023"/>
        <s v="C-9302022"/>
        <s v="C10082022"/>
        <s v="C11052022"/>
        <s v="C12192022"/>
        <s v="C3142023"/>
        <s v="C5072023"/>
        <s v="C5102023"/>
        <s v="C5122023"/>
        <s v="C5152023"/>
        <s v="C5302023"/>
        <s v="C5312023"/>
        <s v="C8262022"/>
        <s v="CA1122023"/>
        <s v="CA12192022"/>
        <s v="CB1122023"/>
        <s v="CB12192022"/>
        <s v="CCNB_B001"/>
        <s v="CCNB_B002"/>
        <s v="CCNB_B003"/>
        <s v="CCNB_B004"/>
        <s v="CCNB_G001"/>
        <s v="CCNB_G002"/>
        <s v="CCNB_G003"/>
        <s v="CCNB_G004"/>
        <s v="CCNB_G005"/>
        <s v="CCNB_G006"/>
        <s v="CCNB_G007"/>
        <s v="CCNB_G008"/>
        <s v="CCNB_G009"/>
        <s v="CCNB_G010"/>
        <s v="CCNB_G011"/>
        <s v="CCNB_G012"/>
        <s v="CCRB_N001"/>
        <s v="CCRB_N002"/>
        <s v="CCRB_N003"/>
        <s v="CCRB_N004"/>
        <s v="CCRB_N005"/>
        <s v="CCRB_N006"/>
        <s v="CCRB_N007"/>
        <s v="CCRB_N008"/>
        <s v="CCRB_N009"/>
        <s v="CCRB_N1_A_x2"/>
        <s v="CCRB_N1_B_x2"/>
        <s v="CCRB_N2_x2"/>
        <s v="CCRB_N3_x2"/>
        <s v="CCRB_N4_x2"/>
        <s v="CCRB_N5_x2"/>
        <s v="CCRB_N6_x2"/>
        <s v="CCRB_N7_x2"/>
        <s v="CCRB_N8_x2"/>
        <s v="CCRB_N9_x2"/>
        <s v="CF_G2_x2"/>
        <s v="CF_G9_x2"/>
        <s v="CFZZ_G001"/>
        <s v="CFZZ_G002"/>
        <s v="CFZZ_G003"/>
        <s v="CFZZ_G004"/>
        <s v="CFZZ_G005"/>
        <s v="CFZZ_G006"/>
        <s v="CFZZ_G007"/>
        <s v="CFZZ_G008"/>
        <s v="CFZZ_G009"/>
        <s v="CFZZ_G010"/>
        <s v="FVWB_G001"/>
        <s v="HDRB_G001"/>
        <s v="HDRB_G002"/>
        <s v="HDRB_G003"/>
        <s v="HDRB_G004"/>
        <s v="HDRB_G005"/>
        <s v="HDRB_G006"/>
        <s v="HDRB_G007"/>
        <s v="HDRB_G008"/>
        <s v="HDRB_G009"/>
        <s v="HDRB_G010"/>
        <s v="HDRB_G10_x2"/>
        <s v="HDRB_G202"/>
        <s v="HDRB_G207"/>
        <s v="HDRB_G3_x2"/>
        <s v="HDRB_G4_x2"/>
        <s v="HDRB_G6_x2"/>
        <s v="HDRB_G8_x2"/>
        <s v="HHBB_G001"/>
        <s v="HHBB_G002"/>
        <s v="HHBB_G003"/>
        <s v="HHBB_G004"/>
        <s v="HHBB_G005"/>
        <s v="HHBB_G006"/>
        <s v="HHBB_G007"/>
        <s v="HHBB_G008"/>
        <s v="HHBB_G009"/>
        <s v="HHBB_G010"/>
        <s v="HHBB_G1_x2"/>
        <s v="HHBB_G10_x2"/>
        <s v="HHBB_G2_x2"/>
        <s v="HHBB_G6_x2"/>
        <s v="HHBB_G8_x2"/>
        <s v="HHBB_L001"/>
        <s v="HHBB_L002"/>
        <s v="HHBB_L003"/>
        <s v="HHBB_L004"/>
        <s v="HHBB_L005"/>
        <s v="HHBB_L006"/>
        <s v="HHBB_L007"/>
        <s v="HHBB_L008"/>
        <s v="HHBB_L009"/>
        <s v="HHBB_L010"/>
        <s v="HHBB_L9_x2"/>
        <s v="HULB_G001"/>
        <s v="HULB_G002"/>
        <s v="HULB_G003"/>
        <s v="HULB_G004"/>
        <s v="HULB_G005"/>
        <s v="HULB_G4_x2"/>
        <s v="HULB_L001"/>
        <s v="HULB_L002"/>
        <s v="HULB_L003"/>
        <s v="HULB_L004"/>
        <s v="HULB_L005"/>
        <s v="HULB_L2_x2"/>
        <s v="HULB_L5_x2"/>
        <s v="HUOB_G001"/>
        <s v="HUOB_G002"/>
        <s v="HUOB_G003"/>
        <s v="HUOB_G004"/>
        <s v="HUOB_G005"/>
        <s v="HUOB_G012"/>
        <s v="HUOB_G022"/>
        <s v="HUOB_G032"/>
        <s v="HUOB_G042"/>
        <s v="HUOB_G052"/>
        <s v="HUOB_G062"/>
        <s v="HUOB_G072"/>
        <s v="HUOB_G082"/>
        <s v="HUOB_G092"/>
        <s v="HUOB_G102"/>
        <s v="HUOB_G112"/>
        <s v="HUOB_G12_x2"/>
        <s v="HUOB_G122"/>
        <s v="HUOB_G2_x2"/>
        <s v="HUOB_G22_x2"/>
        <s v="HUOB_G3_x2"/>
        <s v="HUOB_G82_x2"/>
        <s v="HUOB_N001"/>
        <s v="HUOB_N002"/>
        <s v="HUOB_N003"/>
        <s v="HUOB_N004"/>
        <s v="HUOB_N005"/>
        <s v="HUOB_N2_x2"/>
        <s v="HUOB_N5_x2"/>
        <s v="KNOB_L001"/>
        <s v="KNOB_L002"/>
        <s v="KNOB_L003"/>
        <s v="KNOB_L004"/>
        <s v="KNOB_L005"/>
        <s v="KNOB_L006"/>
        <s v="KNOB_L007"/>
        <s v="KNOB_L008"/>
        <s v="KNOB_L009"/>
        <s v="KNOB_L010"/>
        <s v="KNOB_L10_x2"/>
        <s v="KNOB_L209"/>
        <s v="KNOB_L5_x2"/>
        <s v="LM_G4_x2"/>
        <s v="LM_G9_x2"/>
        <s v="LMZZ_G001"/>
        <s v="LMZZ_G002"/>
        <s v="LMZZ_G003"/>
        <s v="LMZZ_G004"/>
        <s v="LMZZ_G005"/>
        <s v="LMZZ_G006"/>
        <s v="LMZZ_G007"/>
        <s v="LMZZ_G008"/>
        <s v="LMZZ_G009"/>
        <s v="LMZZ_G010"/>
        <s v="LYFB_G001"/>
        <s v="LYFB_G002"/>
        <s v="LYFB_G003"/>
        <s v="LYFB_G004"/>
        <s v="LYFB_G005"/>
        <s v="LYFB_G1_x2"/>
        <s v="LYFB_G2_x2"/>
        <s v="LYFB_G3_x2"/>
        <s v="LYFB_G4_x2"/>
        <s v="LYFB_G5_x2"/>
        <s v="NFWB_L001"/>
        <s v="NFWB_L002"/>
        <s v="NFWB_L003"/>
        <s v="NFWB_L004"/>
        <s v="NFWB_L005"/>
        <s v="NFWB_L006"/>
        <s v="NFWB_L007"/>
        <s v="NFWB_L008"/>
        <s v="NFWB_L009"/>
        <s v="NFWB_L010"/>
        <s v="NFWB_L4_x2"/>
        <s v="NFWB_N001"/>
        <s v="NFWB_N002"/>
        <s v="NFWB_N003"/>
        <s v="NFWB_N004"/>
        <s v="NFWB_N005"/>
        <s v="NFWB_N006"/>
        <s v="NFWB_N007"/>
        <s v="NFWB_N008"/>
        <s v="NFWB_N009"/>
        <s v="NFWB_N010"/>
        <s v="NFWB_N2_x2"/>
        <s v="NFWB_N206"/>
        <s v="NFWB_N3_x2"/>
        <s v="NFWB_N8_x2"/>
        <s v="OPN_L101_x2"/>
        <s v="OPN_L103_x2"/>
        <s v="OPN_L105_x2"/>
        <s v="OPN_L107_x2"/>
        <s v="OPNZ_L001"/>
        <s v="OPNZ_L002"/>
        <s v="OPNZ_L003"/>
        <s v="OPNZ_L004"/>
        <s v="OPNZ_L005"/>
        <s v="OPNZ_L006"/>
        <s v="OPNZ_L007"/>
        <s v="OPNZ_L008"/>
        <s v="OPNZ_L009"/>
        <s v="OPNZ_L010"/>
        <s v="OPNZ_L101"/>
        <s v="OPNZ_L102"/>
        <s v="OPNZ_L103"/>
        <s v="OPNZ_L104"/>
        <s v="OPNZ_L105"/>
        <s v="OPNZ_L106"/>
        <s v="OPNZ_L107"/>
        <s v="OPNZ_L108"/>
        <s v="OPNZ_L109"/>
        <s v="OPNZ_L110"/>
        <s v="OSKB_L001"/>
        <s v="OSKB_L002"/>
        <s v="OSKB_L003"/>
        <s v="OSKB_L004"/>
        <s v="OSKB_L005"/>
        <s v="OSKB_L006"/>
        <s v="OSKB_L007"/>
        <s v="S1"/>
        <s v="S11192023"/>
        <s v="S12062023"/>
        <s v="S13142023"/>
        <s v="S15072023"/>
        <s v="S15102023"/>
        <s v="S15122023"/>
        <s v="S15152023"/>
        <s v="S15252023"/>
        <s v="S15302023"/>
        <s v="S15312023"/>
        <s v="S2"/>
        <s v="S21192023"/>
        <s v="S22062023"/>
        <s v="S23142023"/>
        <s v="S25072023"/>
        <s v="S25102023"/>
        <s v="S25122023"/>
        <s v="S25152023"/>
        <s v="S25252023"/>
        <s v="S25302023"/>
        <s v="S25312023"/>
        <s v="SDSB_B001"/>
        <s v="SDSB_B002"/>
        <s v="SDSB_B003"/>
        <s v="SDSB_B004"/>
        <s v="SDSB_B005"/>
        <s v="SDSB_G001"/>
        <s v="SDSB_G002"/>
        <s v="SDSB_G003"/>
        <s v="SDSB_G004"/>
        <s v="SDSB_G005"/>
        <s v="SDSB_G006"/>
        <s v="SDSB_G007"/>
        <s v="SDSB_G008"/>
        <s v="SDSB_G009"/>
        <s v="SDSB_G010"/>
        <s v="SHL_G2_x2"/>
        <s v="SHL_G3_x2"/>
        <s v="SHL_G4_x2"/>
        <s v="SHL_L3_x2"/>
        <s v="SHLZ_G001"/>
        <s v="SHLZ_G002"/>
        <s v="SHLZ_G003"/>
        <s v="SHLZ_G004"/>
        <s v="SHLZ_G005"/>
        <s v="SHLZ_L001"/>
        <s v="SHLZ_L002"/>
        <s v="SHLZ_L003"/>
        <s v="SHLZ_L004"/>
        <s v="SHLZ_L005"/>
        <s v="SPLB_L001"/>
        <s v="SPLB_L002"/>
        <s v="SPLB_L003"/>
        <s v="SPLB_L004"/>
        <s v="SPLB_L005"/>
        <s v="SPLB_L006"/>
        <s v="SPLB_L007"/>
        <s v="SPLB_L008"/>
        <s v="SPLB_L009"/>
        <s v="SPLB_L2_x2"/>
        <s v="SPLB_L204"/>
        <s v="SPLB_L5_x2"/>
        <s v="SPLB_L6_x2"/>
        <s v="SPLB_L7_x2"/>
        <s v="SPLB_L9_x2"/>
        <s v="TOTAL"/>
        <s v="TRT_L6_x2"/>
        <s v="TRTB_L001"/>
        <s v="TRTB_L1_x2"/>
        <s v="TRTZ_L001"/>
        <s v="TRTZ_L002"/>
        <s v="TRTZ_L003"/>
        <s v="TRTZ_L004"/>
        <s v="TRTZ_L005"/>
        <s v="TRTZ_L006"/>
        <s v="TRTZ_L007"/>
        <s v="TRTZ_L008"/>
        <s v="TRTZ_L009"/>
        <s v="TRTZ_L010"/>
        <s v="TRTZ_L201"/>
        <s v="TRTZ_L204"/>
        <s v="TWGB_G001"/>
        <s v="TWGB_G002"/>
        <s v="TWGB_G003"/>
        <s v="TWGB_G004"/>
        <s v="TWGB_G005"/>
        <s v="TWGB_G006"/>
        <s v="TWGB_G007"/>
        <s v="TWGB_G008"/>
        <s v="TWGB_G009"/>
        <s v="TWGB_G1_x2"/>
        <s v="TWGB_G6_x2"/>
        <s v="TWGB_G9_x2"/>
        <s v="WCFB_G001"/>
        <s v="WCFB_G002"/>
        <s v="WCFB_G003"/>
        <s v="WCFB_G004"/>
        <s v="WCFB_G005"/>
        <s v="WCFB_G006"/>
        <s v="WCFB_G007"/>
        <s v="WCFB_G008"/>
        <s v="WCFB_G009"/>
        <s v="WCFB_G010"/>
        <s v="WCFB_G011"/>
        <s v="WCFB_G012"/>
        <s v="WCFB_G10_x2"/>
        <s v="WCFB_G208"/>
        <s v="WCFB_G211"/>
        <s v="WCFB_G5_x2"/>
        <s v="WCFB_G6_x2"/>
        <s v="WCFB_G9_x2"/>
        <s v="WCFB_L001"/>
        <s v="WCFB_L002"/>
        <s v="WCFB_L003"/>
        <s v="WCFB_L004"/>
        <s v="WCFB_L005"/>
        <s v="WCFB_L006"/>
        <s v="WCFB_L007"/>
        <s v="WCFB_L008"/>
        <s v="WCFB_L009"/>
        <s v="WCFB_L010"/>
        <s v="WCFB_L011"/>
        <s v="WCFB_L4_x2"/>
        <s v="WSHB_G001"/>
        <s v="WSHB_G002"/>
        <s v="WSHB_G003"/>
        <s v="WSHB_G004"/>
        <s v="WSHB_G005"/>
        <s v="WSHB_G006"/>
        <s v="WSHB_G007"/>
        <s v="WSHB_G008"/>
        <s v="WSHB_G009"/>
        <s v="WSHB_G010"/>
        <s v="WSHB_G011"/>
        <s v="WSHB_G10_x2"/>
        <s v="WSHB_G2_x2"/>
        <s v="WSHB_G205 "/>
        <s v="WSHB_G3_x2"/>
        <s v="WSHB_G4_x2"/>
        <s v="WSHB_G5_x2"/>
        <s v="WSHB_G6_x2"/>
        <s v="WSHB_G7_x2"/>
        <s v="WSHB_G8_x2"/>
        <s v="WSHB_G9_x2"/>
        <s v="YCNB_L001"/>
        <s v="YCNB_L002"/>
        <s v="YCNB_L003"/>
        <s v="YCNB_L004"/>
        <s v="YCNB_L005"/>
        <s v="YCNB_L006"/>
        <s v="YCNB_L007"/>
        <s v="YCNB_L008"/>
        <s v="YCNB_L009"/>
        <s v="YCNB_L010"/>
        <e v="#NAME?"/>
        <m/>
      </sharedItems>
    </cacheField>
    <cacheField name="Extrac_event" numFmtId="0">
      <sharedItems containsString="0" containsBlank="1" containsNumber="1" containsInteger="1" minValue="1" maxValue="2" count="3">
        <n v="1"/>
        <n v="2"/>
        <m/>
      </sharedItems>
    </cacheField>
    <cacheField name="Sample_Date" numFmtId="0">
      <sharedItems containsNonDate="0" containsDate="1" containsString="0" containsBlank="1" minDate="2021-05-03T00:00:00" maxDate="2023-05-31T00:00:00" count="31">
        <d v="2021-05-03T00:00:00"/>
        <d v="2021-05-05T00:00:00"/>
        <d v="2021-05-07T00:00:00"/>
        <d v="2021-05-12T00:00:00"/>
        <d v="2021-06-02T00:00:00"/>
        <d v="2021-06-24T00:00:00"/>
        <d v="2021-07-17T00:00:00"/>
        <d v="2022-04-20T00:00:00"/>
        <d v="2022-04-22T00:00:00"/>
        <d v="2022-05-02T00:00:00"/>
        <d v="2022-05-05T00:00:00"/>
        <d v="2022-05-12T00:00:00"/>
        <d v="2022-05-21T00:00:00"/>
        <d v="2022-05-25T00:00:00"/>
        <d v="2022-05-26T00:00:00"/>
        <d v="2022-06-02T00:00:00"/>
        <d v="2022-06-14T00:00:00"/>
        <d v="2022-08-26T00:00:00"/>
        <d v="2022-09-30T00:00:00"/>
        <d v="2022-10-08T00:00:00"/>
        <d v="2023-01-19T00:00:00"/>
        <d v="2023-03-14T00:00:00"/>
        <d v="2023-05-07T00:00:00"/>
        <d v="2023-05-10T00:00:00"/>
        <d v="2023-05-12T00:00:00"/>
        <d v="2023-05-15T00:00:00"/>
        <d v="2023-05-16T00:00:00"/>
        <d v="2023-05-25T00:00:00"/>
        <d v="2023-05-30T00:00:00"/>
        <d v="2023-05-31T00:00:00"/>
        <m/>
      </sharedItems>
    </cacheField>
    <cacheField name="Subsampled" numFmtId="0">
      <sharedItems containsBlank="1" count="5">
        <s v="NA"/>
        <s v="QA"/>
        <s v="yes"/>
        <e v="#VALUE!"/>
        <m/>
      </sharedItems>
    </cacheField>
    <cacheField name="Subsampling_Qotes" numFmtId="0">
      <sharedItems containsBlank="1" count="63">
        <s v="1st time lyophilized w/o loosening caps, 2 days @ room temp., then lyophilized a second time"/>
        <s v="2 samples (&quot;A&quot; and &quot;B&quot;)"/>
        <s v="2 samples (one labeled normally, one labeled with &quot;#2&quot;)"/>
        <s v="2 samples (one labeled plain and one with &quot;B&quot;"/>
        <s v="left @ room temperature for ~144 hours after lyophilization"/>
        <s v="lid broken when i went to open it, subsampled and sealed with parafilm (HCF)"/>
        <s v="lid was loose when I went to open it"/>
        <s v="need to find this sample -HF"/>
        <s v="not enough tissue (.01g)"/>
        <s v="not enough tissue (.03g)"/>
        <s v="not enough tissue (.04g)"/>
        <s v="not enough tissue (.04g); 1st time lyophilized w/o loosening caps, 2 days @ room temp., then lyophilized a second time"/>
        <s v="not enough tissue (.05g)"/>
        <s v="not enough tissue (.05g); 1st time lyophilized w/o loosening caps, 2 days @ room temp., then lyophilized a second time"/>
        <s v="not enough tissue (.06g)"/>
        <s v="not enough tissue (.06g); 1st time lyophilized w/o loosening caps, 2 days @ room temp., then lyophilized a second time"/>
        <s v="not enough tissue (.07g)"/>
        <s v="not enough tissue (.08g)"/>
        <s v="not enough tissue (.08g); 1st time lyophilized w/o loosening caps, 2 days @ room temp., then lyophilized a second time"/>
        <s v="not enough tissue (.09g)"/>
        <s v="not enough tissue (.09g); 1st time lyophilized w/o loosening caps, 2 days @ room temp., then lyophilized a second time"/>
        <s v="not enough tissue (.10g)"/>
        <s v="not enough tissue (.11g); 1st time lyophilized w/o loosening caps, 2 days @ room temp., then lyophilized a second time"/>
        <s v="not enough tissue (.12g)"/>
        <s v="not enough tissue (.12g); 1st time lyophilized w/o loosening caps, 2 days @ room temp., then lyophilized a second time"/>
        <s v="not enough tissue (.13g)"/>
        <s v="not enough tissue (.13g); 1st time lyophilized w/o loosening caps, 2 days @ room temp., then lyophilized a second time"/>
        <s v="not enough tissue (.14g)"/>
        <s v="not enough tissue (.14g); 1st time lyophilized w/o loosening caps, 2 days @ room temp., then lyophilized a second time"/>
        <s v="not enough tissue (.15g)"/>
        <s v="not enough tissue (.15g); 1st time lyophilized w/o loosening caps, 2 days @ room temp., then lyophilized a second time"/>
        <s v="not enough tissue (.16g)"/>
        <s v="not enough tissue (.16g); 1st time lyophilized w/o loosening caps, 2 days @ room temp., then lyophilized a second time"/>
        <s v="not enough tissue (.17g)"/>
        <s v="not enough tissue (.17g); 1st time lyophilized w/o loosening caps, 2 days @ room temp., then lyophilized a second time"/>
        <s v="not enough tissue (.17g); left @ room temperature for ~144 hours after lyophilization"/>
        <s v="not enough tissue (.18g)"/>
        <s v="not enough tissue (.18g); 1st time lyophilized w/o loosening caps, 2 days @ room temp., then lyophilized a second time"/>
        <s v="not enough tissue (.20g)"/>
        <s v="not enough tissue (.20g); 1st time lyophilized w/o loosening caps, 2 days @ room temp., then lyophilized a second time"/>
        <s v="not enough tissue (.20g); left @ room temperature for ~144 hours after lyophilization"/>
        <s v="not enough tissue (.21g)"/>
        <s v="not enough tissue (.21g); 1st time lyophilized w/o loosening caps, 2 days @ room temp., then lyophilized a second time"/>
        <s v="not enough tissue (.22g)"/>
        <s v="not enough tissue (.23g)"/>
        <s v="not enough tissue (.24g)"/>
        <s v="not enough tissue (.25g); 1st time lyophilized w/o loosening caps, 2 days @ room temp., then lyophilized a second time"/>
        <s v="not enough tissue (.26g)"/>
        <s v="not enough tissue (.26g), only stems left in sample"/>
        <s v="not enough tissue (.26g); 1st time lyophilized w/o loosening caps, 2 days @ room temp., then lyophilized a second time"/>
        <s v="not enough tissue (.27g)"/>
        <s v="not enough tissue (.28g)"/>
        <s v="not enough tissue (.29g)"/>
        <s v="not enought tissue (.10g)"/>
        <s v="not enought tissue (.11g)"/>
        <s v="not enought tissue (.13g)"/>
        <s v="not enought tissue (.16g)"/>
        <s v="not enought tissue (.16g); labeled as &quot;BML_L5_HYB&quot;"/>
        <s v="not enought tissue (.24g)"/>
        <s v="only stems left in sample"/>
        <s v="vial holding original sample broke - new lid doesnt fit well. I taped the new lid on and there isnt enough for a second subsample anyway.; 1st time lyophilized w/o loosening caps, 2 days @ room temp., then lyophilized a second time"/>
        <e v="#VALUE!"/>
        <m/>
      </sharedItems>
    </cacheField>
    <cacheField name="Lyophilized" numFmtId="0">
      <sharedItems containsString="0" containsBlank="1" containsNumber="1" containsInteger="1" minValue="0" maxValue="364" count="4">
        <n v="0"/>
        <n v="1"/>
        <n v="364"/>
        <m/>
      </sharedItems>
    </cacheField>
    <cacheField name="DNA_extr" numFmtId="0">
      <sharedItems containsString="0" containsBlank="1" containsNumber="1" minValue="0" maxValue="319" count="6">
        <n v="0"/>
        <n v="1"/>
        <n v="2"/>
        <n v="3"/>
        <n v="319"/>
        <m/>
      </sharedItems>
    </cacheField>
  </cacheFields>
</pivotCacheDefinition>
</file>

<file path=xl/pivotCache/pivotCacheRecords1.xml><?xml version="1.0" encoding="utf-8"?>
<pivotCacheRecords xmlns="http://schemas.openxmlformats.org/spreadsheetml/2006/main" xmlns:r="http://schemas.openxmlformats.org/officeDocument/2006/relationships" count="1145">
  <r>
    <x v="3"/>
    <x v="5"/>
    <x v="1"/>
    <x v="46"/>
    <x v="66"/>
    <x v="74"/>
    <x v="0"/>
    <x v="18"/>
    <x v="1"/>
    <x v="62"/>
    <x v="0"/>
    <x v="1"/>
  </r>
  <r>
    <x v="3"/>
    <x v="5"/>
    <x v="1"/>
    <x v="45"/>
    <x v="65"/>
    <x v="85"/>
    <x v="0"/>
    <x v="17"/>
    <x v="0"/>
    <x v="62"/>
    <x v="0"/>
    <x v="1"/>
  </r>
  <r>
    <x v="29"/>
    <x v="5"/>
    <x v="1"/>
    <x v="50"/>
    <x v="361"/>
    <x v="314"/>
    <x v="0"/>
    <x v="18"/>
    <x v="0"/>
    <x v="62"/>
    <x v="0"/>
    <x v="1"/>
  </r>
  <r>
    <x v="29"/>
    <x v="5"/>
    <x v="1"/>
    <x v="50"/>
    <x v="361"/>
    <x v="314"/>
    <x v="0"/>
    <x v="17"/>
    <x v="0"/>
    <x v="62"/>
    <x v="0"/>
    <x v="1"/>
  </r>
  <r>
    <x v="29"/>
    <x v="5"/>
    <x v="1"/>
    <x v="50"/>
    <x v="361"/>
    <x v="325"/>
    <x v="0"/>
    <x v="18"/>
    <x v="0"/>
    <x v="62"/>
    <x v="0"/>
    <x v="1"/>
  </r>
  <r>
    <x v="29"/>
    <x v="5"/>
    <x v="1"/>
    <x v="50"/>
    <x v="361"/>
    <x v="325"/>
    <x v="0"/>
    <x v="17"/>
    <x v="0"/>
    <x v="62"/>
    <x v="0"/>
    <x v="1"/>
  </r>
  <r>
    <x v="3"/>
    <x v="5"/>
    <x v="1"/>
    <x v="47"/>
    <x v="52"/>
    <x v="75"/>
    <x v="0"/>
    <x v="19"/>
    <x v="0"/>
    <x v="62"/>
    <x v="0"/>
    <x v="1"/>
  </r>
  <r>
    <x v="29"/>
    <x v="5"/>
    <x v="1"/>
    <x v="50"/>
    <x v="0"/>
    <x v="314"/>
    <x v="0"/>
    <x v="19"/>
    <x v="0"/>
    <x v="62"/>
    <x v="0"/>
    <x v="1"/>
  </r>
  <r>
    <x v="29"/>
    <x v="5"/>
    <x v="1"/>
    <x v="50"/>
    <x v="0"/>
    <x v="325"/>
    <x v="0"/>
    <x v="19"/>
    <x v="0"/>
    <x v="62"/>
    <x v="0"/>
    <x v="1"/>
  </r>
  <r>
    <x v="3"/>
    <x v="5"/>
    <x v="1"/>
    <x v="48"/>
    <x v="53"/>
    <x v="76"/>
    <x v="0"/>
    <x v="30"/>
    <x v="4"/>
    <x v="62"/>
    <x v="0"/>
    <x v="1"/>
  </r>
  <r>
    <x v="29"/>
    <x v="5"/>
    <x v="1"/>
    <x v="50"/>
    <x v="0"/>
    <x v="314"/>
    <x v="0"/>
    <x v="30"/>
    <x v="4"/>
    <x v="62"/>
    <x v="0"/>
    <x v="1"/>
  </r>
  <r>
    <x v="29"/>
    <x v="5"/>
    <x v="1"/>
    <x v="50"/>
    <x v="0"/>
    <x v="325"/>
    <x v="0"/>
    <x v="30"/>
    <x v="4"/>
    <x v="62"/>
    <x v="0"/>
    <x v="1"/>
  </r>
  <r>
    <x v="3"/>
    <x v="5"/>
    <x v="1"/>
    <x v="49"/>
    <x v="55"/>
    <x v="77"/>
    <x v="0"/>
    <x v="30"/>
    <x v="4"/>
    <x v="62"/>
    <x v="0"/>
    <x v="1"/>
  </r>
  <r>
    <x v="29"/>
    <x v="5"/>
    <x v="1"/>
    <x v="50"/>
    <x v="0"/>
    <x v="314"/>
    <x v="0"/>
    <x v="30"/>
    <x v="4"/>
    <x v="62"/>
    <x v="0"/>
    <x v="1"/>
  </r>
  <r>
    <x v="29"/>
    <x v="5"/>
    <x v="1"/>
    <x v="50"/>
    <x v="0"/>
    <x v="325"/>
    <x v="0"/>
    <x v="30"/>
    <x v="4"/>
    <x v="62"/>
    <x v="0"/>
    <x v="1"/>
  </r>
  <r>
    <x v="3"/>
    <x v="1"/>
    <x v="1"/>
    <x v="49"/>
    <x v="70"/>
    <x v="89"/>
    <x v="0"/>
    <x v="30"/>
    <x v="4"/>
    <x v="62"/>
    <x v="0"/>
    <x v="1"/>
  </r>
  <r>
    <x v="3"/>
    <x v="0"/>
    <x v="1"/>
    <x v="49"/>
    <x v="68"/>
    <x v="87"/>
    <x v="0"/>
    <x v="30"/>
    <x v="4"/>
    <x v="62"/>
    <x v="0"/>
    <x v="1"/>
  </r>
  <r>
    <x v="3"/>
    <x v="0"/>
    <x v="1"/>
    <x v="32"/>
    <x v="67"/>
    <x v="86"/>
    <x v="0"/>
    <x v="30"/>
    <x v="4"/>
    <x v="62"/>
    <x v="0"/>
    <x v="1"/>
  </r>
  <r>
    <x v="3"/>
    <x v="1"/>
    <x v="1"/>
    <x v="32"/>
    <x v="69"/>
    <x v="88"/>
    <x v="0"/>
    <x v="30"/>
    <x v="4"/>
    <x v="62"/>
    <x v="0"/>
    <x v="1"/>
  </r>
  <r>
    <x v="18"/>
    <x v="5"/>
    <x v="1"/>
    <x v="33"/>
    <x v="241"/>
    <x v="469"/>
    <x v="0"/>
    <x v="30"/>
    <x v="4"/>
    <x v="62"/>
    <x v="0"/>
    <x v="0"/>
  </r>
  <r>
    <x v="19"/>
    <x v="5"/>
    <x v="1"/>
    <x v="33"/>
    <x v="252"/>
    <x v="469"/>
    <x v="0"/>
    <x v="30"/>
    <x v="4"/>
    <x v="62"/>
    <x v="0"/>
    <x v="0"/>
  </r>
  <r>
    <x v="3"/>
    <x v="5"/>
    <x v="1"/>
    <x v="35"/>
    <x v="56"/>
    <x v="72"/>
    <x v="2"/>
    <x v="30"/>
    <x v="4"/>
    <x v="62"/>
    <x v="0"/>
    <x v="1"/>
  </r>
  <r>
    <x v="18"/>
    <x v="5"/>
    <x v="1"/>
    <x v="36"/>
    <x v="243"/>
    <x v="316"/>
    <x v="2"/>
    <x v="30"/>
    <x v="4"/>
    <x v="62"/>
    <x v="0"/>
    <x v="0"/>
  </r>
  <r>
    <x v="19"/>
    <x v="5"/>
    <x v="1"/>
    <x v="36"/>
    <x v="254"/>
    <x v="327"/>
    <x v="2"/>
    <x v="30"/>
    <x v="4"/>
    <x v="62"/>
    <x v="0"/>
    <x v="0"/>
  </r>
  <r>
    <x v="3"/>
    <x v="5"/>
    <x v="1"/>
    <x v="34"/>
    <x v="54"/>
    <x v="71"/>
    <x v="2"/>
    <x v="20"/>
    <x v="4"/>
    <x v="62"/>
    <x v="0"/>
    <x v="1"/>
  </r>
  <r>
    <x v="18"/>
    <x v="5"/>
    <x v="1"/>
    <x v="34"/>
    <x v="242"/>
    <x v="315"/>
    <x v="2"/>
    <x v="20"/>
    <x v="4"/>
    <x v="62"/>
    <x v="0"/>
    <x v="0"/>
  </r>
  <r>
    <x v="19"/>
    <x v="5"/>
    <x v="1"/>
    <x v="34"/>
    <x v="253"/>
    <x v="326"/>
    <x v="2"/>
    <x v="20"/>
    <x v="4"/>
    <x v="62"/>
    <x v="0"/>
    <x v="0"/>
  </r>
  <r>
    <x v="3"/>
    <x v="5"/>
    <x v="1"/>
    <x v="37"/>
    <x v="57"/>
    <x v="78"/>
    <x v="0"/>
    <x v="21"/>
    <x v="4"/>
    <x v="62"/>
    <x v="0"/>
    <x v="1"/>
  </r>
  <r>
    <x v="18"/>
    <x v="5"/>
    <x v="1"/>
    <x v="37"/>
    <x v="244"/>
    <x v="317"/>
    <x v="2"/>
    <x v="21"/>
    <x v="4"/>
    <x v="62"/>
    <x v="0"/>
    <x v="0"/>
  </r>
  <r>
    <x v="19"/>
    <x v="5"/>
    <x v="1"/>
    <x v="37"/>
    <x v="255"/>
    <x v="328"/>
    <x v="2"/>
    <x v="21"/>
    <x v="4"/>
    <x v="62"/>
    <x v="0"/>
    <x v="0"/>
  </r>
  <r>
    <x v="3"/>
    <x v="5"/>
    <x v="1"/>
    <x v="38"/>
    <x v="58"/>
    <x v="79"/>
    <x v="2"/>
    <x v="22"/>
    <x v="4"/>
    <x v="62"/>
    <x v="0"/>
    <x v="1"/>
  </r>
  <r>
    <x v="18"/>
    <x v="5"/>
    <x v="1"/>
    <x v="38"/>
    <x v="245"/>
    <x v="318"/>
    <x v="2"/>
    <x v="22"/>
    <x v="4"/>
    <x v="62"/>
    <x v="0"/>
    <x v="0"/>
  </r>
  <r>
    <x v="19"/>
    <x v="5"/>
    <x v="1"/>
    <x v="38"/>
    <x v="256"/>
    <x v="329"/>
    <x v="2"/>
    <x v="22"/>
    <x v="4"/>
    <x v="62"/>
    <x v="0"/>
    <x v="0"/>
  </r>
  <r>
    <x v="3"/>
    <x v="5"/>
    <x v="1"/>
    <x v="39"/>
    <x v="59"/>
    <x v="80"/>
    <x v="2"/>
    <x v="23"/>
    <x v="4"/>
    <x v="62"/>
    <x v="1"/>
    <x v="1"/>
  </r>
  <r>
    <x v="18"/>
    <x v="5"/>
    <x v="1"/>
    <x v="39"/>
    <x v="246"/>
    <x v="319"/>
    <x v="2"/>
    <x v="23"/>
    <x v="4"/>
    <x v="62"/>
    <x v="0"/>
    <x v="0"/>
  </r>
  <r>
    <x v="19"/>
    <x v="5"/>
    <x v="1"/>
    <x v="39"/>
    <x v="257"/>
    <x v="330"/>
    <x v="2"/>
    <x v="23"/>
    <x v="4"/>
    <x v="62"/>
    <x v="0"/>
    <x v="0"/>
  </r>
  <r>
    <x v="3"/>
    <x v="5"/>
    <x v="1"/>
    <x v="40"/>
    <x v="60"/>
    <x v="81"/>
    <x v="2"/>
    <x v="24"/>
    <x v="4"/>
    <x v="62"/>
    <x v="3"/>
    <x v="1"/>
  </r>
  <r>
    <x v="18"/>
    <x v="5"/>
    <x v="1"/>
    <x v="40"/>
    <x v="247"/>
    <x v="320"/>
    <x v="2"/>
    <x v="24"/>
    <x v="4"/>
    <x v="62"/>
    <x v="3"/>
    <x v="0"/>
  </r>
  <r>
    <x v="19"/>
    <x v="5"/>
    <x v="1"/>
    <x v="40"/>
    <x v="258"/>
    <x v="331"/>
    <x v="2"/>
    <x v="24"/>
    <x v="4"/>
    <x v="62"/>
    <x v="3"/>
    <x v="0"/>
  </r>
  <r>
    <x v="3"/>
    <x v="5"/>
    <x v="1"/>
    <x v="41"/>
    <x v="61"/>
    <x v="82"/>
    <x v="2"/>
    <x v="25"/>
    <x v="4"/>
    <x v="62"/>
    <x v="3"/>
    <x v="1"/>
  </r>
  <r>
    <x v="18"/>
    <x v="5"/>
    <x v="1"/>
    <x v="41"/>
    <x v="248"/>
    <x v="321"/>
    <x v="2"/>
    <x v="26"/>
    <x v="4"/>
    <x v="62"/>
    <x v="3"/>
    <x v="0"/>
  </r>
  <r>
    <x v="19"/>
    <x v="5"/>
    <x v="1"/>
    <x v="41"/>
    <x v="259"/>
    <x v="332"/>
    <x v="2"/>
    <x v="26"/>
    <x v="4"/>
    <x v="62"/>
    <x v="3"/>
    <x v="0"/>
  </r>
  <r>
    <x v="3"/>
    <x v="5"/>
    <x v="1"/>
    <x v="42"/>
    <x v="62"/>
    <x v="73"/>
    <x v="2"/>
    <x v="27"/>
    <x v="4"/>
    <x v="62"/>
    <x v="3"/>
    <x v="1"/>
  </r>
  <r>
    <x v="18"/>
    <x v="5"/>
    <x v="1"/>
    <x v="42"/>
    <x v="249"/>
    <x v="322"/>
    <x v="2"/>
    <x v="27"/>
    <x v="4"/>
    <x v="62"/>
    <x v="3"/>
    <x v="0"/>
  </r>
  <r>
    <x v="19"/>
    <x v="5"/>
    <x v="1"/>
    <x v="42"/>
    <x v="260"/>
    <x v="333"/>
    <x v="2"/>
    <x v="27"/>
    <x v="4"/>
    <x v="62"/>
    <x v="3"/>
    <x v="0"/>
  </r>
  <r>
    <x v="3"/>
    <x v="5"/>
    <x v="1"/>
    <x v="44"/>
    <x v="64"/>
    <x v="84"/>
    <x v="2"/>
    <x v="29"/>
    <x v="4"/>
    <x v="62"/>
    <x v="3"/>
    <x v="1"/>
  </r>
  <r>
    <x v="18"/>
    <x v="5"/>
    <x v="1"/>
    <x v="44"/>
    <x v="251"/>
    <x v="324"/>
    <x v="2"/>
    <x v="29"/>
    <x v="4"/>
    <x v="62"/>
    <x v="3"/>
    <x v="0"/>
  </r>
  <r>
    <x v="19"/>
    <x v="5"/>
    <x v="1"/>
    <x v="44"/>
    <x v="262"/>
    <x v="335"/>
    <x v="2"/>
    <x v="29"/>
    <x v="4"/>
    <x v="62"/>
    <x v="3"/>
    <x v="0"/>
  </r>
  <r>
    <x v="3"/>
    <x v="5"/>
    <x v="1"/>
    <x v="43"/>
    <x v="63"/>
    <x v="83"/>
    <x v="2"/>
    <x v="28"/>
    <x v="4"/>
    <x v="62"/>
    <x v="3"/>
    <x v="1"/>
  </r>
  <r>
    <x v="18"/>
    <x v="5"/>
    <x v="1"/>
    <x v="43"/>
    <x v="250"/>
    <x v="323"/>
    <x v="2"/>
    <x v="28"/>
    <x v="4"/>
    <x v="62"/>
    <x v="3"/>
    <x v="0"/>
  </r>
  <r>
    <x v="19"/>
    <x v="5"/>
    <x v="1"/>
    <x v="43"/>
    <x v="261"/>
    <x v="334"/>
    <x v="2"/>
    <x v="28"/>
    <x v="4"/>
    <x v="62"/>
    <x v="3"/>
    <x v="0"/>
  </r>
  <r>
    <x v="0"/>
    <x v="3"/>
    <x v="1"/>
    <x v="0"/>
    <x v="2"/>
    <x v="0"/>
    <x v="0"/>
    <x v="8"/>
    <x v="2"/>
    <x v="62"/>
    <x v="1"/>
    <x v="1"/>
  </r>
  <r>
    <x v="0"/>
    <x v="3"/>
    <x v="1"/>
    <x v="0"/>
    <x v="2"/>
    <x v="0"/>
    <x v="0"/>
    <x v="8"/>
    <x v="2"/>
    <x v="62"/>
    <x v="1"/>
    <x v="1"/>
  </r>
  <r>
    <x v="0"/>
    <x v="3"/>
    <x v="1"/>
    <x v="0"/>
    <x v="2"/>
    <x v="0"/>
    <x v="0"/>
    <x v="8"/>
    <x v="2"/>
    <x v="62"/>
    <x v="1"/>
    <x v="1"/>
  </r>
  <r>
    <x v="0"/>
    <x v="3"/>
    <x v="1"/>
    <x v="9"/>
    <x v="11"/>
    <x v="9"/>
    <x v="0"/>
    <x v="8"/>
    <x v="2"/>
    <x v="62"/>
    <x v="1"/>
    <x v="1"/>
  </r>
  <r>
    <x v="0"/>
    <x v="3"/>
    <x v="1"/>
    <x v="9"/>
    <x v="11"/>
    <x v="9"/>
    <x v="0"/>
    <x v="8"/>
    <x v="2"/>
    <x v="62"/>
    <x v="1"/>
    <x v="1"/>
  </r>
  <r>
    <x v="0"/>
    <x v="3"/>
    <x v="1"/>
    <x v="9"/>
    <x v="11"/>
    <x v="9"/>
    <x v="0"/>
    <x v="8"/>
    <x v="2"/>
    <x v="62"/>
    <x v="1"/>
    <x v="1"/>
  </r>
  <r>
    <x v="0"/>
    <x v="3"/>
    <x v="1"/>
    <x v="10"/>
    <x v="12"/>
    <x v="10"/>
    <x v="0"/>
    <x v="8"/>
    <x v="2"/>
    <x v="62"/>
    <x v="1"/>
    <x v="1"/>
  </r>
  <r>
    <x v="0"/>
    <x v="3"/>
    <x v="1"/>
    <x v="10"/>
    <x v="12"/>
    <x v="10"/>
    <x v="0"/>
    <x v="8"/>
    <x v="2"/>
    <x v="62"/>
    <x v="1"/>
    <x v="1"/>
  </r>
  <r>
    <x v="0"/>
    <x v="3"/>
    <x v="1"/>
    <x v="10"/>
    <x v="12"/>
    <x v="10"/>
    <x v="0"/>
    <x v="8"/>
    <x v="2"/>
    <x v="62"/>
    <x v="1"/>
    <x v="1"/>
  </r>
  <r>
    <x v="0"/>
    <x v="3"/>
    <x v="1"/>
    <x v="1"/>
    <x v="3"/>
    <x v="1"/>
    <x v="0"/>
    <x v="8"/>
    <x v="2"/>
    <x v="62"/>
    <x v="1"/>
    <x v="1"/>
  </r>
  <r>
    <x v="0"/>
    <x v="3"/>
    <x v="1"/>
    <x v="1"/>
    <x v="3"/>
    <x v="1"/>
    <x v="0"/>
    <x v="8"/>
    <x v="2"/>
    <x v="62"/>
    <x v="1"/>
    <x v="1"/>
  </r>
  <r>
    <x v="0"/>
    <x v="3"/>
    <x v="1"/>
    <x v="1"/>
    <x v="3"/>
    <x v="1"/>
    <x v="0"/>
    <x v="8"/>
    <x v="2"/>
    <x v="62"/>
    <x v="1"/>
    <x v="1"/>
  </r>
  <r>
    <x v="0"/>
    <x v="3"/>
    <x v="1"/>
    <x v="2"/>
    <x v="4"/>
    <x v="2"/>
    <x v="0"/>
    <x v="8"/>
    <x v="2"/>
    <x v="43"/>
    <x v="1"/>
    <x v="1"/>
  </r>
  <r>
    <x v="0"/>
    <x v="3"/>
    <x v="1"/>
    <x v="2"/>
    <x v="4"/>
    <x v="2"/>
    <x v="0"/>
    <x v="8"/>
    <x v="2"/>
    <x v="43"/>
    <x v="1"/>
    <x v="1"/>
  </r>
  <r>
    <x v="0"/>
    <x v="3"/>
    <x v="1"/>
    <x v="2"/>
    <x v="4"/>
    <x v="2"/>
    <x v="0"/>
    <x v="8"/>
    <x v="2"/>
    <x v="43"/>
    <x v="1"/>
    <x v="1"/>
  </r>
  <r>
    <x v="0"/>
    <x v="3"/>
    <x v="1"/>
    <x v="3"/>
    <x v="5"/>
    <x v="3"/>
    <x v="0"/>
    <x v="8"/>
    <x v="2"/>
    <x v="23"/>
    <x v="1"/>
    <x v="1"/>
  </r>
  <r>
    <x v="0"/>
    <x v="3"/>
    <x v="1"/>
    <x v="3"/>
    <x v="5"/>
    <x v="3"/>
    <x v="0"/>
    <x v="8"/>
    <x v="2"/>
    <x v="23"/>
    <x v="1"/>
    <x v="1"/>
  </r>
  <r>
    <x v="0"/>
    <x v="3"/>
    <x v="1"/>
    <x v="3"/>
    <x v="5"/>
    <x v="3"/>
    <x v="0"/>
    <x v="8"/>
    <x v="2"/>
    <x v="23"/>
    <x v="1"/>
    <x v="1"/>
  </r>
  <r>
    <x v="0"/>
    <x v="3"/>
    <x v="1"/>
    <x v="4"/>
    <x v="6"/>
    <x v="4"/>
    <x v="0"/>
    <x v="8"/>
    <x v="2"/>
    <x v="62"/>
    <x v="1"/>
    <x v="1"/>
  </r>
  <r>
    <x v="0"/>
    <x v="3"/>
    <x v="1"/>
    <x v="4"/>
    <x v="6"/>
    <x v="4"/>
    <x v="0"/>
    <x v="8"/>
    <x v="2"/>
    <x v="62"/>
    <x v="1"/>
    <x v="1"/>
  </r>
  <r>
    <x v="0"/>
    <x v="3"/>
    <x v="1"/>
    <x v="4"/>
    <x v="6"/>
    <x v="4"/>
    <x v="0"/>
    <x v="8"/>
    <x v="2"/>
    <x v="62"/>
    <x v="1"/>
    <x v="1"/>
  </r>
  <r>
    <x v="0"/>
    <x v="3"/>
    <x v="1"/>
    <x v="5"/>
    <x v="7"/>
    <x v="5"/>
    <x v="0"/>
    <x v="8"/>
    <x v="2"/>
    <x v="21"/>
    <x v="1"/>
    <x v="1"/>
  </r>
  <r>
    <x v="0"/>
    <x v="3"/>
    <x v="1"/>
    <x v="5"/>
    <x v="7"/>
    <x v="5"/>
    <x v="0"/>
    <x v="8"/>
    <x v="2"/>
    <x v="21"/>
    <x v="1"/>
    <x v="1"/>
  </r>
  <r>
    <x v="0"/>
    <x v="3"/>
    <x v="1"/>
    <x v="5"/>
    <x v="7"/>
    <x v="5"/>
    <x v="0"/>
    <x v="8"/>
    <x v="2"/>
    <x v="21"/>
    <x v="1"/>
    <x v="1"/>
  </r>
  <r>
    <x v="0"/>
    <x v="3"/>
    <x v="1"/>
    <x v="6"/>
    <x v="8"/>
    <x v="6"/>
    <x v="0"/>
    <x v="8"/>
    <x v="2"/>
    <x v="62"/>
    <x v="1"/>
    <x v="1"/>
  </r>
  <r>
    <x v="0"/>
    <x v="3"/>
    <x v="1"/>
    <x v="6"/>
    <x v="8"/>
    <x v="6"/>
    <x v="0"/>
    <x v="8"/>
    <x v="2"/>
    <x v="62"/>
    <x v="1"/>
    <x v="1"/>
  </r>
  <r>
    <x v="0"/>
    <x v="3"/>
    <x v="1"/>
    <x v="6"/>
    <x v="8"/>
    <x v="6"/>
    <x v="0"/>
    <x v="8"/>
    <x v="2"/>
    <x v="62"/>
    <x v="1"/>
    <x v="1"/>
  </r>
  <r>
    <x v="0"/>
    <x v="3"/>
    <x v="1"/>
    <x v="7"/>
    <x v="9"/>
    <x v="7"/>
    <x v="0"/>
    <x v="8"/>
    <x v="2"/>
    <x v="30"/>
    <x v="1"/>
    <x v="1"/>
  </r>
  <r>
    <x v="0"/>
    <x v="3"/>
    <x v="1"/>
    <x v="7"/>
    <x v="9"/>
    <x v="7"/>
    <x v="0"/>
    <x v="8"/>
    <x v="2"/>
    <x v="30"/>
    <x v="1"/>
    <x v="1"/>
  </r>
  <r>
    <x v="0"/>
    <x v="3"/>
    <x v="1"/>
    <x v="7"/>
    <x v="9"/>
    <x v="7"/>
    <x v="0"/>
    <x v="8"/>
    <x v="2"/>
    <x v="30"/>
    <x v="1"/>
    <x v="1"/>
  </r>
  <r>
    <x v="0"/>
    <x v="3"/>
    <x v="1"/>
    <x v="8"/>
    <x v="10"/>
    <x v="8"/>
    <x v="0"/>
    <x v="8"/>
    <x v="2"/>
    <x v="26"/>
    <x v="1"/>
    <x v="1"/>
  </r>
  <r>
    <x v="0"/>
    <x v="3"/>
    <x v="1"/>
    <x v="8"/>
    <x v="10"/>
    <x v="8"/>
    <x v="0"/>
    <x v="8"/>
    <x v="2"/>
    <x v="26"/>
    <x v="1"/>
    <x v="1"/>
  </r>
  <r>
    <x v="0"/>
    <x v="3"/>
    <x v="1"/>
    <x v="8"/>
    <x v="10"/>
    <x v="8"/>
    <x v="0"/>
    <x v="8"/>
    <x v="2"/>
    <x v="26"/>
    <x v="1"/>
    <x v="1"/>
  </r>
  <r>
    <x v="0"/>
    <x v="4"/>
    <x v="1"/>
    <x v="0"/>
    <x v="13"/>
    <x v="12"/>
    <x v="0"/>
    <x v="8"/>
    <x v="2"/>
    <x v="26"/>
    <x v="1"/>
    <x v="1"/>
  </r>
  <r>
    <x v="0"/>
    <x v="4"/>
    <x v="1"/>
    <x v="0"/>
    <x v="13"/>
    <x v="12"/>
    <x v="0"/>
    <x v="8"/>
    <x v="2"/>
    <x v="26"/>
    <x v="1"/>
    <x v="1"/>
  </r>
  <r>
    <x v="0"/>
    <x v="4"/>
    <x v="1"/>
    <x v="0"/>
    <x v="13"/>
    <x v="12"/>
    <x v="0"/>
    <x v="8"/>
    <x v="2"/>
    <x v="26"/>
    <x v="1"/>
    <x v="1"/>
  </r>
  <r>
    <x v="0"/>
    <x v="4"/>
    <x v="1"/>
    <x v="9"/>
    <x v="22"/>
    <x v="21"/>
    <x v="0"/>
    <x v="8"/>
    <x v="2"/>
    <x v="43"/>
    <x v="1"/>
    <x v="1"/>
  </r>
  <r>
    <x v="0"/>
    <x v="4"/>
    <x v="1"/>
    <x v="9"/>
    <x v="22"/>
    <x v="21"/>
    <x v="0"/>
    <x v="8"/>
    <x v="2"/>
    <x v="43"/>
    <x v="1"/>
    <x v="1"/>
  </r>
  <r>
    <x v="0"/>
    <x v="4"/>
    <x v="1"/>
    <x v="9"/>
    <x v="22"/>
    <x v="21"/>
    <x v="0"/>
    <x v="8"/>
    <x v="2"/>
    <x v="43"/>
    <x v="1"/>
    <x v="1"/>
  </r>
  <r>
    <x v="0"/>
    <x v="4"/>
    <x v="1"/>
    <x v="1"/>
    <x v="14"/>
    <x v="13"/>
    <x v="0"/>
    <x v="8"/>
    <x v="2"/>
    <x v="62"/>
    <x v="1"/>
    <x v="1"/>
  </r>
  <r>
    <x v="0"/>
    <x v="4"/>
    <x v="1"/>
    <x v="1"/>
    <x v="14"/>
    <x v="13"/>
    <x v="0"/>
    <x v="8"/>
    <x v="2"/>
    <x v="62"/>
    <x v="1"/>
    <x v="1"/>
  </r>
  <r>
    <x v="0"/>
    <x v="4"/>
    <x v="1"/>
    <x v="1"/>
    <x v="14"/>
    <x v="13"/>
    <x v="0"/>
    <x v="8"/>
    <x v="2"/>
    <x v="62"/>
    <x v="1"/>
    <x v="1"/>
  </r>
  <r>
    <x v="0"/>
    <x v="4"/>
    <x v="1"/>
    <x v="2"/>
    <x v="15"/>
    <x v="14"/>
    <x v="0"/>
    <x v="8"/>
    <x v="2"/>
    <x v="62"/>
    <x v="1"/>
    <x v="1"/>
  </r>
  <r>
    <x v="0"/>
    <x v="4"/>
    <x v="1"/>
    <x v="2"/>
    <x v="15"/>
    <x v="14"/>
    <x v="0"/>
    <x v="8"/>
    <x v="2"/>
    <x v="62"/>
    <x v="1"/>
    <x v="1"/>
  </r>
  <r>
    <x v="0"/>
    <x v="4"/>
    <x v="1"/>
    <x v="2"/>
    <x v="15"/>
    <x v="14"/>
    <x v="0"/>
    <x v="8"/>
    <x v="2"/>
    <x v="62"/>
    <x v="1"/>
    <x v="1"/>
  </r>
  <r>
    <x v="0"/>
    <x v="4"/>
    <x v="1"/>
    <x v="3"/>
    <x v="16"/>
    <x v="15"/>
    <x v="0"/>
    <x v="8"/>
    <x v="2"/>
    <x v="17"/>
    <x v="1"/>
    <x v="1"/>
  </r>
  <r>
    <x v="0"/>
    <x v="4"/>
    <x v="1"/>
    <x v="3"/>
    <x v="16"/>
    <x v="15"/>
    <x v="0"/>
    <x v="8"/>
    <x v="2"/>
    <x v="17"/>
    <x v="1"/>
    <x v="1"/>
  </r>
  <r>
    <x v="0"/>
    <x v="4"/>
    <x v="1"/>
    <x v="3"/>
    <x v="16"/>
    <x v="15"/>
    <x v="0"/>
    <x v="8"/>
    <x v="2"/>
    <x v="17"/>
    <x v="1"/>
    <x v="1"/>
  </r>
  <r>
    <x v="0"/>
    <x v="4"/>
    <x v="1"/>
    <x v="4"/>
    <x v="17"/>
    <x v="16"/>
    <x v="0"/>
    <x v="8"/>
    <x v="2"/>
    <x v="29"/>
    <x v="1"/>
    <x v="1"/>
  </r>
  <r>
    <x v="0"/>
    <x v="4"/>
    <x v="1"/>
    <x v="4"/>
    <x v="17"/>
    <x v="16"/>
    <x v="0"/>
    <x v="8"/>
    <x v="2"/>
    <x v="29"/>
    <x v="1"/>
    <x v="1"/>
  </r>
  <r>
    <x v="0"/>
    <x v="4"/>
    <x v="1"/>
    <x v="4"/>
    <x v="17"/>
    <x v="16"/>
    <x v="0"/>
    <x v="8"/>
    <x v="2"/>
    <x v="29"/>
    <x v="1"/>
    <x v="1"/>
  </r>
  <r>
    <x v="0"/>
    <x v="4"/>
    <x v="1"/>
    <x v="5"/>
    <x v="18"/>
    <x v="17"/>
    <x v="0"/>
    <x v="8"/>
    <x v="2"/>
    <x v="62"/>
    <x v="1"/>
    <x v="1"/>
  </r>
  <r>
    <x v="0"/>
    <x v="4"/>
    <x v="1"/>
    <x v="5"/>
    <x v="18"/>
    <x v="17"/>
    <x v="0"/>
    <x v="8"/>
    <x v="2"/>
    <x v="62"/>
    <x v="1"/>
    <x v="1"/>
  </r>
  <r>
    <x v="0"/>
    <x v="4"/>
    <x v="1"/>
    <x v="5"/>
    <x v="18"/>
    <x v="17"/>
    <x v="0"/>
    <x v="8"/>
    <x v="2"/>
    <x v="62"/>
    <x v="1"/>
    <x v="1"/>
  </r>
  <r>
    <x v="0"/>
    <x v="4"/>
    <x v="1"/>
    <x v="6"/>
    <x v="19"/>
    <x v="18"/>
    <x v="0"/>
    <x v="8"/>
    <x v="2"/>
    <x v="19"/>
    <x v="1"/>
    <x v="1"/>
  </r>
  <r>
    <x v="0"/>
    <x v="4"/>
    <x v="1"/>
    <x v="6"/>
    <x v="19"/>
    <x v="18"/>
    <x v="0"/>
    <x v="8"/>
    <x v="2"/>
    <x v="19"/>
    <x v="1"/>
    <x v="1"/>
  </r>
  <r>
    <x v="0"/>
    <x v="4"/>
    <x v="1"/>
    <x v="6"/>
    <x v="19"/>
    <x v="18"/>
    <x v="0"/>
    <x v="8"/>
    <x v="2"/>
    <x v="19"/>
    <x v="1"/>
    <x v="1"/>
  </r>
  <r>
    <x v="0"/>
    <x v="4"/>
    <x v="1"/>
    <x v="7"/>
    <x v="20"/>
    <x v="19"/>
    <x v="0"/>
    <x v="8"/>
    <x v="2"/>
    <x v="29"/>
    <x v="1"/>
    <x v="1"/>
  </r>
  <r>
    <x v="0"/>
    <x v="4"/>
    <x v="1"/>
    <x v="7"/>
    <x v="20"/>
    <x v="19"/>
    <x v="0"/>
    <x v="8"/>
    <x v="2"/>
    <x v="29"/>
    <x v="1"/>
    <x v="1"/>
  </r>
  <r>
    <x v="0"/>
    <x v="4"/>
    <x v="1"/>
    <x v="7"/>
    <x v="20"/>
    <x v="19"/>
    <x v="0"/>
    <x v="8"/>
    <x v="2"/>
    <x v="29"/>
    <x v="1"/>
    <x v="1"/>
  </r>
  <r>
    <x v="0"/>
    <x v="4"/>
    <x v="1"/>
    <x v="8"/>
    <x v="21"/>
    <x v="20"/>
    <x v="0"/>
    <x v="8"/>
    <x v="2"/>
    <x v="62"/>
    <x v="1"/>
    <x v="1"/>
  </r>
  <r>
    <x v="0"/>
    <x v="4"/>
    <x v="1"/>
    <x v="8"/>
    <x v="21"/>
    <x v="20"/>
    <x v="0"/>
    <x v="8"/>
    <x v="2"/>
    <x v="62"/>
    <x v="1"/>
    <x v="1"/>
  </r>
  <r>
    <x v="0"/>
    <x v="4"/>
    <x v="1"/>
    <x v="8"/>
    <x v="21"/>
    <x v="20"/>
    <x v="0"/>
    <x v="8"/>
    <x v="2"/>
    <x v="62"/>
    <x v="1"/>
    <x v="1"/>
  </r>
  <r>
    <x v="1"/>
    <x v="2"/>
    <x v="1"/>
    <x v="0"/>
    <x v="23"/>
    <x v="22"/>
    <x v="0"/>
    <x v="8"/>
    <x v="2"/>
    <x v="62"/>
    <x v="1"/>
    <x v="1"/>
  </r>
  <r>
    <x v="1"/>
    <x v="2"/>
    <x v="1"/>
    <x v="0"/>
    <x v="23"/>
    <x v="22"/>
    <x v="0"/>
    <x v="8"/>
    <x v="2"/>
    <x v="62"/>
    <x v="1"/>
    <x v="1"/>
  </r>
  <r>
    <x v="1"/>
    <x v="2"/>
    <x v="1"/>
    <x v="0"/>
    <x v="23"/>
    <x v="22"/>
    <x v="0"/>
    <x v="8"/>
    <x v="2"/>
    <x v="62"/>
    <x v="1"/>
    <x v="1"/>
  </r>
  <r>
    <x v="1"/>
    <x v="2"/>
    <x v="1"/>
    <x v="9"/>
    <x v="32"/>
    <x v="31"/>
    <x v="0"/>
    <x v="8"/>
    <x v="2"/>
    <x v="62"/>
    <x v="1"/>
    <x v="1"/>
  </r>
  <r>
    <x v="1"/>
    <x v="2"/>
    <x v="1"/>
    <x v="9"/>
    <x v="32"/>
    <x v="31"/>
    <x v="0"/>
    <x v="8"/>
    <x v="2"/>
    <x v="62"/>
    <x v="1"/>
    <x v="1"/>
  </r>
  <r>
    <x v="1"/>
    <x v="2"/>
    <x v="1"/>
    <x v="9"/>
    <x v="32"/>
    <x v="31"/>
    <x v="0"/>
    <x v="8"/>
    <x v="2"/>
    <x v="62"/>
    <x v="1"/>
    <x v="1"/>
  </r>
  <r>
    <x v="1"/>
    <x v="2"/>
    <x v="1"/>
    <x v="1"/>
    <x v="24"/>
    <x v="23"/>
    <x v="0"/>
    <x v="8"/>
    <x v="2"/>
    <x v="62"/>
    <x v="1"/>
    <x v="1"/>
  </r>
  <r>
    <x v="1"/>
    <x v="2"/>
    <x v="1"/>
    <x v="1"/>
    <x v="24"/>
    <x v="23"/>
    <x v="0"/>
    <x v="8"/>
    <x v="2"/>
    <x v="62"/>
    <x v="1"/>
    <x v="1"/>
  </r>
  <r>
    <x v="1"/>
    <x v="2"/>
    <x v="1"/>
    <x v="1"/>
    <x v="24"/>
    <x v="23"/>
    <x v="0"/>
    <x v="8"/>
    <x v="2"/>
    <x v="62"/>
    <x v="1"/>
    <x v="1"/>
  </r>
  <r>
    <x v="1"/>
    <x v="2"/>
    <x v="1"/>
    <x v="2"/>
    <x v="25"/>
    <x v="24"/>
    <x v="0"/>
    <x v="8"/>
    <x v="2"/>
    <x v="62"/>
    <x v="1"/>
    <x v="1"/>
  </r>
  <r>
    <x v="1"/>
    <x v="2"/>
    <x v="1"/>
    <x v="2"/>
    <x v="25"/>
    <x v="24"/>
    <x v="0"/>
    <x v="8"/>
    <x v="2"/>
    <x v="62"/>
    <x v="1"/>
    <x v="1"/>
  </r>
  <r>
    <x v="1"/>
    <x v="2"/>
    <x v="1"/>
    <x v="2"/>
    <x v="25"/>
    <x v="24"/>
    <x v="0"/>
    <x v="8"/>
    <x v="2"/>
    <x v="62"/>
    <x v="1"/>
    <x v="1"/>
  </r>
  <r>
    <x v="1"/>
    <x v="2"/>
    <x v="1"/>
    <x v="3"/>
    <x v="26"/>
    <x v="25"/>
    <x v="0"/>
    <x v="8"/>
    <x v="2"/>
    <x v="62"/>
    <x v="1"/>
    <x v="1"/>
  </r>
  <r>
    <x v="1"/>
    <x v="2"/>
    <x v="1"/>
    <x v="3"/>
    <x v="26"/>
    <x v="25"/>
    <x v="0"/>
    <x v="8"/>
    <x v="2"/>
    <x v="62"/>
    <x v="1"/>
    <x v="1"/>
  </r>
  <r>
    <x v="1"/>
    <x v="2"/>
    <x v="1"/>
    <x v="3"/>
    <x v="26"/>
    <x v="25"/>
    <x v="0"/>
    <x v="8"/>
    <x v="2"/>
    <x v="62"/>
    <x v="1"/>
    <x v="1"/>
  </r>
  <r>
    <x v="1"/>
    <x v="2"/>
    <x v="1"/>
    <x v="4"/>
    <x v="27"/>
    <x v="26"/>
    <x v="0"/>
    <x v="8"/>
    <x v="2"/>
    <x v="62"/>
    <x v="1"/>
    <x v="1"/>
  </r>
  <r>
    <x v="1"/>
    <x v="2"/>
    <x v="1"/>
    <x v="4"/>
    <x v="27"/>
    <x v="26"/>
    <x v="0"/>
    <x v="8"/>
    <x v="2"/>
    <x v="62"/>
    <x v="1"/>
    <x v="1"/>
  </r>
  <r>
    <x v="1"/>
    <x v="2"/>
    <x v="1"/>
    <x v="4"/>
    <x v="27"/>
    <x v="26"/>
    <x v="0"/>
    <x v="8"/>
    <x v="2"/>
    <x v="62"/>
    <x v="1"/>
    <x v="1"/>
  </r>
  <r>
    <x v="1"/>
    <x v="2"/>
    <x v="1"/>
    <x v="5"/>
    <x v="28"/>
    <x v="27"/>
    <x v="0"/>
    <x v="8"/>
    <x v="2"/>
    <x v="62"/>
    <x v="1"/>
    <x v="1"/>
  </r>
  <r>
    <x v="1"/>
    <x v="2"/>
    <x v="1"/>
    <x v="5"/>
    <x v="28"/>
    <x v="27"/>
    <x v="0"/>
    <x v="8"/>
    <x v="2"/>
    <x v="62"/>
    <x v="1"/>
    <x v="1"/>
  </r>
  <r>
    <x v="1"/>
    <x v="2"/>
    <x v="1"/>
    <x v="5"/>
    <x v="28"/>
    <x v="27"/>
    <x v="0"/>
    <x v="8"/>
    <x v="2"/>
    <x v="62"/>
    <x v="1"/>
    <x v="1"/>
  </r>
  <r>
    <x v="1"/>
    <x v="2"/>
    <x v="1"/>
    <x v="6"/>
    <x v="29"/>
    <x v="28"/>
    <x v="0"/>
    <x v="8"/>
    <x v="2"/>
    <x v="62"/>
    <x v="1"/>
    <x v="1"/>
  </r>
  <r>
    <x v="1"/>
    <x v="2"/>
    <x v="1"/>
    <x v="6"/>
    <x v="29"/>
    <x v="28"/>
    <x v="0"/>
    <x v="8"/>
    <x v="2"/>
    <x v="62"/>
    <x v="1"/>
    <x v="1"/>
  </r>
  <r>
    <x v="1"/>
    <x v="2"/>
    <x v="1"/>
    <x v="6"/>
    <x v="29"/>
    <x v="28"/>
    <x v="0"/>
    <x v="8"/>
    <x v="2"/>
    <x v="62"/>
    <x v="1"/>
    <x v="1"/>
  </r>
  <r>
    <x v="1"/>
    <x v="2"/>
    <x v="1"/>
    <x v="7"/>
    <x v="30"/>
    <x v="29"/>
    <x v="0"/>
    <x v="8"/>
    <x v="2"/>
    <x v="62"/>
    <x v="1"/>
    <x v="1"/>
  </r>
  <r>
    <x v="1"/>
    <x v="2"/>
    <x v="1"/>
    <x v="7"/>
    <x v="30"/>
    <x v="29"/>
    <x v="0"/>
    <x v="8"/>
    <x v="2"/>
    <x v="62"/>
    <x v="1"/>
    <x v="1"/>
  </r>
  <r>
    <x v="1"/>
    <x v="2"/>
    <x v="1"/>
    <x v="7"/>
    <x v="30"/>
    <x v="29"/>
    <x v="0"/>
    <x v="8"/>
    <x v="2"/>
    <x v="62"/>
    <x v="1"/>
    <x v="1"/>
  </r>
  <r>
    <x v="1"/>
    <x v="2"/>
    <x v="1"/>
    <x v="8"/>
    <x v="31"/>
    <x v="30"/>
    <x v="0"/>
    <x v="8"/>
    <x v="2"/>
    <x v="62"/>
    <x v="1"/>
    <x v="1"/>
  </r>
  <r>
    <x v="1"/>
    <x v="2"/>
    <x v="1"/>
    <x v="8"/>
    <x v="31"/>
    <x v="30"/>
    <x v="0"/>
    <x v="8"/>
    <x v="2"/>
    <x v="62"/>
    <x v="1"/>
    <x v="1"/>
  </r>
  <r>
    <x v="1"/>
    <x v="2"/>
    <x v="1"/>
    <x v="8"/>
    <x v="31"/>
    <x v="30"/>
    <x v="0"/>
    <x v="8"/>
    <x v="2"/>
    <x v="62"/>
    <x v="1"/>
    <x v="1"/>
  </r>
  <r>
    <x v="1"/>
    <x v="4"/>
    <x v="1"/>
    <x v="0"/>
    <x v="33"/>
    <x v="40"/>
    <x v="0"/>
    <x v="8"/>
    <x v="2"/>
    <x v="62"/>
    <x v="1"/>
    <x v="1"/>
  </r>
  <r>
    <x v="1"/>
    <x v="4"/>
    <x v="1"/>
    <x v="0"/>
    <x v="33"/>
    <x v="40"/>
    <x v="0"/>
    <x v="8"/>
    <x v="2"/>
    <x v="62"/>
    <x v="1"/>
    <x v="1"/>
  </r>
  <r>
    <x v="1"/>
    <x v="4"/>
    <x v="1"/>
    <x v="0"/>
    <x v="33"/>
    <x v="40"/>
    <x v="0"/>
    <x v="8"/>
    <x v="2"/>
    <x v="62"/>
    <x v="1"/>
    <x v="1"/>
  </r>
  <r>
    <x v="1"/>
    <x v="4"/>
    <x v="1"/>
    <x v="1"/>
    <x v="34"/>
    <x v="41"/>
    <x v="0"/>
    <x v="8"/>
    <x v="2"/>
    <x v="62"/>
    <x v="1"/>
    <x v="1"/>
  </r>
  <r>
    <x v="1"/>
    <x v="4"/>
    <x v="1"/>
    <x v="1"/>
    <x v="34"/>
    <x v="41"/>
    <x v="0"/>
    <x v="8"/>
    <x v="2"/>
    <x v="62"/>
    <x v="1"/>
    <x v="1"/>
  </r>
  <r>
    <x v="1"/>
    <x v="4"/>
    <x v="1"/>
    <x v="1"/>
    <x v="34"/>
    <x v="41"/>
    <x v="0"/>
    <x v="8"/>
    <x v="2"/>
    <x v="62"/>
    <x v="1"/>
    <x v="1"/>
  </r>
  <r>
    <x v="1"/>
    <x v="4"/>
    <x v="1"/>
    <x v="2"/>
    <x v="35"/>
    <x v="42"/>
    <x v="0"/>
    <x v="8"/>
    <x v="2"/>
    <x v="62"/>
    <x v="1"/>
    <x v="1"/>
  </r>
  <r>
    <x v="1"/>
    <x v="4"/>
    <x v="1"/>
    <x v="2"/>
    <x v="35"/>
    <x v="42"/>
    <x v="0"/>
    <x v="8"/>
    <x v="2"/>
    <x v="62"/>
    <x v="1"/>
    <x v="1"/>
  </r>
  <r>
    <x v="1"/>
    <x v="4"/>
    <x v="1"/>
    <x v="2"/>
    <x v="35"/>
    <x v="42"/>
    <x v="0"/>
    <x v="8"/>
    <x v="2"/>
    <x v="62"/>
    <x v="1"/>
    <x v="1"/>
  </r>
  <r>
    <x v="1"/>
    <x v="4"/>
    <x v="1"/>
    <x v="3"/>
    <x v="36"/>
    <x v="43"/>
    <x v="0"/>
    <x v="8"/>
    <x v="2"/>
    <x v="62"/>
    <x v="1"/>
    <x v="1"/>
  </r>
  <r>
    <x v="1"/>
    <x v="4"/>
    <x v="1"/>
    <x v="3"/>
    <x v="36"/>
    <x v="43"/>
    <x v="0"/>
    <x v="8"/>
    <x v="2"/>
    <x v="62"/>
    <x v="1"/>
    <x v="1"/>
  </r>
  <r>
    <x v="1"/>
    <x v="4"/>
    <x v="1"/>
    <x v="3"/>
    <x v="36"/>
    <x v="43"/>
    <x v="0"/>
    <x v="8"/>
    <x v="2"/>
    <x v="62"/>
    <x v="1"/>
    <x v="1"/>
  </r>
  <r>
    <x v="1"/>
    <x v="4"/>
    <x v="1"/>
    <x v="4"/>
    <x v="37"/>
    <x v="44"/>
    <x v="0"/>
    <x v="8"/>
    <x v="2"/>
    <x v="62"/>
    <x v="1"/>
    <x v="1"/>
  </r>
  <r>
    <x v="1"/>
    <x v="4"/>
    <x v="1"/>
    <x v="4"/>
    <x v="37"/>
    <x v="44"/>
    <x v="0"/>
    <x v="8"/>
    <x v="2"/>
    <x v="62"/>
    <x v="1"/>
    <x v="1"/>
  </r>
  <r>
    <x v="1"/>
    <x v="4"/>
    <x v="1"/>
    <x v="4"/>
    <x v="37"/>
    <x v="44"/>
    <x v="0"/>
    <x v="8"/>
    <x v="2"/>
    <x v="62"/>
    <x v="1"/>
    <x v="1"/>
  </r>
  <r>
    <x v="1"/>
    <x v="4"/>
    <x v="1"/>
    <x v="5"/>
    <x v="38"/>
    <x v="45"/>
    <x v="0"/>
    <x v="8"/>
    <x v="2"/>
    <x v="62"/>
    <x v="1"/>
    <x v="1"/>
  </r>
  <r>
    <x v="1"/>
    <x v="4"/>
    <x v="1"/>
    <x v="5"/>
    <x v="38"/>
    <x v="45"/>
    <x v="0"/>
    <x v="8"/>
    <x v="2"/>
    <x v="62"/>
    <x v="1"/>
    <x v="1"/>
  </r>
  <r>
    <x v="1"/>
    <x v="4"/>
    <x v="1"/>
    <x v="5"/>
    <x v="38"/>
    <x v="45"/>
    <x v="0"/>
    <x v="8"/>
    <x v="2"/>
    <x v="62"/>
    <x v="1"/>
    <x v="1"/>
  </r>
  <r>
    <x v="1"/>
    <x v="4"/>
    <x v="1"/>
    <x v="6"/>
    <x v="39"/>
    <x v="46"/>
    <x v="0"/>
    <x v="8"/>
    <x v="2"/>
    <x v="62"/>
    <x v="1"/>
    <x v="1"/>
  </r>
  <r>
    <x v="1"/>
    <x v="4"/>
    <x v="1"/>
    <x v="6"/>
    <x v="39"/>
    <x v="46"/>
    <x v="0"/>
    <x v="8"/>
    <x v="2"/>
    <x v="62"/>
    <x v="1"/>
    <x v="1"/>
  </r>
  <r>
    <x v="1"/>
    <x v="4"/>
    <x v="1"/>
    <x v="6"/>
    <x v="39"/>
    <x v="46"/>
    <x v="0"/>
    <x v="8"/>
    <x v="2"/>
    <x v="62"/>
    <x v="1"/>
    <x v="1"/>
  </r>
  <r>
    <x v="1"/>
    <x v="4"/>
    <x v="1"/>
    <x v="7"/>
    <x v="40"/>
    <x v="47"/>
    <x v="0"/>
    <x v="8"/>
    <x v="2"/>
    <x v="2"/>
    <x v="1"/>
    <x v="1"/>
  </r>
  <r>
    <x v="1"/>
    <x v="4"/>
    <x v="1"/>
    <x v="7"/>
    <x v="40"/>
    <x v="47"/>
    <x v="0"/>
    <x v="8"/>
    <x v="2"/>
    <x v="2"/>
    <x v="1"/>
    <x v="1"/>
  </r>
  <r>
    <x v="1"/>
    <x v="4"/>
    <x v="1"/>
    <x v="7"/>
    <x v="40"/>
    <x v="47"/>
    <x v="0"/>
    <x v="8"/>
    <x v="2"/>
    <x v="2"/>
    <x v="1"/>
    <x v="1"/>
  </r>
  <r>
    <x v="2"/>
    <x v="2"/>
    <x v="1"/>
    <x v="0"/>
    <x v="42"/>
    <x v="61"/>
    <x v="0"/>
    <x v="1"/>
    <x v="4"/>
    <x v="62"/>
    <x v="1"/>
    <x v="1"/>
  </r>
  <r>
    <x v="2"/>
    <x v="2"/>
    <x v="1"/>
    <x v="0"/>
    <x v="42"/>
    <x v="61"/>
    <x v="0"/>
    <x v="1"/>
    <x v="4"/>
    <x v="62"/>
    <x v="1"/>
    <x v="1"/>
  </r>
  <r>
    <x v="2"/>
    <x v="2"/>
    <x v="1"/>
    <x v="0"/>
    <x v="42"/>
    <x v="61"/>
    <x v="0"/>
    <x v="1"/>
    <x v="4"/>
    <x v="62"/>
    <x v="1"/>
    <x v="1"/>
  </r>
  <r>
    <x v="2"/>
    <x v="2"/>
    <x v="1"/>
    <x v="1"/>
    <x v="43"/>
    <x v="62"/>
    <x v="0"/>
    <x v="1"/>
    <x v="4"/>
    <x v="62"/>
    <x v="1"/>
    <x v="1"/>
  </r>
  <r>
    <x v="2"/>
    <x v="2"/>
    <x v="1"/>
    <x v="1"/>
    <x v="43"/>
    <x v="62"/>
    <x v="0"/>
    <x v="1"/>
    <x v="4"/>
    <x v="62"/>
    <x v="1"/>
    <x v="1"/>
  </r>
  <r>
    <x v="2"/>
    <x v="2"/>
    <x v="1"/>
    <x v="1"/>
    <x v="43"/>
    <x v="62"/>
    <x v="0"/>
    <x v="1"/>
    <x v="4"/>
    <x v="62"/>
    <x v="1"/>
    <x v="1"/>
  </r>
  <r>
    <x v="2"/>
    <x v="2"/>
    <x v="1"/>
    <x v="2"/>
    <x v="44"/>
    <x v="63"/>
    <x v="0"/>
    <x v="1"/>
    <x v="2"/>
    <x v="62"/>
    <x v="1"/>
    <x v="1"/>
  </r>
  <r>
    <x v="2"/>
    <x v="2"/>
    <x v="1"/>
    <x v="2"/>
    <x v="44"/>
    <x v="63"/>
    <x v="0"/>
    <x v="1"/>
    <x v="2"/>
    <x v="62"/>
    <x v="1"/>
    <x v="1"/>
  </r>
  <r>
    <x v="2"/>
    <x v="2"/>
    <x v="1"/>
    <x v="2"/>
    <x v="44"/>
    <x v="63"/>
    <x v="0"/>
    <x v="1"/>
    <x v="2"/>
    <x v="62"/>
    <x v="1"/>
    <x v="1"/>
  </r>
  <r>
    <x v="2"/>
    <x v="2"/>
    <x v="1"/>
    <x v="3"/>
    <x v="45"/>
    <x v="64"/>
    <x v="0"/>
    <x v="1"/>
    <x v="4"/>
    <x v="62"/>
    <x v="1"/>
    <x v="1"/>
  </r>
  <r>
    <x v="2"/>
    <x v="2"/>
    <x v="1"/>
    <x v="3"/>
    <x v="45"/>
    <x v="64"/>
    <x v="0"/>
    <x v="1"/>
    <x v="4"/>
    <x v="62"/>
    <x v="1"/>
    <x v="1"/>
  </r>
  <r>
    <x v="2"/>
    <x v="2"/>
    <x v="1"/>
    <x v="3"/>
    <x v="45"/>
    <x v="64"/>
    <x v="0"/>
    <x v="1"/>
    <x v="4"/>
    <x v="62"/>
    <x v="1"/>
    <x v="1"/>
  </r>
  <r>
    <x v="2"/>
    <x v="2"/>
    <x v="1"/>
    <x v="4"/>
    <x v="46"/>
    <x v="65"/>
    <x v="0"/>
    <x v="1"/>
    <x v="4"/>
    <x v="62"/>
    <x v="1"/>
    <x v="1"/>
  </r>
  <r>
    <x v="2"/>
    <x v="2"/>
    <x v="1"/>
    <x v="4"/>
    <x v="46"/>
    <x v="65"/>
    <x v="0"/>
    <x v="1"/>
    <x v="4"/>
    <x v="62"/>
    <x v="1"/>
    <x v="1"/>
  </r>
  <r>
    <x v="2"/>
    <x v="2"/>
    <x v="1"/>
    <x v="4"/>
    <x v="46"/>
    <x v="65"/>
    <x v="0"/>
    <x v="1"/>
    <x v="4"/>
    <x v="62"/>
    <x v="1"/>
    <x v="1"/>
  </r>
  <r>
    <x v="2"/>
    <x v="3"/>
    <x v="1"/>
    <x v="0"/>
    <x v="47"/>
    <x v="66"/>
    <x v="0"/>
    <x v="1"/>
    <x v="2"/>
    <x v="55"/>
    <x v="1"/>
    <x v="1"/>
  </r>
  <r>
    <x v="2"/>
    <x v="3"/>
    <x v="1"/>
    <x v="0"/>
    <x v="47"/>
    <x v="66"/>
    <x v="0"/>
    <x v="1"/>
    <x v="2"/>
    <x v="55"/>
    <x v="1"/>
    <x v="1"/>
  </r>
  <r>
    <x v="2"/>
    <x v="3"/>
    <x v="1"/>
    <x v="0"/>
    <x v="47"/>
    <x v="66"/>
    <x v="0"/>
    <x v="1"/>
    <x v="2"/>
    <x v="55"/>
    <x v="1"/>
    <x v="1"/>
  </r>
  <r>
    <x v="2"/>
    <x v="3"/>
    <x v="1"/>
    <x v="1"/>
    <x v="48"/>
    <x v="67"/>
    <x v="0"/>
    <x v="1"/>
    <x v="2"/>
    <x v="53"/>
    <x v="1"/>
    <x v="1"/>
  </r>
  <r>
    <x v="2"/>
    <x v="3"/>
    <x v="1"/>
    <x v="1"/>
    <x v="48"/>
    <x v="67"/>
    <x v="0"/>
    <x v="1"/>
    <x v="2"/>
    <x v="53"/>
    <x v="1"/>
    <x v="1"/>
  </r>
  <r>
    <x v="2"/>
    <x v="3"/>
    <x v="1"/>
    <x v="1"/>
    <x v="48"/>
    <x v="67"/>
    <x v="0"/>
    <x v="1"/>
    <x v="2"/>
    <x v="53"/>
    <x v="1"/>
    <x v="1"/>
  </r>
  <r>
    <x v="2"/>
    <x v="3"/>
    <x v="1"/>
    <x v="2"/>
    <x v="49"/>
    <x v="68"/>
    <x v="0"/>
    <x v="1"/>
    <x v="4"/>
    <x v="7"/>
    <x v="0"/>
    <x v="0"/>
  </r>
  <r>
    <x v="2"/>
    <x v="3"/>
    <x v="1"/>
    <x v="2"/>
    <x v="49"/>
    <x v="68"/>
    <x v="0"/>
    <x v="1"/>
    <x v="4"/>
    <x v="7"/>
    <x v="0"/>
    <x v="0"/>
  </r>
  <r>
    <x v="2"/>
    <x v="3"/>
    <x v="1"/>
    <x v="2"/>
    <x v="49"/>
    <x v="68"/>
    <x v="0"/>
    <x v="1"/>
    <x v="4"/>
    <x v="7"/>
    <x v="0"/>
    <x v="0"/>
  </r>
  <r>
    <x v="2"/>
    <x v="3"/>
    <x v="1"/>
    <x v="3"/>
    <x v="50"/>
    <x v="69"/>
    <x v="0"/>
    <x v="1"/>
    <x v="2"/>
    <x v="56"/>
    <x v="1"/>
    <x v="1"/>
  </r>
  <r>
    <x v="2"/>
    <x v="3"/>
    <x v="1"/>
    <x v="3"/>
    <x v="50"/>
    <x v="69"/>
    <x v="0"/>
    <x v="1"/>
    <x v="2"/>
    <x v="56"/>
    <x v="1"/>
    <x v="1"/>
  </r>
  <r>
    <x v="2"/>
    <x v="3"/>
    <x v="1"/>
    <x v="3"/>
    <x v="50"/>
    <x v="69"/>
    <x v="0"/>
    <x v="1"/>
    <x v="2"/>
    <x v="56"/>
    <x v="1"/>
    <x v="1"/>
  </r>
  <r>
    <x v="2"/>
    <x v="3"/>
    <x v="0"/>
    <x v="4"/>
    <x v="51"/>
    <x v="70"/>
    <x v="0"/>
    <x v="1"/>
    <x v="2"/>
    <x v="57"/>
    <x v="1"/>
    <x v="1"/>
  </r>
  <r>
    <x v="2"/>
    <x v="3"/>
    <x v="0"/>
    <x v="4"/>
    <x v="51"/>
    <x v="70"/>
    <x v="0"/>
    <x v="1"/>
    <x v="2"/>
    <x v="57"/>
    <x v="1"/>
    <x v="1"/>
  </r>
  <r>
    <x v="2"/>
    <x v="3"/>
    <x v="0"/>
    <x v="4"/>
    <x v="51"/>
    <x v="70"/>
    <x v="0"/>
    <x v="1"/>
    <x v="2"/>
    <x v="57"/>
    <x v="1"/>
    <x v="1"/>
  </r>
  <r>
    <x v="4"/>
    <x v="1"/>
    <x v="1"/>
    <x v="0"/>
    <x v="71"/>
    <x v="90"/>
    <x v="0"/>
    <x v="12"/>
    <x v="2"/>
    <x v="37"/>
    <x v="1"/>
    <x v="1"/>
  </r>
  <r>
    <x v="4"/>
    <x v="1"/>
    <x v="1"/>
    <x v="0"/>
    <x v="71"/>
    <x v="90"/>
    <x v="0"/>
    <x v="12"/>
    <x v="2"/>
    <x v="37"/>
    <x v="1"/>
    <x v="1"/>
  </r>
  <r>
    <x v="4"/>
    <x v="1"/>
    <x v="1"/>
    <x v="0"/>
    <x v="71"/>
    <x v="90"/>
    <x v="0"/>
    <x v="12"/>
    <x v="2"/>
    <x v="37"/>
    <x v="1"/>
    <x v="1"/>
  </r>
  <r>
    <x v="4"/>
    <x v="1"/>
    <x v="1"/>
    <x v="1"/>
    <x v="72"/>
    <x v="91"/>
    <x v="0"/>
    <x v="12"/>
    <x v="2"/>
    <x v="32"/>
    <x v="1"/>
    <x v="1"/>
  </r>
  <r>
    <x v="4"/>
    <x v="1"/>
    <x v="1"/>
    <x v="1"/>
    <x v="72"/>
    <x v="91"/>
    <x v="0"/>
    <x v="12"/>
    <x v="2"/>
    <x v="32"/>
    <x v="1"/>
    <x v="1"/>
  </r>
  <r>
    <x v="4"/>
    <x v="1"/>
    <x v="1"/>
    <x v="1"/>
    <x v="72"/>
    <x v="91"/>
    <x v="0"/>
    <x v="12"/>
    <x v="2"/>
    <x v="32"/>
    <x v="1"/>
    <x v="1"/>
  </r>
  <r>
    <x v="4"/>
    <x v="1"/>
    <x v="1"/>
    <x v="2"/>
    <x v="73"/>
    <x v="92"/>
    <x v="0"/>
    <x v="12"/>
    <x v="2"/>
    <x v="20"/>
    <x v="1"/>
    <x v="1"/>
  </r>
  <r>
    <x v="4"/>
    <x v="1"/>
    <x v="1"/>
    <x v="2"/>
    <x v="73"/>
    <x v="92"/>
    <x v="0"/>
    <x v="12"/>
    <x v="2"/>
    <x v="20"/>
    <x v="1"/>
    <x v="1"/>
  </r>
  <r>
    <x v="4"/>
    <x v="1"/>
    <x v="1"/>
    <x v="2"/>
    <x v="73"/>
    <x v="92"/>
    <x v="0"/>
    <x v="12"/>
    <x v="2"/>
    <x v="20"/>
    <x v="1"/>
    <x v="1"/>
  </r>
  <r>
    <x v="4"/>
    <x v="1"/>
    <x v="1"/>
    <x v="3"/>
    <x v="74"/>
    <x v="93"/>
    <x v="0"/>
    <x v="12"/>
    <x v="2"/>
    <x v="13"/>
    <x v="1"/>
    <x v="1"/>
  </r>
  <r>
    <x v="4"/>
    <x v="1"/>
    <x v="1"/>
    <x v="3"/>
    <x v="74"/>
    <x v="93"/>
    <x v="0"/>
    <x v="12"/>
    <x v="2"/>
    <x v="13"/>
    <x v="1"/>
    <x v="1"/>
  </r>
  <r>
    <x v="4"/>
    <x v="1"/>
    <x v="1"/>
    <x v="3"/>
    <x v="74"/>
    <x v="93"/>
    <x v="0"/>
    <x v="12"/>
    <x v="2"/>
    <x v="13"/>
    <x v="1"/>
    <x v="1"/>
  </r>
  <r>
    <x v="4"/>
    <x v="2"/>
    <x v="1"/>
    <x v="0"/>
    <x v="75"/>
    <x v="94"/>
    <x v="0"/>
    <x v="12"/>
    <x v="2"/>
    <x v="37"/>
    <x v="1"/>
    <x v="1"/>
  </r>
  <r>
    <x v="4"/>
    <x v="2"/>
    <x v="1"/>
    <x v="0"/>
    <x v="75"/>
    <x v="94"/>
    <x v="0"/>
    <x v="12"/>
    <x v="2"/>
    <x v="36"/>
    <x v="1"/>
    <x v="1"/>
  </r>
  <r>
    <x v="4"/>
    <x v="2"/>
    <x v="1"/>
    <x v="0"/>
    <x v="75"/>
    <x v="94"/>
    <x v="0"/>
    <x v="12"/>
    <x v="2"/>
    <x v="36"/>
    <x v="1"/>
    <x v="1"/>
  </r>
  <r>
    <x v="4"/>
    <x v="2"/>
    <x v="1"/>
    <x v="9"/>
    <x v="84"/>
    <x v="103"/>
    <x v="0"/>
    <x v="12"/>
    <x v="2"/>
    <x v="62"/>
    <x v="1"/>
    <x v="1"/>
  </r>
  <r>
    <x v="4"/>
    <x v="2"/>
    <x v="1"/>
    <x v="9"/>
    <x v="84"/>
    <x v="103"/>
    <x v="0"/>
    <x v="12"/>
    <x v="2"/>
    <x v="62"/>
    <x v="1"/>
    <x v="1"/>
  </r>
  <r>
    <x v="4"/>
    <x v="2"/>
    <x v="1"/>
    <x v="9"/>
    <x v="84"/>
    <x v="103"/>
    <x v="0"/>
    <x v="12"/>
    <x v="2"/>
    <x v="62"/>
    <x v="1"/>
    <x v="1"/>
  </r>
  <r>
    <x v="4"/>
    <x v="2"/>
    <x v="1"/>
    <x v="10"/>
    <x v="85"/>
    <x v="104"/>
    <x v="0"/>
    <x v="12"/>
    <x v="2"/>
    <x v="24"/>
    <x v="1"/>
    <x v="1"/>
  </r>
  <r>
    <x v="4"/>
    <x v="2"/>
    <x v="1"/>
    <x v="10"/>
    <x v="85"/>
    <x v="104"/>
    <x v="0"/>
    <x v="12"/>
    <x v="2"/>
    <x v="24"/>
    <x v="1"/>
    <x v="1"/>
  </r>
  <r>
    <x v="4"/>
    <x v="2"/>
    <x v="1"/>
    <x v="10"/>
    <x v="85"/>
    <x v="104"/>
    <x v="0"/>
    <x v="12"/>
    <x v="2"/>
    <x v="24"/>
    <x v="1"/>
    <x v="1"/>
  </r>
  <r>
    <x v="4"/>
    <x v="2"/>
    <x v="1"/>
    <x v="11"/>
    <x v="86"/>
    <x v="105"/>
    <x v="0"/>
    <x v="12"/>
    <x v="2"/>
    <x v="18"/>
    <x v="1"/>
    <x v="1"/>
  </r>
  <r>
    <x v="4"/>
    <x v="2"/>
    <x v="1"/>
    <x v="11"/>
    <x v="86"/>
    <x v="105"/>
    <x v="0"/>
    <x v="12"/>
    <x v="2"/>
    <x v="18"/>
    <x v="1"/>
    <x v="1"/>
  </r>
  <r>
    <x v="4"/>
    <x v="2"/>
    <x v="1"/>
    <x v="11"/>
    <x v="86"/>
    <x v="105"/>
    <x v="0"/>
    <x v="12"/>
    <x v="2"/>
    <x v="18"/>
    <x v="1"/>
    <x v="1"/>
  </r>
  <r>
    <x v="4"/>
    <x v="2"/>
    <x v="1"/>
    <x v="1"/>
    <x v="76"/>
    <x v="95"/>
    <x v="0"/>
    <x v="12"/>
    <x v="2"/>
    <x v="22"/>
    <x v="1"/>
    <x v="1"/>
  </r>
  <r>
    <x v="4"/>
    <x v="2"/>
    <x v="1"/>
    <x v="1"/>
    <x v="76"/>
    <x v="95"/>
    <x v="0"/>
    <x v="12"/>
    <x v="2"/>
    <x v="22"/>
    <x v="1"/>
    <x v="1"/>
  </r>
  <r>
    <x v="4"/>
    <x v="2"/>
    <x v="1"/>
    <x v="1"/>
    <x v="76"/>
    <x v="95"/>
    <x v="0"/>
    <x v="12"/>
    <x v="2"/>
    <x v="22"/>
    <x v="1"/>
    <x v="1"/>
  </r>
  <r>
    <x v="4"/>
    <x v="2"/>
    <x v="1"/>
    <x v="2"/>
    <x v="77"/>
    <x v="96"/>
    <x v="0"/>
    <x v="12"/>
    <x v="2"/>
    <x v="28"/>
    <x v="1"/>
    <x v="1"/>
  </r>
  <r>
    <x v="4"/>
    <x v="2"/>
    <x v="1"/>
    <x v="2"/>
    <x v="77"/>
    <x v="96"/>
    <x v="0"/>
    <x v="12"/>
    <x v="2"/>
    <x v="28"/>
    <x v="1"/>
    <x v="1"/>
  </r>
  <r>
    <x v="4"/>
    <x v="2"/>
    <x v="1"/>
    <x v="2"/>
    <x v="77"/>
    <x v="96"/>
    <x v="0"/>
    <x v="12"/>
    <x v="2"/>
    <x v="28"/>
    <x v="1"/>
    <x v="1"/>
  </r>
  <r>
    <x v="4"/>
    <x v="2"/>
    <x v="1"/>
    <x v="3"/>
    <x v="78"/>
    <x v="97"/>
    <x v="0"/>
    <x v="12"/>
    <x v="2"/>
    <x v="62"/>
    <x v="1"/>
    <x v="1"/>
  </r>
  <r>
    <x v="4"/>
    <x v="2"/>
    <x v="1"/>
    <x v="3"/>
    <x v="78"/>
    <x v="97"/>
    <x v="0"/>
    <x v="12"/>
    <x v="2"/>
    <x v="62"/>
    <x v="1"/>
    <x v="1"/>
  </r>
  <r>
    <x v="4"/>
    <x v="2"/>
    <x v="1"/>
    <x v="3"/>
    <x v="78"/>
    <x v="97"/>
    <x v="0"/>
    <x v="12"/>
    <x v="2"/>
    <x v="62"/>
    <x v="1"/>
    <x v="1"/>
  </r>
  <r>
    <x v="4"/>
    <x v="2"/>
    <x v="1"/>
    <x v="4"/>
    <x v="79"/>
    <x v="98"/>
    <x v="0"/>
    <x v="12"/>
    <x v="2"/>
    <x v="34"/>
    <x v="1"/>
    <x v="1"/>
  </r>
  <r>
    <x v="4"/>
    <x v="2"/>
    <x v="1"/>
    <x v="4"/>
    <x v="79"/>
    <x v="98"/>
    <x v="0"/>
    <x v="12"/>
    <x v="2"/>
    <x v="34"/>
    <x v="1"/>
    <x v="1"/>
  </r>
  <r>
    <x v="4"/>
    <x v="2"/>
    <x v="1"/>
    <x v="4"/>
    <x v="79"/>
    <x v="98"/>
    <x v="0"/>
    <x v="12"/>
    <x v="2"/>
    <x v="34"/>
    <x v="1"/>
    <x v="1"/>
  </r>
  <r>
    <x v="4"/>
    <x v="2"/>
    <x v="1"/>
    <x v="5"/>
    <x v="80"/>
    <x v="99"/>
    <x v="0"/>
    <x v="12"/>
    <x v="2"/>
    <x v="49"/>
    <x v="1"/>
    <x v="1"/>
  </r>
  <r>
    <x v="4"/>
    <x v="2"/>
    <x v="1"/>
    <x v="5"/>
    <x v="80"/>
    <x v="99"/>
    <x v="0"/>
    <x v="12"/>
    <x v="2"/>
    <x v="49"/>
    <x v="1"/>
    <x v="1"/>
  </r>
  <r>
    <x v="4"/>
    <x v="2"/>
    <x v="1"/>
    <x v="5"/>
    <x v="80"/>
    <x v="99"/>
    <x v="0"/>
    <x v="12"/>
    <x v="2"/>
    <x v="49"/>
    <x v="1"/>
    <x v="1"/>
  </r>
  <r>
    <x v="4"/>
    <x v="2"/>
    <x v="1"/>
    <x v="6"/>
    <x v="81"/>
    <x v="100"/>
    <x v="0"/>
    <x v="12"/>
    <x v="2"/>
    <x v="30"/>
    <x v="1"/>
    <x v="1"/>
  </r>
  <r>
    <x v="4"/>
    <x v="2"/>
    <x v="1"/>
    <x v="6"/>
    <x v="81"/>
    <x v="100"/>
    <x v="0"/>
    <x v="12"/>
    <x v="2"/>
    <x v="30"/>
    <x v="1"/>
    <x v="1"/>
  </r>
  <r>
    <x v="4"/>
    <x v="2"/>
    <x v="1"/>
    <x v="6"/>
    <x v="81"/>
    <x v="100"/>
    <x v="0"/>
    <x v="12"/>
    <x v="2"/>
    <x v="30"/>
    <x v="1"/>
    <x v="1"/>
  </r>
  <r>
    <x v="4"/>
    <x v="2"/>
    <x v="1"/>
    <x v="7"/>
    <x v="82"/>
    <x v="101"/>
    <x v="0"/>
    <x v="12"/>
    <x v="2"/>
    <x v="24"/>
    <x v="1"/>
    <x v="1"/>
  </r>
  <r>
    <x v="4"/>
    <x v="2"/>
    <x v="1"/>
    <x v="7"/>
    <x v="82"/>
    <x v="101"/>
    <x v="0"/>
    <x v="12"/>
    <x v="2"/>
    <x v="24"/>
    <x v="1"/>
    <x v="1"/>
  </r>
  <r>
    <x v="4"/>
    <x v="2"/>
    <x v="1"/>
    <x v="7"/>
    <x v="82"/>
    <x v="101"/>
    <x v="0"/>
    <x v="12"/>
    <x v="2"/>
    <x v="24"/>
    <x v="1"/>
    <x v="1"/>
  </r>
  <r>
    <x v="4"/>
    <x v="2"/>
    <x v="1"/>
    <x v="8"/>
    <x v="83"/>
    <x v="102"/>
    <x v="0"/>
    <x v="12"/>
    <x v="2"/>
    <x v="28"/>
    <x v="1"/>
    <x v="1"/>
  </r>
  <r>
    <x v="4"/>
    <x v="2"/>
    <x v="1"/>
    <x v="8"/>
    <x v="83"/>
    <x v="102"/>
    <x v="0"/>
    <x v="12"/>
    <x v="2"/>
    <x v="28"/>
    <x v="1"/>
    <x v="1"/>
  </r>
  <r>
    <x v="4"/>
    <x v="2"/>
    <x v="1"/>
    <x v="8"/>
    <x v="83"/>
    <x v="102"/>
    <x v="0"/>
    <x v="12"/>
    <x v="2"/>
    <x v="28"/>
    <x v="1"/>
    <x v="1"/>
  </r>
  <r>
    <x v="5"/>
    <x v="4"/>
    <x v="1"/>
    <x v="0"/>
    <x v="87"/>
    <x v="106"/>
    <x v="0"/>
    <x v="10"/>
    <x v="2"/>
    <x v="1"/>
    <x v="1"/>
    <x v="1"/>
  </r>
  <r>
    <x v="5"/>
    <x v="4"/>
    <x v="1"/>
    <x v="0"/>
    <x v="87"/>
    <x v="106"/>
    <x v="0"/>
    <x v="10"/>
    <x v="2"/>
    <x v="1"/>
    <x v="1"/>
    <x v="1"/>
  </r>
  <r>
    <x v="5"/>
    <x v="4"/>
    <x v="1"/>
    <x v="0"/>
    <x v="87"/>
    <x v="106"/>
    <x v="0"/>
    <x v="10"/>
    <x v="2"/>
    <x v="1"/>
    <x v="1"/>
    <x v="1"/>
  </r>
  <r>
    <x v="5"/>
    <x v="4"/>
    <x v="1"/>
    <x v="1"/>
    <x v="88"/>
    <x v="107"/>
    <x v="0"/>
    <x v="10"/>
    <x v="2"/>
    <x v="62"/>
    <x v="1"/>
    <x v="1"/>
  </r>
  <r>
    <x v="5"/>
    <x v="4"/>
    <x v="1"/>
    <x v="1"/>
    <x v="88"/>
    <x v="107"/>
    <x v="0"/>
    <x v="10"/>
    <x v="2"/>
    <x v="62"/>
    <x v="1"/>
    <x v="1"/>
  </r>
  <r>
    <x v="5"/>
    <x v="4"/>
    <x v="1"/>
    <x v="1"/>
    <x v="88"/>
    <x v="107"/>
    <x v="0"/>
    <x v="10"/>
    <x v="2"/>
    <x v="62"/>
    <x v="1"/>
    <x v="1"/>
  </r>
  <r>
    <x v="5"/>
    <x v="4"/>
    <x v="1"/>
    <x v="2"/>
    <x v="89"/>
    <x v="108"/>
    <x v="0"/>
    <x v="10"/>
    <x v="2"/>
    <x v="62"/>
    <x v="1"/>
    <x v="1"/>
  </r>
  <r>
    <x v="5"/>
    <x v="4"/>
    <x v="1"/>
    <x v="2"/>
    <x v="89"/>
    <x v="108"/>
    <x v="0"/>
    <x v="10"/>
    <x v="2"/>
    <x v="62"/>
    <x v="1"/>
    <x v="1"/>
  </r>
  <r>
    <x v="5"/>
    <x v="4"/>
    <x v="1"/>
    <x v="2"/>
    <x v="89"/>
    <x v="108"/>
    <x v="0"/>
    <x v="10"/>
    <x v="2"/>
    <x v="62"/>
    <x v="1"/>
    <x v="1"/>
  </r>
  <r>
    <x v="5"/>
    <x v="4"/>
    <x v="1"/>
    <x v="3"/>
    <x v="90"/>
    <x v="109"/>
    <x v="0"/>
    <x v="10"/>
    <x v="2"/>
    <x v="62"/>
    <x v="1"/>
    <x v="1"/>
  </r>
  <r>
    <x v="5"/>
    <x v="4"/>
    <x v="1"/>
    <x v="3"/>
    <x v="90"/>
    <x v="109"/>
    <x v="0"/>
    <x v="10"/>
    <x v="2"/>
    <x v="62"/>
    <x v="1"/>
    <x v="1"/>
  </r>
  <r>
    <x v="5"/>
    <x v="4"/>
    <x v="1"/>
    <x v="3"/>
    <x v="90"/>
    <x v="109"/>
    <x v="0"/>
    <x v="10"/>
    <x v="2"/>
    <x v="62"/>
    <x v="1"/>
    <x v="1"/>
  </r>
  <r>
    <x v="5"/>
    <x v="4"/>
    <x v="1"/>
    <x v="4"/>
    <x v="91"/>
    <x v="110"/>
    <x v="0"/>
    <x v="10"/>
    <x v="2"/>
    <x v="62"/>
    <x v="1"/>
    <x v="1"/>
  </r>
  <r>
    <x v="5"/>
    <x v="4"/>
    <x v="1"/>
    <x v="4"/>
    <x v="91"/>
    <x v="110"/>
    <x v="0"/>
    <x v="10"/>
    <x v="2"/>
    <x v="62"/>
    <x v="1"/>
    <x v="1"/>
  </r>
  <r>
    <x v="5"/>
    <x v="4"/>
    <x v="1"/>
    <x v="4"/>
    <x v="91"/>
    <x v="110"/>
    <x v="0"/>
    <x v="10"/>
    <x v="2"/>
    <x v="62"/>
    <x v="1"/>
    <x v="1"/>
  </r>
  <r>
    <x v="5"/>
    <x v="4"/>
    <x v="1"/>
    <x v="5"/>
    <x v="92"/>
    <x v="111"/>
    <x v="0"/>
    <x v="10"/>
    <x v="2"/>
    <x v="62"/>
    <x v="1"/>
    <x v="1"/>
  </r>
  <r>
    <x v="5"/>
    <x v="4"/>
    <x v="1"/>
    <x v="5"/>
    <x v="92"/>
    <x v="111"/>
    <x v="0"/>
    <x v="10"/>
    <x v="2"/>
    <x v="62"/>
    <x v="1"/>
    <x v="1"/>
  </r>
  <r>
    <x v="5"/>
    <x v="4"/>
    <x v="1"/>
    <x v="5"/>
    <x v="92"/>
    <x v="111"/>
    <x v="0"/>
    <x v="10"/>
    <x v="2"/>
    <x v="62"/>
    <x v="1"/>
    <x v="1"/>
  </r>
  <r>
    <x v="5"/>
    <x v="4"/>
    <x v="1"/>
    <x v="6"/>
    <x v="93"/>
    <x v="112"/>
    <x v="0"/>
    <x v="10"/>
    <x v="2"/>
    <x v="62"/>
    <x v="1"/>
    <x v="1"/>
  </r>
  <r>
    <x v="5"/>
    <x v="4"/>
    <x v="1"/>
    <x v="6"/>
    <x v="93"/>
    <x v="112"/>
    <x v="0"/>
    <x v="10"/>
    <x v="2"/>
    <x v="62"/>
    <x v="1"/>
    <x v="1"/>
  </r>
  <r>
    <x v="5"/>
    <x v="4"/>
    <x v="1"/>
    <x v="6"/>
    <x v="93"/>
    <x v="112"/>
    <x v="0"/>
    <x v="10"/>
    <x v="2"/>
    <x v="62"/>
    <x v="1"/>
    <x v="1"/>
  </r>
  <r>
    <x v="5"/>
    <x v="4"/>
    <x v="1"/>
    <x v="7"/>
    <x v="94"/>
    <x v="113"/>
    <x v="0"/>
    <x v="10"/>
    <x v="2"/>
    <x v="62"/>
    <x v="1"/>
    <x v="1"/>
  </r>
  <r>
    <x v="5"/>
    <x v="4"/>
    <x v="1"/>
    <x v="7"/>
    <x v="94"/>
    <x v="113"/>
    <x v="0"/>
    <x v="10"/>
    <x v="2"/>
    <x v="62"/>
    <x v="1"/>
    <x v="1"/>
  </r>
  <r>
    <x v="5"/>
    <x v="4"/>
    <x v="1"/>
    <x v="7"/>
    <x v="94"/>
    <x v="113"/>
    <x v="0"/>
    <x v="10"/>
    <x v="2"/>
    <x v="62"/>
    <x v="1"/>
    <x v="1"/>
  </r>
  <r>
    <x v="5"/>
    <x v="4"/>
    <x v="1"/>
    <x v="8"/>
    <x v="95"/>
    <x v="114"/>
    <x v="0"/>
    <x v="10"/>
    <x v="2"/>
    <x v="62"/>
    <x v="1"/>
    <x v="1"/>
  </r>
  <r>
    <x v="5"/>
    <x v="4"/>
    <x v="1"/>
    <x v="8"/>
    <x v="95"/>
    <x v="114"/>
    <x v="0"/>
    <x v="10"/>
    <x v="2"/>
    <x v="62"/>
    <x v="1"/>
    <x v="1"/>
  </r>
  <r>
    <x v="5"/>
    <x v="4"/>
    <x v="1"/>
    <x v="8"/>
    <x v="95"/>
    <x v="114"/>
    <x v="0"/>
    <x v="10"/>
    <x v="2"/>
    <x v="62"/>
    <x v="1"/>
    <x v="1"/>
  </r>
  <r>
    <x v="6"/>
    <x v="2"/>
    <x v="1"/>
    <x v="0"/>
    <x v="96"/>
    <x v="127"/>
    <x v="0"/>
    <x v="5"/>
    <x v="2"/>
    <x v="62"/>
    <x v="1"/>
    <x v="1"/>
  </r>
  <r>
    <x v="6"/>
    <x v="2"/>
    <x v="1"/>
    <x v="0"/>
    <x v="96"/>
    <x v="127"/>
    <x v="0"/>
    <x v="5"/>
    <x v="2"/>
    <x v="62"/>
    <x v="1"/>
    <x v="1"/>
  </r>
  <r>
    <x v="6"/>
    <x v="2"/>
    <x v="1"/>
    <x v="0"/>
    <x v="96"/>
    <x v="127"/>
    <x v="0"/>
    <x v="5"/>
    <x v="2"/>
    <x v="62"/>
    <x v="1"/>
    <x v="1"/>
  </r>
  <r>
    <x v="6"/>
    <x v="2"/>
    <x v="1"/>
    <x v="9"/>
    <x v="105"/>
    <x v="136"/>
    <x v="0"/>
    <x v="5"/>
    <x v="2"/>
    <x v="62"/>
    <x v="1"/>
    <x v="1"/>
  </r>
  <r>
    <x v="6"/>
    <x v="2"/>
    <x v="1"/>
    <x v="9"/>
    <x v="105"/>
    <x v="136"/>
    <x v="0"/>
    <x v="5"/>
    <x v="2"/>
    <x v="62"/>
    <x v="1"/>
    <x v="1"/>
  </r>
  <r>
    <x v="6"/>
    <x v="2"/>
    <x v="1"/>
    <x v="9"/>
    <x v="105"/>
    <x v="136"/>
    <x v="0"/>
    <x v="5"/>
    <x v="2"/>
    <x v="62"/>
    <x v="1"/>
    <x v="1"/>
  </r>
  <r>
    <x v="6"/>
    <x v="2"/>
    <x v="1"/>
    <x v="1"/>
    <x v="97"/>
    <x v="128"/>
    <x v="0"/>
    <x v="5"/>
    <x v="2"/>
    <x v="62"/>
    <x v="1"/>
    <x v="1"/>
  </r>
  <r>
    <x v="6"/>
    <x v="2"/>
    <x v="1"/>
    <x v="1"/>
    <x v="97"/>
    <x v="128"/>
    <x v="0"/>
    <x v="5"/>
    <x v="2"/>
    <x v="62"/>
    <x v="1"/>
    <x v="1"/>
  </r>
  <r>
    <x v="6"/>
    <x v="2"/>
    <x v="1"/>
    <x v="1"/>
    <x v="97"/>
    <x v="128"/>
    <x v="0"/>
    <x v="5"/>
    <x v="2"/>
    <x v="62"/>
    <x v="1"/>
    <x v="1"/>
  </r>
  <r>
    <x v="6"/>
    <x v="2"/>
    <x v="1"/>
    <x v="2"/>
    <x v="98"/>
    <x v="129"/>
    <x v="0"/>
    <x v="5"/>
    <x v="2"/>
    <x v="62"/>
    <x v="1"/>
    <x v="1"/>
  </r>
  <r>
    <x v="6"/>
    <x v="2"/>
    <x v="1"/>
    <x v="2"/>
    <x v="98"/>
    <x v="129"/>
    <x v="0"/>
    <x v="5"/>
    <x v="2"/>
    <x v="62"/>
    <x v="1"/>
    <x v="1"/>
  </r>
  <r>
    <x v="6"/>
    <x v="2"/>
    <x v="1"/>
    <x v="2"/>
    <x v="98"/>
    <x v="129"/>
    <x v="0"/>
    <x v="5"/>
    <x v="2"/>
    <x v="62"/>
    <x v="1"/>
    <x v="1"/>
  </r>
  <r>
    <x v="6"/>
    <x v="2"/>
    <x v="1"/>
    <x v="3"/>
    <x v="99"/>
    <x v="130"/>
    <x v="0"/>
    <x v="5"/>
    <x v="2"/>
    <x v="62"/>
    <x v="1"/>
    <x v="1"/>
  </r>
  <r>
    <x v="6"/>
    <x v="2"/>
    <x v="1"/>
    <x v="3"/>
    <x v="99"/>
    <x v="130"/>
    <x v="0"/>
    <x v="5"/>
    <x v="2"/>
    <x v="62"/>
    <x v="1"/>
    <x v="1"/>
  </r>
  <r>
    <x v="6"/>
    <x v="2"/>
    <x v="1"/>
    <x v="3"/>
    <x v="99"/>
    <x v="130"/>
    <x v="0"/>
    <x v="5"/>
    <x v="2"/>
    <x v="62"/>
    <x v="1"/>
    <x v="1"/>
  </r>
  <r>
    <x v="6"/>
    <x v="2"/>
    <x v="1"/>
    <x v="4"/>
    <x v="100"/>
    <x v="131"/>
    <x v="0"/>
    <x v="5"/>
    <x v="2"/>
    <x v="62"/>
    <x v="1"/>
    <x v="1"/>
  </r>
  <r>
    <x v="6"/>
    <x v="2"/>
    <x v="1"/>
    <x v="4"/>
    <x v="100"/>
    <x v="131"/>
    <x v="0"/>
    <x v="5"/>
    <x v="2"/>
    <x v="62"/>
    <x v="1"/>
    <x v="1"/>
  </r>
  <r>
    <x v="6"/>
    <x v="2"/>
    <x v="1"/>
    <x v="4"/>
    <x v="100"/>
    <x v="131"/>
    <x v="0"/>
    <x v="5"/>
    <x v="2"/>
    <x v="62"/>
    <x v="1"/>
    <x v="1"/>
  </r>
  <r>
    <x v="6"/>
    <x v="2"/>
    <x v="1"/>
    <x v="5"/>
    <x v="101"/>
    <x v="132"/>
    <x v="0"/>
    <x v="5"/>
    <x v="2"/>
    <x v="62"/>
    <x v="1"/>
    <x v="1"/>
  </r>
  <r>
    <x v="6"/>
    <x v="2"/>
    <x v="1"/>
    <x v="5"/>
    <x v="101"/>
    <x v="132"/>
    <x v="0"/>
    <x v="5"/>
    <x v="2"/>
    <x v="62"/>
    <x v="1"/>
    <x v="1"/>
  </r>
  <r>
    <x v="6"/>
    <x v="2"/>
    <x v="1"/>
    <x v="5"/>
    <x v="101"/>
    <x v="132"/>
    <x v="0"/>
    <x v="5"/>
    <x v="2"/>
    <x v="62"/>
    <x v="1"/>
    <x v="1"/>
  </r>
  <r>
    <x v="6"/>
    <x v="2"/>
    <x v="1"/>
    <x v="6"/>
    <x v="102"/>
    <x v="133"/>
    <x v="0"/>
    <x v="5"/>
    <x v="2"/>
    <x v="52"/>
    <x v="1"/>
    <x v="1"/>
  </r>
  <r>
    <x v="6"/>
    <x v="2"/>
    <x v="1"/>
    <x v="6"/>
    <x v="102"/>
    <x v="133"/>
    <x v="0"/>
    <x v="5"/>
    <x v="2"/>
    <x v="52"/>
    <x v="1"/>
    <x v="1"/>
  </r>
  <r>
    <x v="6"/>
    <x v="2"/>
    <x v="1"/>
    <x v="6"/>
    <x v="102"/>
    <x v="133"/>
    <x v="0"/>
    <x v="5"/>
    <x v="2"/>
    <x v="52"/>
    <x v="1"/>
    <x v="1"/>
  </r>
  <r>
    <x v="6"/>
    <x v="2"/>
    <x v="1"/>
    <x v="7"/>
    <x v="103"/>
    <x v="134"/>
    <x v="0"/>
    <x v="5"/>
    <x v="2"/>
    <x v="62"/>
    <x v="1"/>
    <x v="1"/>
  </r>
  <r>
    <x v="6"/>
    <x v="2"/>
    <x v="1"/>
    <x v="7"/>
    <x v="103"/>
    <x v="134"/>
    <x v="0"/>
    <x v="5"/>
    <x v="2"/>
    <x v="62"/>
    <x v="1"/>
    <x v="1"/>
  </r>
  <r>
    <x v="6"/>
    <x v="2"/>
    <x v="1"/>
    <x v="7"/>
    <x v="103"/>
    <x v="134"/>
    <x v="0"/>
    <x v="5"/>
    <x v="2"/>
    <x v="62"/>
    <x v="1"/>
    <x v="1"/>
  </r>
  <r>
    <x v="6"/>
    <x v="2"/>
    <x v="1"/>
    <x v="8"/>
    <x v="104"/>
    <x v="135"/>
    <x v="0"/>
    <x v="5"/>
    <x v="2"/>
    <x v="62"/>
    <x v="1"/>
    <x v="1"/>
  </r>
  <r>
    <x v="6"/>
    <x v="2"/>
    <x v="1"/>
    <x v="8"/>
    <x v="104"/>
    <x v="135"/>
    <x v="0"/>
    <x v="5"/>
    <x v="2"/>
    <x v="62"/>
    <x v="1"/>
    <x v="1"/>
  </r>
  <r>
    <x v="6"/>
    <x v="2"/>
    <x v="1"/>
    <x v="8"/>
    <x v="104"/>
    <x v="135"/>
    <x v="0"/>
    <x v="5"/>
    <x v="2"/>
    <x v="62"/>
    <x v="1"/>
    <x v="1"/>
  </r>
  <r>
    <x v="7"/>
    <x v="2"/>
    <x v="1"/>
    <x v="0"/>
    <x v="106"/>
    <x v="137"/>
    <x v="0"/>
    <x v="0"/>
    <x v="2"/>
    <x v="58"/>
    <x v="1"/>
    <x v="1"/>
  </r>
  <r>
    <x v="7"/>
    <x v="2"/>
    <x v="1"/>
    <x v="0"/>
    <x v="106"/>
    <x v="137"/>
    <x v="0"/>
    <x v="0"/>
    <x v="2"/>
    <x v="58"/>
    <x v="1"/>
    <x v="1"/>
  </r>
  <r>
    <x v="7"/>
    <x v="2"/>
    <x v="1"/>
    <x v="0"/>
    <x v="106"/>
    <x v="137"/>
    <x v="0"/>
    <x v="0"/>
    <x v="2"/>
    <x v="58"/>
    <x v="1"/>
    <x v="1"/>
  </r>
  <r>
    <x v="8"/>
    <x v="2"/>
    <x v="1"/>
    <x v="0"/>
    <x v="107"/>
    <x v="138"/>
    <x v="0"/>
    <x v="11"/>
    <x v="2"/>
    <x v="62"/>
    <x v="1"/>
    <x v="1"/>
  </r>
  <r>
    <x v="8"/>
    <x v="2"/>
    <x v="1"/>
    <x v="0"/>
    <x v="107"/>
    <x v="138"/>
    <x v="0"/>
    <x v="11"/>
    <x v="2"/>
    <x v="62"/>
    <x v="1"/>
    <x v="1"/>
  </r>
  <r>
    <x v="8"/>
    <x v="2"/>
    <x v="1"/>
    <x v="0"/>
    <x v="107"/>
    <x v="138"/>
    <x v="0"/>
    <x v="11"/>
    <x v="2"/>
    <x v="62"/>
    <x v="1"/>
    <x v="1"/>
  </r>
  <r>
    <x v="8"/>
    <x v="2"/>
    <x v="1"/>
    <x v="9"/>
    <x v="116"/>
    <x v="147"/>
    <x v="0"/>
    <x v="11"/>
    <x v="2"/>
    <x v="62"/>
    <x v="1"/>
    <x v="1"/>
  </r>
  <r>
    <x v="8"/>
    <x v="2"/>
    <x v="1"/>
    <x v="9"/>
    <x v="116"/>
    <x v="147"/>
    <x v="0"/>
    <x v="11"/>
    <x v="2"/>
    <x v="62"/>
    <x v="1"/>
    <x v="1"/>
  </r>
  <r>
    <x v="8"/>
    <x v="2"/>
    <x v="1"/>
    <x v="9"/>
    <x v="116"/>
    <x v="147"/>
    <x v="0"/>
    <x v="11"/>
    <x v="2"/>
    <x v="62"/>
    <x v="1"/>
    <x v="1"/>
  </r>
  <r>
    <x v="8"/>
    <x v="2"/>
    <x v="1"/>
    <x v="1"/>
    <x v="108"/>
    <x v="139"/>
    <x v="0"/>
    <x v="11"/>
    <x v="2"/>
    <x v="62"/>
    <x v="1"/>
    <x v="1"/>
  </r>
  <r>
    <x v="8"/>
    <x v="2"/>
    <x v="1"/>
    <x v="1"/>
    <x v="108"/>
    <x v="139"/>
    <x v="0"/>
    <x v="11"/>
    <x v="2"/>
    <x v="62"/>
    <x v="1"/>
    <x v="1"/>
  </r>
  <r>
    <x v="8"/>
    <x v="2"/>
    <x v="1"/>
    <x v="1"/>
    <x v="108"/>
    <x v="139"/>
    <x v="0"/>
    <x v="11"/>
    <x v="2"/>
    <x v="62"/>
    <x v="1"/>
    <x v="1"/>
  </r>
  <r>
    <x v="8"/>
    <x v="2"/>
    <x v="1"/>
    <x v="2"/>
    <x v="109"/>
    <x v="140"/>
    <x v="0"/>
    <x v="11"/>
    <x v="2"/>
    <x v="62"/>
    <x v="1"/>
    <x v="1"/>
  </r>
  <r>
    <x v="8"/>
    <x v="2"/>
    <x v="1"/>
    <x v="2"/>
    <x v="109"/>
    <x v="140"/>
    <x v="0"/>
    <x v="11"/>
    <x v="2"/>
    <x v="62"/>
    <x v="1"/>
    <x v="1"/>
  </r>
  <r>
    <x v="8"/>
    <x v="2"/>
    <x v="1"/>
    <x v="2"/>
    <x v="109"/>
    <x v="140"/>
    <x v="0"/>
    <x v="11"/>
    <x v="2"/>
    <x v="62"/>
    <x v="1"/>
    <x v="1"/>
  </r>
  <r>
    <x v="8"/>
    <x v="2"/>
    <x v="1"/>
    <x v="3"/>
    <x v="110"/>
    <x v="141"/>
    <x v="0"/>
    <x v="11"/>
    <x v="2"/>
    <x v="62"/>
    <x v="1"/>
    <x v="1"/>
  </r>
  <r>
    <x v="8"/>
    <x v="2"/>
    <x v="1"/>
    <x v="3"/>
    <x v="110"/>
    <x v="141"/>
    <x v="0"/>
    <x v="11"/>
    <x v="2"/>
    <x v="62"/>
    <x v="1"/>
    <x v="1"/>
  </r>
  <r>
    <x v="8"/>
    <x v="2"/>
    <x v="1"/>
    <x v="3"/>
    <x v="110"/>
    <x v="141"/>
    <x v="0"/>
    <x v="11"/>
    <x v="2"/>
    <x v="62"/>
    <x v="1"/>
    <x v="1"/>
  </r>
  <r>
    <x v="8"/>
    <x v="2"/>
    <x v="1"/>
    <x v="4"/>
    <x v="111"/>
    <x v="142"/>
    <x v="0"/>
    <x v="11"/>
    <x v="2"/>
    <x v="62"/>
    <x v="1"/>
    <x v="1"/>
  </r>
  <r>
    <x v="8"/>
    <x v="2"/>
    <x v="1"/>
    <x v="4"/>
    <x v="111"/>
    <x v="142"/>
    <x v="0"/>
    <x v="11"/>
    <x v="2"/>
    <x v="62"/>
    <x v="1"/>
    <x v="1"/>
  </r>
  <r>
    <x v="8"/>
    <x v="2"/>
    <x v="1"/>
    <x v="4"/>
    <x v="111"/>
    <x v="142"/>
    <x v="0"/>
    <x v="11"/>
    <x v="2"/>
    <x v="62"/>
    <x v="1"/>
    <x v="1"/>
  </r>
  <r>
    <x v="8"/>
    <x v="2"/>
    <x v="1"/>
    <x v="5"/>
    <x v="112"/>
    <x v="143"/>
    <x v="0"/>
    <x v="11"/>
    <x v="2"/>
    <x v="62"/>
    <x v="1"/>
    <x v="1"/>
  </r>
  <r>
    <x v="8"/>
    <x v="2"/>
    <x v="1"/>
    <x v="5"/>
    <x v="112"/>
    <x v="143"/>
    <x v="0"/>
    <x v="11"/>
    <x v="2"/>
    <x v="62"/>
    <x v="1"/>
    <x v="1"/>
  </r>
  <r>
    <x v="8"/>
    <x v="2"/>
    <x v="1"/>
    <x v="5"/>
    <x v="112"/>
    <x v="143"/>
    <x v="0"/>
    <x v="11"/>
    <x v="2"/>
    <x v="62"/>
    <x v="1"/>
    <x v="1"/>
  </r>
  <r>
    <x v="8"/>
    <x v="2"/>
    <x v="1"/>
    <x v="6"/>
    <x v="113"/>
    <x v="144"/>
    <x v="0"/>
    <x v="11"/>
    <x v="2"/>
    <x v="62"/>
    <x v="1"/>
    <x v="1"/>
  </r>
  <r>
    <x v="8"/>
    <x v="2"/>
    <x v="1"/>
    <x v="6"/>
    <x v="113"/>
    <x v="144"/>
    <x v="0"/>
    <x v="11"/>
    <x v="2"/>
    <x v="62"/>
    <x v="1"/>
    <x v="1"/>
  </r>
  <r>
    <x v="8"/>
    <x v="2"/>
    <x v="1"/>
    <x v="6"/>
    <x v="113"/>
    <x v="144"/>
    <x v="0"/>
    <x v="11"/>
    <x v="2"/>
    <x v="62"/>
    <x v="1"/>
    <x v="1"/>
  </r>
  <r>
    <x v="8"/>
    <x v="2"/>
    <x v="1"/>
    <x v="7"/>
    <x v="114"/>
    <x v="145"/>
    <x v="0"/>
    <x v="11"/>
    <x v="2"/>
    <x v="62"/>
    <x v="1"/>
    <x v="1"/>
  </r>
  <r>
    <x v="8"/>
    <x v="2"/>
    <x v="1"/>
    <x v="7"/>
    <x v="114"/>
    <x v="145"/>
    <x v="0"/>
    <x v="11"/>
    <x v="2"/>
    <x v="62"/>
    <x v="1"/>
    <x v="1"/>
  </r>
  <r>
    <x v="8"/>
    <x v="2"/>
    <x v="1"/>
    <x v="7"/>
    <x v="114"/>
    <x v="145"/>
    <x v="0"/>
    <x v="11"/>
    <x v="2"/>
    <x v="62"/>
    <x v="1"/>
    <x v="1"/>
  </r>
  <r>
    <x v="8"/>
    <x v="2"/>
    <x v="1"/>
    <x v="8"/>
    <x v="115"/>
    <x v="146"/>
    <x v="0"/>
    <x v="11"/>
    <x v="2"/>
    <x v="62"/>
    <x v="1"/>
    <x v="1"/>
  </r>
  <r>
    <x v="8"/>
    <x v="2"/>
    <x v="1"/>
    <x v="8"/>
    <x v="115"/>
    <x v="146"/>
    <x v="0"/>
    <x v="11"/>
    <x v="2"/>
    <x v="62"/>
    <x v="1"/>
    <x v="1"/>
  </r>
  <r>
    <x v="8"/>
    <x v="2"/>
    <x v="1"/>
    <x v="8"/>
    <x v="115"/>
    <x v="146"/>
    <x v="0"/>
    <x v="11"/>
    <x v="2"/>
    <x v="62"/>
    <x v="1"/>
    <x v="1"/>
  </r>
  <r>
    <x v="9"/>
    <x v="2"/>
    <x v="1"/>
    <x v="0"/>
    <x v="117"/>
    <x v="155"/>
    <x v="0"/>
    <x v="7"/>
    <x v="2"/>
    <x v="62"/>
    <x v="1"/>
    <x v="1"/>
  </r>
  <r>
    <x v="9"/>
    <x v="2"/>
    <x v="1"/>
    <x v="0"/>
    <x v="117"/>
    <x v="155"/>
    <x v="0"/>
    <x v="7"/>
    <x v="2"/>
    <x v="62"/>
    <x v="1"/>
    <x v="1"/>
  </r>
  <r>
    <x v="9"/>
    <x v="2"/>
    <x v="1"/>
    <x v="0"/>
    <x v="117"/>
    <x v="155"/>
    <x v="0"/>
    <x v="7"/>
    <x v="2"/>
    <x v="62"/>
    <x v="1"/>
    <x v="1"/>
  </r>
  <r>
    <x v="9"/>
    <x v="2"/>
    <x v="1"/>
    <x v="9"/>
    <x v="126"/>
    <x v="164"/>
    <x v="0"/>
    <x v="7"/>
    <x v="2"/>
    <x v="62"/>
    <x v="1"/>
    <x v="1"/>
  </r>
  <r>
    <x v="9"/>
    <x v="2"/>
    <x v="1"/>
    <x v="9"/>
    <x v="126"/>
    <x v="164"/>
    <x v="0"/>
    <x v="7"/>
    <x v="2"/>
    <x v="62"/>
    <x v="1"/>
    <x v="1"/>
  </r>
  <r>
    <x v="9"/>
    <x v="2"/>
    <x v="1"/>
    <x v="9"/>
    <x v="126"/>
    <x v="164"/>
    <x v="0"/>
    <x v="7"/>
    <x v="2"/>
    <x v="62"/>
    <x v="1"/>
    <x v="1"/>
  </r>
  <r>
    <x v="9"/>
    <x v="2"/>
    <x v="1"/>
    <x v="1"/>
    <x v="118"/>
    <x v="156"/>
    <x v="0"/>
    <x v="7"/>
    <x v="2"/>
    <x v="62"/>
    <x v="1"/>
    <x v="1"/>
  </r>
  <r>
    <x v="9"/>
    <x v="2"/>
    <x v="1"/>
    <x v="1"/>
    <x v="118"/>
    <x v="156"/>
    <x v="0"/>
    <x v="7"/>
    <x v="2"/>
    <x v="62"/>
    <x v="1"/>
    <x v="1"/>
  </r>
  <r>
    <x v="9"/>
    <x v="2"/>
    <x v="1"/>
    <x v="1"/>
    <x v="118"/>
    <x v="156"/>
    <x v="0"/>
    <x v="7"/>
    <x v="2"/>
    <x v="62"/>
    <x v="1"/>
    <x v="1"/>
  </r>
  <r>
    <x v="9"/>
    <x v="2"/>
    <x v="1"/>
    <x v="2"/>
    <x v="119"/>
    <x v="157"/>
    <x v="0"/>
    <x v="7"/>
    <x v="2"/>
    <x v="62"/>
    <x v="1"/>
    <x v="1"/>
  </r>
  <r>
    <x v="9"/>
    <x v="2"/>
    <x v="1"/>
    <x v="2"/>
    <x v="119"/>
    <x v="157"/>
    <x v="0"/>
    <x v="7"/>
    <x v="2"/>
    <x v="62"/>
    <x v="1"/>
    <x v="1"/>
  </r>
  <r>
    <x v="9"/>
    <x v="2"/>
    <x v="1"/>
    <x v="2"/>
    <x v="119"/>
    <x v="157"/>
    <x v="0"/>
    <x v="7"/>
    <x v="2"/>
    <x v="62"/>
    <x v="1"/>
    <x v="1"/>
  </r>
  <r>
    <x v="9"/>
    <x v="2"/>
    <x v="1"/>
    <x v="3"/>
    <x v="120"/>
    <x v="158"/>
    <x v="0"/>
    <x v="7"/>
    <x v="2"/>
    <x v="62"/>
    <x v="1"/>
    <x v="1"/>
  </r>
  <r>
    <x v="9"/>
    <x v="2"/>
    <x v="1"/>
    <x v="3"/>
    <x v="120"/>
    <x v="158"/>
    <x v="0"/>
    <x v="7"/>
    <x v="2"/>
    <x v="62"/>
    <x v="1"/>
    <x v="1"/>
  </r>
  <r>
    <x v="9"/>
    <x v="2"/>
    <x v="1"/>
    <x v="3"/>
    <x v="120"/>
    <x v="158"/>
    <x v="0"/>
    <x v="7"/>
    <x v="2"/>
    <x v="62"/>
    <x v="1"/>
    <x v="1"/>
  </r>
  <r>
    <x v="9"/>
    <x v="2"/>
    <x v="1"/>
    <x v="4"/>
    <x v="121"/>
    <x v="159"/>
    <x v="0"/>
    <x v="7"/>
    <x v="2"/>
    <x v="51"/>
    <x v="1"/>
    <x v="1"/>
  </r>
  <r>
    <x v="9"/>
    <x v="2"/>
    <x v="1"/>
    <x v="4"/>
    <x v="121"/>
    <x v="159"/>
    <x v="0"/>
    <x v="7"/>
    <x v="2"/>
    <x v="51"/>
    <x v="1"/>
    <x v="1"/>
  </r>
  <r>
    <x v="9"/>
    <x v="2"/>
    <x v="1"/>
    <x v="4"/>
    <x v="121"/>
    <x v="159"/>
    <x v="0"/>
    <x v="7"/>
    <x v="2"/>
    <x v="51"/>
    <x v="1"/>
    <x v="1"/>
  </r>
  <r>
    <x v="9"/>
    <x v="2"/>
    <x v="1"/>
    <x v="5"/>
    <x v="122"/>
    <x v="160"/>
    <x v="0"/>
    <x v="7"/>
    <x v="2"/>
    <x v="62"/>
    <x v="1"/>
    <x v="1"/>
  </r>
  <r>
    <x v="9"/>
    <x v="2"/>
    <x v="1"/>
    <x v="5"/>
    <x v="122"/>
    <x v="160"/>
    <x v="0"/>
    <x v="7"/>
    <x v="2"/>
    <x v="62"/>
    <x v="1"/>
    <x v="1"/>
  </r>
  <r>
    <x v="9"/>
    <x v="2"/>
    <x v="1"/>
    <x v="5"/>
    <x v="122"/>
    <x v="160"/>
    <x v="0"/>
    <x v="7"/>
    <x v="2"/>
    <x v="62"/>
    <x v="1"/>
    <x v="1"/>
  </r>
  <r>
    <x v="9"/>
    <x v="2"/>
    <x v="1"/>
    <x v="6"/>
    <x v="123"/>
    <x v="161"/>
    <x v="0"/>
    <x v="7"/>
    <x v="2"/>
    <x v="41"/>
    <x v="1"/>
    <x v="1"/>
  </r>
  <r>
    <x v="9"/>
    <x v="2"/>
    <x v="1"/>
    <x v="6"/>
    <x v="123"/>
    <x v="161"/>
    <x v="0"/>
    <x v="7"/>
    <x v="2"/>
    <x v="41"/>
    <x v="1"/>
    <x v="1"/>
  </r>
  <r>
    <x v="9"/>
    <x v="2"/>
    <x v="1"/>
    <x v="6"/>
    <x v="123"/>
    <x v="161"/>
    <x v="0"/>
    <x v="7"/>
    <x v="2"/>
    <x v="41"/>
    <x v="1"/>
    <x v="1"/>
  </r>
  <r>
    <x v="9"/>
    <x v="2"/>
    <x v="1"/>
    <x v="7"/>
    <x v="124"/>
    <x v="162"/>
    <x v="0"/>
    <x v="7"/>
    <x v="2"/>
    <x v="62"/>
    <x v="1"/>
    <x v="1"/>
  </r>
  <r>
    <x v="9"/>
    <x v="2"/>
    <x v="1"/>
    <x v="7"/>
    <x v="124"/>
    <x v="162"/>
    <x v="0"/>
    <x v="7"/>
    <x v="2"/>
    <x v="62"/>
    <x v="1"/>
    <x v="1"/>
  </r>
  <r>
    <x v="9"/>
    <x v="2"/>
    <x v="1"/>
    <x v="7"/>
    <x v="124"/>
    <x v="162"/>
    <x v="0"/>
    <x v="7"/>
    <x v="2"/>
    <x v="62"/>
    <x v="1"/>
    <x v="1"/>
  </r>
  <r>
    <x v="9"/>
    <x v="2"/>
    <x v="1"/>
    <x v="8"/>
    <x v="125"/>
    <x v="163"/>
    <x v="0"/>
    <x v="7"/>
    <x v="2"/>
    <x v="38"/>
    <x v="1"/>
    <x v="1"/>
  </r>
  <r>
    <x v="9"/>
    <x v="2"/>
    <x v="1"/>
    <x v="8"/>
    <x v="125"/>
    <x v="163"/>
    <x v="0"/>
    <x v="7"/>
    <x v="2"/>
    <x v="38"/>
    <x v="1"/>
    <x v="1"/>
  </r>
  <r>
    <x v="9"/>
    <x v="2"/>
    <x v="1"/>
    <x v="8"/>
    <x v="125"/>
    <x v="163"/>
    <x v="0"/>
    <x v="7"/>
    <x v="2"/>
    <x v="38"/>
    <x v="1"/>
    <x v="1"/>
  </r>
  <r>
    <x v="9"/>
    <x v="3"/>
    <x v="1"/>
    <x v="0"/>
    <x v="127"/>
    <x v="170"/>
    <x v="0"/>
    <x v="7"/>
    <x v="2"/>
    <x v="62"/>
    <x v="1"/>
    <x v="1"/>
  </r>
  <r>
    <x v="9"/>
    <x v="3"/>
    <x v="1"/>
    <x v="0"/>
    <x v="127"/>
    <x v="170"/>
    <x v="0"/>
    <x v="7"/>
    <x v="2"/>
    <x v="62"/>
    <x v="1"/>
    <x v="1"/>
  </r>
  <r>
    <x v="9"/>
    <x v="3"/>
    <x v="1"/>
    <x v="0"/>
    <x v="127"/>
    <x v="170"/>
    <x v="0"/>
    <x v="7"/>
    <x v="2"/>
    <x v="62"/>
    <x v="1"/>
    <x v="1"/>
  </r>
  <r>
    <x v="9"/>
    <x v="3"/>
    <x v="1"/>
    <x v="9"/>
    <x v="136"/>
    <x v="179"/>
    <x v="0"/>
    <x v="7"/>
    <x v="2"/>
    <x v="62"/>
    <x v="1"/>
    <x v="1"/>
  </r>
  <r>
    <x v="9"/>
    <x v="3"/>
    <x v="1"/>
    <x v="9"/>
    <x v="136"/>
    <x v="179"/>
    <x v="0"/>
    <x v="7"/>
    <x v="2"/>
    <x v="62"/>
    <x v="1"/>
    <x v="1"/>
  </r>
  <r>
    <x v="9"/>
    <x v="3"/>
    <x v="1"/>
    <x v="9"/>
    <x v="136"/>
    <x v="179"/>
    <x v="0"/>
    <x v="7"/>
    <x v="2"/>
    <x v="62"/>
    <x v="1"/>
    <x v="1"/>
  </r>
  <r>
    <x v="9"/>
    <x v="3"/>
    <x v="1"/>
    <x v="1"/>
    <x v="128"/>
    <x v="171"/>
    <x v="0"/>
    <x v="7"/>
    <x v="2"/>
    <x v="12"/>
    <x v="1"/>
    <x v="1"/>
  </r>
  <r>
    <x v="9"/>
    <x v="3"/>
    <x v="1"/>
    <x v="1"/>
    <x v="128"/>
    <x v="171"/>
    <x v="0"/>
    <x v="7"/>
    <x v="2"/>
    <x v="12"/>
    <x v="1"/>
    <x v="1"/>
  </r>
  <r>
    <x v="9"/>
    <x v="3"/>
    <x v="1"/>
    <x v="1"/>
    <x v="128"/>
    <x v="171"/>
    <x v="0"/>
    <x v="7"/>
    <x v="2"/>
    <x v="12"/>
    <x v="1"/>
    <x v="1"/>
  </r>
  <r>
    <x v="9"/>
    <x v="3"/>
    <x v="1"/>
    <x v="2"/>
    <x v="129"/>
    <x v="172"/>
    <x v="0"/>
    <x v="7"/>
    <x v="2"/>
    <x v="21"/>
    <x v="1"/>
    <x v="1"/>
  </r>
  <r>
    <x v="9"/>
    <x v="3"/>
    <x v="1"/>
    <x v="2"/>
    <x v="129"/>
    <x v="172"/>
    <x v="0"/>
    <x v="7"/>
    <x v="2"/>
    <x v="21"/>
    <x v="1"/>
    <x v="1"/>
  </r>
  <r>
    <x v="9"/>
    <x v="3"/>
    <x v="1"/>
    <x v="2"/>
    <x v="129"/>
    <x v="172"/>
    <x v="0"/>
    <x v="7"/>
    <x v="2"/>
    <x v="21"/>
    <x v="1"/>
    <x v="1"/>
  </r>
  <r>
    <x v="9"/>
    <x v="3"/>
    <x v="1"/>
    <x v="3"/>
    <x v="130"/>
    <x v="173"/>
    <x v="0"/>
    <x v="7"/>
    <x v="2"/>
    <x v="47"/>
    <x v="1"/>
    <x v="1"/>
  </r>
  <r>
    <x v="9"/>
    <x v="3"/>
    <x v="1"/>
    <x v="3"/>
    <x v="130"/>
    <x v="173"/>
    <x v="0"/>
    <x v="7"/>
    <x v="2"/>
    <x v="47"/>
    <x v="1"/>
    <x v="1"/>
  </r>
  <r>
    <x v="9"/>
    <x v="3"/>
    <x v="1"/>
    <x v="3"/>
    <x v="130"/>
    <x v="173"/>
    <x v="0"/>
    <x v="7"/>
    <x v="2"/>
    <x v="47"/>
    <x v="1"/>
    <x v="1"/>
  </r>
  <r>
    <x v="9"/>
    <x v="3"/>
    <x v="1"/>
    <x v="4"/>
    <x v="131"/>
    <x v="174"/>
    <x v="0"/>
    <x v="7"/>
    <x v="2"/>
    <x v="33"/>
    <x v="1"/>
    <x v="1"/>
  </r>
  <r>
    <x v="9"/>
    <x v="3"/>
    <x v="1"/>
    <x v="4"/>
    <x v="131"/>
    <x v="174"/>
    <x v="0"/>
    <x v="7"/>
    <x v="2"/>
    <x v="33"/>
    <x v="1"/>
    <x v="1"/>
  </r>
  <r>
    <x v="9"/>
    <x v="3"/>
    <x v="1"/>
    <x v="4"/>
    <x v="131"/>
    <x v="174"/>
    <x v="0"/>
    <x v="7"/>
    <x v="2"/>
    <x v="33"/>
    <x v="1"/>
    <x v="1"/>
  </r>
  <r>
    <x v="9"/>
    <x v="3"/>
    <x v="1"/>
    <x v="5"/>
    <x v="132"/>
    <x v="175"/>
    <x v="0"/>
    <x v="7"/>
    <x v="2"/>
    <x v="62"/>
    <x v="1"/>
    <x v="1"/>
  </r>
  <r>
    <x v="9"/>
    <x v="3"/>
    <x v="1"/>
    <x v="5"/>
    <x v="132"/>
    <x v="175"/>
    <x v="0"/>
    <x v="7"/>
    <x v="2"/>
    <x v="62"/>
    <x v="1"/>
    <x v="1"/>
  </r>
  <r>
    <x v="9"/>
    <x v="3"/>
    <x v="1"/>
    <x v="5"/>
    <x v="132"/>
    <x v="175"/>
    <x v="0"/>
    <x v="7"/>
    <x v="2"/>
    <x v="62"/>
    <x v="1"/>
    <x v="1"/>
  </r>
  <r>
    <x v="9"/>
    <x v="3"/>
    <x v="1"/>
    <x v="6"/>
    <x v="133"/>
    <x v="176"/>
    <x v="0"/>
    <x v="7"/>
    <x v="2"/>
    <x v="62"/>
    <x v="1"/>
    <x v="1"/>
  </r>
  <r>
    <x v="9"/>
    <x v="3"/>
    <x v="1"/>
    <x v="6"/>
    <x v="133"/>
    <x v="176"/>
    <x v="0"/>
    <x v="7"/>
    <x v="2"/>
    <x v="62"/>
    <x v="1"/>
    <x v="1"/>
  </r>
  <r>
    <x v="9"/>
    <x v="3"/>
    <x v="1"/>
    <x v="6"/>
    <x v="133"/>
    <x v="176"/>
    <x v="0"/>
    <x v="7"/>
    <x v="2"/>
    <x v="62"/>
    <x v="1"/>
    <x v="1"/>
  </r>
  <r>
    <x v="9"/>
    <x v="3"/>
    <x v="1"/>
    <x v="7"/>
    <x v="134"/>
    <x v="177"/>
    <x v="0"/>
    <x v="7"/>
    <x v="2"/>
    <x v="62"/>
    <x v="1"/>
    <x v="1"/>
  </r>
  <r>
    <x v="9"/>
    <x v="3"/>
    <x v="1"/>
    <x v="7"/>
    <x v="134"/>
    <x v="177"/>
    <x v="0"/>
    <x v="7"/>
    <x v="2"/>
    <x v="62"/>
    <x v="1"/>
    <x v="1"/>
  </r>
  <r>
    <x v="9"/>
    <x v="3"/>
    <x v="1"/>
    <x v="7"/>
    <x v="134"/>
    <x v="177"/>
    <x v="0"/>
    <x v="7"/>
    <x v="2"/>
    <x v="62"/>
    <x v="1"/>
    <x v="1"/>
  </r>
  <r>
    <x v="9"/>
    <x v="3"/>
    <x v="1"/>
    <x v="8"/>
    <x v="135"/>
    <x v="178"/>
    <x v="0"/>
    <x v="7"/>
    <x v="2"/>
    <x v="62"/>
    <x v="1"/>
    <x v="1"/>
  </r>
  <r>
    <x v="9"/>
    <x v="3"/>
    <x v="1"/>
    <x v="8"/>
    <x v="135"/>
    <x v="178"/>
    <x v="0"/>
    <x v="7"/>
    <x v="2"/>
    <x v="62"/>
    <x v="1"/>
    <x v="1"/>
  </r>
  <r>
    <x v="9"/>
    <x v="3"/>
    <x v="1"/>
    <x v="8"/>
    <x v="135"/>
    <x v="178"/>
    <x v="0"/>
    <x v="7"/>
    <x v="2"/>
    <x v="62"/>
    <x v="1"/>
    <x v="1"/>
  </r>
  <r>
    <x v="10"/>
    <x v="2"/>
    <x v="1"/>
    <x v="0"/>
    <x v="137"/>
    <x v="181"/>
    <x v="0"/>
    <x v="4"/>
    <x v="2"/>
    <x v="0"/>
    <x v="1"/>
    <x v="1"/>
  </r>
  <r>
    <x v="10"/>
    <x v="2"/>
    <x v="1"/>
    <x v="0"/>
    <x v="137"/>
    <x v="181"/>
    <x v="0"/>
    <x v="4"/>
    <x v="2"/>
    <x v="0"/>
    <x v="1"/>
    <x v="1"/>
  </r>
  <r>
    <x v="10"/>
    <x v="2"/>
    <x v="1"/>
    <x v="0"/>
    <x v="137"/>
    <x v="181"/>
    <x v="0"/>
    <x v="4"/>
    <x v="2"/>
    <x v="0"/>
    <x v="1"/>
    <x v="1"/>
  </r>
  <r>
    <x v="10"/>
    <x v="2"/>
    <x v="1"/>
    <x v="1"/>
    <x v="138"/>
    <x v="182"/>
    <x v="0"/>
    <x v="4"/>
    <x v="2"/>
    <x v="15"/>
    <x v="1"/>
    <x v="1"/>
  </r>
  <r>
    <x v="10"/>
    <x v="2"/>
    <x v="1"/>
    <x v="1"/>
    <x v="138"/>
    <x v="182"/>
    <x v="0"/>
    <x v="4"/>
    <x v="2"/>
    <x v="15"/>
    <x v="1"/>
    <x v="1"/>
  </r>
  <r>
    <x v="10"/>
    <x v="2"/>
    <x v="1"/>
    <x v="1"/>
    <x v="138"/>
    <x v="182"/>
    <x v="0"/>
    <x v="4"/>
    <x v="2"/>
    <x v="15"/>
    <x v="1"/>
    <x v="1"/>
  </r>
  <r>
    <x v="10"/>
    <x v="2"/>
    <x v="1"/>
    <x v="2"/>
    <x v="139"/>
    <x v="183"/>
    <x v="0"/>
    <x v="4"/>
    <x v="2"/>
    <x v="0"/>
    <x v="1"/>
    <x v="1"/>
  </r>
  <r>
    <x v="10"/>
    <x v="2"/>
    <x v="1"/>
    <x v="2"/>
    <x v="139"/>
    <x v="183"/>
    <x v="0"/>
    <x v="4"/>
    <x v="2"/>
    <x v="0"/>
    <x v="1"/>
    <x v="2"/>
  </r>
  <r>
    <x v="10"/>
    <x v="2"/>
    <x v="1"/>
    <x v="2"/>
    <x v="139"/>
    <x v="183"/>
    <x v="0"/>
    <x v="4"/>
    <x v="2"/>
    <x v="0"/>
    <x v="1"/>
    <x v="3"/>
  </r>
  <r>
    <x v="10"/>
    <x v="2"/>
    <x v="1"/>
    <x v="3"/>
    <x v="140"/>
    <x v="184"/>
    <x v="0"/>
    <x v="4"/>
    <x v="2"/>
    <x v="0"/>
    <x v="1"/>
    <x v="1"/>
  </r>
  <r>
    <x v="10"/>
    <x v="2"/>
    <x v="1"/>
    <x v="3"/>
    <x v="140"/>
    <x v="184"/>
    <x v="0"/>
    <x v="4"/>
    <x v="2"/>
    <x v="0"/>
    <x v="1"/>
    <x v="1"/>
  </r>
  <r>
    <x v="10"/>
    <x v="2"/>
    <x v="1"/>
    <x v="3"/>
    <x v="140"/>
    <x v="184"/>
    <x v="0"/>
    <x v="4"/>
    <x v="2"/>
    <x v="0"/>
    <x v="1"/>
    <x v="1"/>
  </r>
  <r>
    <x v="10"/>
    <x v="2"/>
    <x v="1"/>
    <x v="4"/>
    <x v="141"/>
    <x v="185"/>
    <x v="0"/>
    <x v="4"/>
    <x v="2"/>
    <x v="0"/>
    <x v="1"/>
    <x v="1"/>
  </r>
  <r>
    <x v="10"/>
    <x v="2"/>
    <x v="1"/>
    <x v="4"/>
    <x v="141"/>
    <x v="185"/>
    <x v="0"/>
    <x v="4"/>
    <x v="2"/>
    <x v="0"/>
    <x v="1"/>
    <x v="1"/>
  </r>
  <r>
    <x v="10"/>
    <x v="2"/>
    <x v="1"/>
    <x v="4"/>
    <x v="141"/>
    <x v="185"/>
    <x v="0"/>
    <x v="4"/>
    <x v="2"/>
    <x v="0"/>
    <x v="1"/>
    <x v="1"/>
  </r>
  <r>
    <x v="10"/>
    <x v="3"/>
    <x v="1"/>
    <x v="0"/>
    <x v="142"/>
    <x v="187"/>
    <x v="0"/>
    <x v="4"/>
    <x v="2"/>
    <x v="30"/>
    <x v="1"/>
    <x v="1"/>
  </r>
  <r>
    <x v="10"/>
    <x v="3"/>
    <x v="1"/>
    <x v="0"/>
    <x v="142"/>
    <x v="187"/>
    <x v="0"/>
    <x v="4"/>
    <x v="2"/>
    <x v="30"/>
    <x v="1"/>
    <x v="1"/>
  </r>
  <r>
    <x v="10"/>
    <x v="3"/>
    <x v="1"/>
    <x v="0"/>
    <x v="142"/>
    <x v="187"/>
    <x v="0"/>
    <x v="4"/>
    <x v="2"/>
    <x v="30"/>
    <x v="1"/>
    <x v="1"/>
  </r>
  <r>
    <x v="10"/>
    <x v="3"/>
    <x v="1"/>
    <x v="1"/>
    <x v="143"/>
    <x v="188"/>
    <x v="0"/>
    <x v="4"/>
    <x v="2"/>
    <x v="62"/>
    <x v="1"/>
    <x v="1"/>
  </r>
  <r>
    <x v="10"/>
    <x v="3"/>
    <x v="1"/>
    <x v="1"/>
    <x v="143"/>
    <x v="188"/>
    <x v="0"/>
    <x v="4"/>
    <x v="2"/>
    <x v="62"/>
    <x v="1"/>
    <x v="1"/>
  </r>
  <r>
    <x v="10"/>
    <x v="3"/>
    <x v="1"/>
    <x v="1"/>
    <x v="143"/>
    <x v="188"/>
    <x v="0"/>
    <x v="4"/>
    <x v="2"/>
    <x v="62"/>
    <x v="1"/>
    <x v="1"/>
  </r>
  <r>
    <x v="10"/>
    <x v="3"/>
    <x v="1"/>
    <x v="2"/>
    <x v="144"/>
    <x v="189"/>
    <x v="0"/>
    <x v="4"/>
    <x v="2"/>
    <x v="60"/>
    <x v="1"/>
    <x v="1"/>
  </r>
  <r>
    <x v="10"/>
    <x v="3"/>
    <x v="1"/>
    <x v="2"/>
    <x v="144"/>
    <x v="189"/>
    <x v="0"/>
    <x v="4"/>
    <x v="2"/>
    <x v="60"/>
    <x v="1"/>
    <x v="1"/>
  </r>
  <r>
    <x v="10"/>
    <x v="3"/>
    <x v="1"/>
    <x v="2"/>
    <x v="144"/>
    <x v="189"/>
    <x v="0"/>
    <x v="4"/>
    <x v="2"/>
    <x v="60"/>
    <x v="1"/>
    <x v="1"/>
  </r>
  <r>
    <x v="10"/>
    <x v="3"/>
    <x v="1"/>
    <x v="3"/>
    <x v="145"/>
    <x v="190"/>
    <x v="0"/>
    <x v="4"/>
    <x v="2"/>
    <x v="11"/>
    <x v="1"/>
    <x v="1"/>
  </r>
  <r>
    <x v="10"/>
    <x v="3"/>
    <x v="1"/>
    <x v="3"/>
    <x v="145"/>
    <x v="190"/>
    <x v="0"/>
    <x v="4"/>
    <x v="2"/>
    <x v="11"/>
    <x v="1"/>
    <x v="1"/>
  </r>
  <r>
    <x v="10"/>
    <x v="3"/>
    <x v="1"/>
    <x v="3"/>
    <x v="145"/>
    <x v="190"/>
    <x v="0"/>
    <x v="4"/>
    <x v="2"/>
    <x v="11"/>
    <x v="1"/>
    <x v="1"/>
  </r>
  <r>
    <x v="10"/>
    <x v="3"/>
    <x v="1"/>
    <x v="4"/>
    <x v="146"/>
    <x v="191"/>
    <x v="0"/>
    <x v="4"/>
    <x v="2"/>
    <x v="0"/>
    <x v="1"/>
    <x v="1"/>
  </r>
  <r>
    <x v="10"/>
    <x v="3"/>
    <x v="1"/>
    <x v="4"/>
    <x v="146"/>
    <x v="191"/>
    <x v="0"/>
    <x v="4"/>
    <x v="2"/>
    <x v="0"/>
    <x v="1"/>
    <x v="1"/>
  </r>
  <r>
    <x v="10"/>
    <x v="3"/>
    <x v="1"/>
    <x v="4"/>
    <x v="146"/>
    <x v="191"/>
    <x v="0"/>
    <x v="4"/>
    <x v="2"/>
    <x v="0"/>
    <x v="1"/>
    <x v="1"/>
  </r>
  <r>
    <x v="11"/>
    <x v="2"/>
    <x v="1"/>
    <x v="0"/>
    <x v="147"/>
    <x v="194"/>
    <x v="0"/>
    <x v="3"/>
    <x v="2"/>
    <x v="0"/>
    <x v="1"/>
    <x v="1"/>
  </r>
  <r>
    <x v="11"/>
    <x v="2"/>
    <x v="1"/>
    <x v="0"/>
    <x v="147"/>
    <x v="194"/>
    <x v="0"/>
    <x v="3"/>
    <x v="2"/>
    <x v="0"/>
    <x v="1"/>
    <x v="1"/>
  </r>
  <r>
    <x v="11"/>
    <x v="2"/>
    <x v="1"/>
    <x v="0"/>
    <x v="147"/>
    <x v="194"/>
    <x v="0"/>
    <x v="3"/>
    <x v="2"/>
    <x v="0"/>
    <x v="1"/>
    <x v="1"/>
  </r>
  <r>
    <x v="11"/>
    <x v="2"/>
    <x v="1"/>
    <x v="21"/>
    <x v="161"/>
    <x v="208"/>
    <x v="0"/>
    <x v="13"/>
    <x v="2"/>
    <x v="62"/>
    <x v="1"/>
    <x v="1"/>
  </r>
  <r>
    <x v="11"/>
    <x v="2"/>
    <x v="1"/>
    <x v="21"/>
    <x v="161"/>
    <x v="208"/>
    <x v="0"/>
    <x v="13"/>
    <x v="2"/>
    <x v="62"/>
    <x v="1"/>
    <x v="1"/>
  </r>
  <r>
    <x v="11"/>
    <x v="2"/>
    <x v="1"/>
    <x v="21"/>
    <x v="161"/>
    <x v="208"/>
    <x v="0"/>
    <x v="13"/>
    <x v="2"/>
    <x v="62"/>
    <x v="1"/>
    <x v="1"/>
  </r>
  <r>
    <x v="11"/>
    <x v="2"/>
    <x v="1"/>
    <x v="30"/>
    <x v="162"/>
    <x v="209"/>
    <x v="0"/>
    <x v="13"/>
    <x v="2"/>
    <x v="51"/>
    <x v="1"/>
    <x v="1"/>
  </r>
  <r>
    <x v="11"/>
    <x v="2"/>
    <x v="1"/>
    <x v="30"/>
    <x v="162"/>
    <x v="209"/>
    <x v="0"/>
    <x v="13"/>
    <x v="2"/>
    <x v="51"/>
    <x v="1"/>
    <x v="1"/>
  </r>
  <r>
    <x v="11"/>
    <x v="2"/>
    <x v="1"/>
    <x v="30"/>
    <x v="162"/>
    <x v="209"/>
    <x v="0"/>
    <x v="13"/>
    <x v="2"/>
    <x v="51"/>
    <x v="1"/>
    <x v="1"/>
  </r>
  <r>
    <x v="11"/>
    <x v="2"/>
    <x v="1"/>
    <x v="11"/>
    <x v="152"/>
    <x v="199"/>
    <x v="0"/>
    <x v="13"/>
    <x v="2"/>
    <x v="62"/>
    <x v="1"/>
    <x v="1"/>
  </r>
  <r>
    <x v="11"/>
    <x v="2"/>
    <x v="1"/>
    <x v="11"/>
    <x v="152"/>
    <x v="199"/>
    <x v="0"/>
    <x v="13"/>
    <x v="2"/>
    <x v="62"/>
    <x v="1"/>
    <x v="1"/>
  </r>
  <r>
    <x v="11"/>
    <x v="2"/>
    <x v="1"/>
    <x v="11"/>
    <x v="152"/>
    <x v="199"/>
    <x v="0"/>
    <x v="13"/>
    <x v="2"/>
    <x v="62"/>
    <x v="1"/>
    <x v="1"/>
  </r>
  <r>
    <x v="11"/>
    <x v="2"/>
    <x v="1"/>
    <x v="31"/>
    <x v="163"/>
    <x v="211"/>
    <x v="0"/>
    <x v="13"/>
    <x v="2"/>
    <x v="51"/>
    <x v="1"/>
    <x v="1"/>
  </r>
  <r>
    <x v="11"/>
    <x v="2"/>
    <x v="1"/>
    <x v="31"/>
    <x v="163"/>
    <x v="211"/>
    <x v="0"/>
    <x v="13"/>
    <x v="2"/>
    <x v="51"/>
    <x v="1"/>
    <x v="1"/>
  </r>
  <r>
    <x v="11"/>
    <x v="2"/>
    <x v="1"/>
    <x v="31"/>
    <x v="163"/>
    <x v="211"/>
    <x v="0"/>
    <x v="13"/>
    <x v="2"/>
    <x v="51"/>
    <x v="1"/>
    <x v="1"/>
  </r>
  <r>
    <x v="11"/>
    <x v="2"/>
    <x v="1"/>
    <x v="1"/>
    <x v="148"/>
    <x v="195"/>
    <x v="0"/>
    <x v="3"/>
    <x v="2"/>
    <x v="0"/>
    <x v="1"/>
    <x v="1"/>
  </r>
  <r>
    <x v="11"/>
    <x v="2"/>
    <x v="1"/>
    <x v="1"/>
    <x v="148"/>
    <x v="195"/>
    <x v="0"/>
    <x v="3"/>
    <x v="2"/>
    <x v="0"/>
    <x v="1"/>
    <x v="1"/>
  </r>
  <r>
    <x v="11"/>
    <x v="2"/>
    <x v="1"/>
    <x v="1"/>
    <x v="148"/>
    <x v="195"/>
    <x v="0"/>
    <x v="3"/>
    <x v="2"/>
    <x v="0"/>
    <x v="1"/>
    <x v="1"/>
  </r>
  <r>
    <x v="11"/>
    <x v="2"/>
    <x v="1"/>
    <x v="12"/>
    <x v="153"/>
    <x v="200"/>
    <x v="0"/>
    <x v="13"/>
    <x v="2"/>
    <x v="62"/>
    <x v="1"/>
    <x v="1"/>
  </r>
  <r>
    <x v="11"/>
    <x v="2"/>
    <x v="1"/>
    <x v="12"/>
    <x v="153"/>
    <x v="200"/>
    <x v="0"/>
    <x v="13"/>
    <x v="2"/>
    <x v="62"/>
    <x v="1"/>
    <x v="1"/>
  </r>
  <r>
    <x v="11"/>
    <x v="2"/>
    <x v="1"/>
    <x v="12"/>
    <x v="153"/>
    <x v="200"/>
    <x v="0"/>
    <x v="13"/>
    <x v="2"/>
    <x v="62"/>
    <x v="1"/>
    <x v="1"/>
  </r>
  <r>
    <x v="11"/>
    <x v="2"/>
    <x v="1"/>
    <x v="2"/>
    <x v="149"/>
    <x v="196"/>
    <x v="0"/>
    <x v="3"/>
    <x v="2"/>
    <x v="0"/>
    <x v="1"/>
    <x v="1"/>
  </r>
  <r>
    <x v="11"/>
    <x v="2"/>
    <x v="1"/>
    <x v="2"/>
    <x v="149"/>
    <x v="196"/>
    <x v="0"/>
    <x v="3"/>
    <x v="2"/>
    <x v="0"/>
    <x v="1"/>
    <x v="1"/>
  </r>
  <r>
    <x v="11"/>
    <x v="2"/>
    <x v="1"/>
    <x v="2"/>
    <x v="149"/>
    <x v="196"/>
    <x v="0"/>
    <x v="3"/>
    <x v="2"/>
    <x v="0"/>
    <x v="1"/>
    <x v="1"/>
  </r>
  <r>
    <x v="11"/>
    <x v="2"/>
    <x v="1"/>
    <x v="13"/>
    <x v="154"/>
    <x v="201"/>
    <x v="0"/>
    <x v="13"/>
    <x v="2"/>
    <x v="62"/>
    <x v="1"/>
    <x v="1"/>
  </r>
  <r>
    <x v="11"/>
    <x v="2"/>
    <x v="1"/>
    <x v="13"/>
    <x v="154"/>
    <x v="201"/>
    <x v="0"/>
    <x v="13"/>
    <x v="2"/>
    <x v="62"/>
    <x v="1"/>
    <x v="1"/>
  </r>
  <r>
    <x v="11"/>
    <x v="2"/>
    <x v="1"/>
    <x v="13"/>
    <x v="154"/>
    <x v="201"/>
    <x v="0"/>
    <x v="13"/>
    <x v="2"/>
    <x v="62"/>
    <x v="1"/>
    <x v="1"/>
  </r>
  <r>
    <x v="11"/>
    <x v="2"/>
    <x v="1"/>
    <x v="3"/>
    <x v="150"/>
    <x v="197"/>
    <x v="0"/>
    <x v="3"/>
    <x v="4"/>
    <x v="62"/>
    <x v="1"/>
    <x v="1"/>
  </r>
  <r>
    <x v="11"/>
    <x v="2"/>
    <x v="1"/>
    <x v="3"/>
    <x v="150"/>
    <x v="197"/>
    <x v="0"/>
    <x v="3"/>
    <x v="4"/>
    <x v="62"/>
    <x v="1"/>
    <x v="1"/>
  </r>
  <r>
    <x v="11"/>
    <x v="2"/>
    <x v="1"/>
    <x v="3"/>
    <x v="150"/>
    <x v="197"/>
    <x v="0"/>
    <x v="3"/>
    <x v="4"/>
    <x v="62"/>
    <x v="1"/>
    <x v="1"/>
  </r>
  <r>
    <x v="11"/>
    <x v="2"/>
    <x v="1"/>
    <x v="14"/>
    <x v="155"/>
    <x v="202"/>
    <x v="0"/>
    <x v="13"/>
    <x v="2"/>
    <x v="62"/>
    <x v="1"/>
    <x v="1"/>
  </r>
  <r>
    <x v="11"/>
    <x v="2"/>
    <x v="1"/>
    <x v="14"/>
    <x v="155"/>
    <x v="202"/>
    <x v="0"/>
    <x v="13"/>
    <x v="2"/>
    <x v="62"/>
    <x v="1"/>
    <x v="1"/>
  </r>
  <r>
    <x v="11"/>
    <x v="2"/>
    <x v="1"/>
    <x v="14"/>
    <x v="155"/>
    <x v="202"/>
    <x v="0"/>
    <x v="13"/>
    <x v="2"/>
    <x v="62"/>
    <x v="1"/>
    <x v="1"/>
  </r>
  <r>
    <x v="11"/>
    <x v="2"/>
    <x v="1"/>
    <x v="4"/>
    <x v="151"/>
    <x v="198"/>
    <x v="0"/>
    <x v="3"/>
    <x v="4"/>
    <x v="62"/>
    <x v="1"/>
    <x v="1"/>
  </r>
  <r>
    <x v="11"/>
    <x v="2"/>
    <x v="1"/>
    <x v="4"/>
    <x v="151"/>
    <x v="198"/>
    <x v="0"/>
    <x v="3"/>
    <x v="4"/>
    <x v="62"/>
    <x v="1"/>
    <x v="1"/>
  </r>
  <r>
    <x v="11"/>
    <x v="2"/>
    <x v="1"/>
    <x v="4"/>
    <x v="151"/>
    <x v="198"/>
    <x v="0"/>
    <x v="3"/>
    <x v="4"/>
    <x v="62"/>
    <x v="1"/>
    <x v="1"/>
  </r>
  <r>
    <x v="11"/>
    <x v="2"/>
    <x v="1"/>
    <x v="15"/>
    <x v="156"/>
    <x v="203"/>
    <x v="0"/>
    <x v="13"/>
    <x v="2"/>
    <x v="29"/>
    <x v="1"/>
    <x v="1"/>
  </r>
  <r>
    <x v="11"/>
    <x v="2"/>
    <x v="1"/>
    <x v="15"/>
    <x v="156"/>
    <x v="203"/>
    <x v="0"/>
    <x v="13"/>
    <x v="2"/>
    <x v="29"/>
    <x v="1"/>
    <x v="1"/>
  </r>
  <r>
    <x v="11"/>
    <x v="2"/>
    <x v="1"/>
    <x v="15"/>
    <x v="156"/>
    <x v="203"/>
    <x v="0"/>
    <x v="13"/>
    <x v="2"/>
    <x v="29"/>
    <x v="1"/>
    <x v="1"/>
  </r>
  <r>
    <x v="11"/>
    <x v="2"/>
    <x v="1"/>
    <x v="16"/>
    <x v="157"/>
    <x v="204"/>
    <x v="0"/>
    <x v="13"/>
    <x v="2"/>
    <x v="62"/>
    <x v="1"/>
    <x v="1"/>
  </r>
  <r>
    <x v="11"/>
    <x v="2"/>
    <x v="1"/>
    <x v="16"/>
    <x v="157"/>
    <x v="204"/>
    <x v="0"/>
    <x v="13"/>
    <x v="2"/>
    <x v="62"/>
    <x v="1"/>
    <x v="1"/>
  </r>
  <r>
    <x v="11"/>
    <x v="2"/>
    <x v="1"/>
    <x v="16"/>
    <x v="157"/>
    <x v="204"/>
    <x v="0"/>
    <x v="13"/>
    <x v="2"/>
    <x v="62"/>
    <x v="1"/>
    <x v="1"/>
  </r>
  <r>
    <x v="11"/>
    <x v="2"/>
    <x v="1"/>
    <x v="17"/>
    <x v="158"/>
    <x v="205"/>
    <x v="0"/>
    <x v="13"/>
    <x v="2"/>
    <x v="62"/>
    <x v="1"/>
    <x v="1"/>
  </r>
  <r>
    <x v="11"/>
    <x v="2"/>
    <x v="1"/>
    <x v="17"/>
    <x v="158"/>
    <x v="205"/>
    <x v="0"/>
    <x v="13"/>
    <x v="2"/>
    <x v="62"/>
    <x v="1"/>
    <x v="1"/>
  </r>
  <r>
    <x v="11"/>
    <x v="2"/>
    <x v="1"/>
    <x v="17"/>
    <x v="158"/>
    <x v="205"/>
    <x v="0"/>
    <x v="13"/>
    <x v="2"/>
    <x v="62"/>
    <x v="1"/>
    <x v="1"/>
  </r>
  <r>
    <x v="11"/>
    <x v="2"/>
    <x v="1"/>
    <x v="18"/>
    <x v="159"/>
    <x v="206"/>
    <x v="0"/>
    <x v="13"/>
    <x v="2"/>
    <x v="62"/>
    <x v="1"/>
    <x v="1"/>
  </r>
  <r>
    <x v="11"/>
    <x v="2"/>
    <x v="1"/>
    <x v="18"/>
    <x v="159"/>
    <x v="206"/>
    <x v="0"/>
    <x v="13"/>
    <x v="2"/>
    <x v="62"/>
    <x v="1"/>
    <x v="1"/>
  </r>
  <r>
    <x v="11"/>
    <x v="2"/>
    <x v="1"/>
    <x v="18"/>
    <x v="159"/>
    <x v="206"/>
    <x v="0"/>
    <x v="13"/>
    <x v="2"/>
    <x v="62"/>
    <x v="1"/>
    <x v="1"/>
  </r>
  <r>
    <x v="11"/>
    <x v="2"/>
    <x v="1"/>
    <x v="19"/>
    <x v="160"/>
    <x v="207"/>
    <x v="0"/>
    <x v="13"/>
    <x v="2"/>
    <x v="62"/>
    <x v="1"/>
    <x v="1"/>
  </r>
  <r>
    <x v="11"/>
    <x v="2"/>
    <x v="1"/>
    <x v="19"/>
    <x v="160"/>
    <x v="207"/>
    <x v="0"/>
    <x v="13"/>
    <x v="2"/>
    <x v="62"/>
    <x v="1"/>
    <x v="1"/>
  </r>
  <r>
    <x v="11"/>
    <x v="2"/>
    <x v="1"/>
    <x v="19"/>
    <x v="160"/>
    <x v="207"/>
    <x v="0"/>
    <x v="13"/>
    <x v="2"/>
    <x v="62"/>
    <x v="1"/>
    <x v="1"/>
  </r>
  <r>
    <x v="11"/>
    <x v="4"/>
    <x v="1"/>
    <x v="0"/>
    <x v="164"/>
    <x v="216"/>
    <x v="0"/>
    <x v="3"/>
    <x v="2"/>
    <x v="62"/>
    <x v="1"/>
    <x v="1"/>
  </r>
  <r>
    <x v="11"/>
    <x v="4"/>
    <x v="1"/>
    <x v="0"/>
    <x v="164"/>
    <x v="216"/>
    <x v="0"/>
    <x v="3"/>
    <x v="2"/>
    <x v="62"/>
    <x v="1"/>
    <x v="1"/>
  </r>
  <r>
    <x v="11"/>
    <x v="4"/>
    <x v="1"/>
    <x v="0"/>
    <x v="164"/>
    <x v="216"/>
    <x v="0"/>
    <x v="3"/>
    <x v="2"/>
    <x v="62"/>
    <x v="1"/>
    <x v="1"/>
  </r>
  <r>
    <x v="11"/>
    <x v="4"/>
    <x v="1"/>
    <x v="1"/>
    <x v="165"/>
    <x v="217"/>
    <x v="0"/>
    <x v="3"/>
    <x v="2"/>
    <x v="62"/>
    <x v="1"/>
    <x v="1"/>
  </r>
  <r>
    <x v="11"/>
    <x v="4"/>
    <x v="1"/>
    <x v="1"/>
    <x v="165"/>
    <x v="217"/>
    <x v="0"/>
    <x v="3"/>
    <x v="2"/>
    <x v="62"/>
    <x v="1"/>
    <x v="1"/>
  </r>
  <r>
    <x v="11"/>
    <x v="4"/>
    <x v="1"/>
    <x v="1"/>
    <x v="165"/>
    <x v="217"/>
    <x v="0"/>
    <x v="3"/>
    <x v="2"/>
    <x v="62"/>
    <x v="1"/>
    <x v="1"/>
  </r>
  <r>
    <x v="11"/>
    <x v="4"/>
    <x v="1"/>
    <x v="2"/>
    <x v="166"/>
    <x v="218"/>
    <x v="0"/>
    <x v="3"/>
    <x v="2"/>
    <x v="62"/>
    <x v="1"/>
    <x v="1"/>
  </r>
  <r>
    <x v="11"/>
    <x v="4"/>
    <x v="1"/>
    <x v="2"/>
    <x v="166"/>
    <x v="218"/>
    <x v="0"/>
    <x v="3"/>
    <x v="2"/>
    <x v="62"/>
    <x v="1"/>
    <x v="1"/>
  </r>
  <r>
    <x v="11"/>
    <x v="4"/>
    <x v="1"/>
    <x v="2"/>
    <x v="166"/>
    <x v="218"/>
    <x v="0"/>
    <x v="3"/>
    <x v="2"/>
    <x v="62"/>
    <x v="1"/>
    <x v="1"/>
  </r>
  <r>
    <x v="11"/>
    <x v="4"/>
    <x v="1"/>
    <x v="3"/>
    <x v="167"/>
    <x v="219"/>
    <x v="0"/>
    <x v="3"/>
    <x v="2"/>
    <x v="62"/>
    <x v="1"/>
    <x v="1"/>
  </r>
  <r>
    <x v="11"/>
    <x v="4"/>
    <x v="1"/>
    <x v="3"/>
    <x v="167"/>
    <x v="219"/>
    <x v="0"/>
    <x v="3"/>
    <x v="2"/>
    <x v="62"/>
    <x v="1"/>
    <x v="1"/>
  </r>
  <r>
    <x v="11"/>
    <x v="4"/>
    <x v="1"/>
    <x v="3"/>
    <x v="167"/>
    <x v="219"/>
    <x v="0"/>
    <x v="3"/>
    <x v="2"/>
    <x v="62"/>
    <x v="1"/>
    <x v="1"/>
  </r>
  <r>
    <x v="11"/>
    <x v="4"/>
    <x v="1"/>
    <x v="4"/>
    <x v="168"/>
    <x v="220"/>
    <x v="0"/>
    <x v="3"/>
    <x v="2"/>
    <x v="62"/>
    <x v="1"/>
    <x v="1"/>
  </r>
  <r>
    <x v="11"/>
    <x v="4"/>
    <x v="1"/>
    <x v="4"/>
    <x v="168"/>
    <x v="220"/>
    <x v="0"/>
    <x v="3"/>
    <x v="2"/>
    <x v="62"/>
    <x v="1"/>
    <x v="1"/>
  </r>
  <r>
    <x v="11"/>
    <x v="4"/>
    <x v="1"/>
    <x v="4"/>
    <x v="168"/>
    <x v="220"/>
    <x v="0"/>
    <x v="3"/>
    <x v="2"/>
    <x v="62"/>
    <x v="1"/>
    <x v="1"/>
  </r>
  <r>
    <x v="12"/>
    <x v="3"/>
    <x v="1"/>
    <x v="0"/>
    <x v="169"/>
    <x v="223"/>
    <x v="0"/>
    <x v="16"/>
    <x v="2"/>
    <x v="62"/>
    <x v="1"/>
    <x v="1"/>
  </r>
  <r>
    <x v="12"/>
    <x v="3"/>
    <x v="1"/>
    <x v="0"/>
    <x v="169"/>
    <x v="223"/>
    <x v="0"/>
    <x v="16"/>
    <x v="2"/>
    <x v="62"/>
    <x v="1"/>
    <x v="1"/>
  </r>
  <r>
    <x v="12"/>
    <x v="3"/>
    <x v="1"/>
    <x v="0"/>
    <x v="169"/>
    <x v="223"/>
    <x v="0"/>
    <x v="16"/>
    <x v="2"/>
    <x v="62"/>
    <x v="1"/>
    <x v="1"/>
  </r>
  <r>
    <x v="12"/>
    <x v="3"/>
    <x v="1"/>
    <x v="9"/>
    <x v="178"/>
    <x v="232"/>
    <x v="0"/>
    <x v="16"/>
    <x v="2"/>
    <x v="62"/>
    <x v="1"/>
    <x v="1"/>
  </r>
  <r>
    <x v="12"/>
    <x v="3"/>
    <x v="1"/>
    <x v="9"/>
    <x v="178"/>
    <x v="232"/>
    <x v="0"/>
    <x v="16"/>
    <x v="2"/>
    <x v="62"/>
    <x v="1"/>
    <x v="1"/>
  </r>
  <r>
    <x v="12"/>
    <x v="3"/>
    <x v="1"/>
    <x v="9"/>
    <x v="178"/>
    <x v="232"/>
    <x v="0"/>
    <x v="16"/>
    <x v="2"/>
    <x v="62"/>
    <x v="1"/>
    <x v="1"/>
  </r>
  <r>
    <x v="12"/>
    <x v="3"/>
    <x v="1"/>
    <x v="1"/>
    <x v="170"/>
    <x v="224"/>
    <x v="0"/>
    <x v="16"/>
    <x v="2"/>
    <x v="52"/>
    <x v="1"/>
    <x v="1"/>
  </r>
  <r>
    <x v="12"/>
    <x v="3"/>
    <x v="1"/>
    <x v="1"/>
    <x v="170"/>
    <x v="224"/>
    <x v="0"/>
    <x v="16"/>
    <x v="2"/>
    <x v="52"/>
    <x v="1"/>
    <x v="1"/>
  </r>
  <r>
    <x v="12"/>
    <x v="3"/>
    <x v="1"/>
    <x v="1"/>
    <x v="170"/>
    <x v="224"/>
    <x v="0"/>
    <x v="16"/>
    <x v="2"/>
    <x v="52"/>
    <x v="1"/>
    <x v="1"/>
  </r>
  <r>
    <x v="12"/>
    <x v="3"/>
    <x v="1"/>
    <x v="2"/>
    <x v="171"/>
    <x v="225"/>
    <x v="0"/>
    <x v="16"/>
    <x v="2"/>
    <x v="33"/>
    <x v="1"/>
    <x v="1"/>
  </r>
  <r>
    <x v="12"/>
    <x v="3"/>
    <x v="1"/>
    <x v="2"/>
    <x v="171"/>
    <x v="225"/>
    <x v="0"/>
    <x v="16"/>
    <x v="2"/>
    <x v="33"/>
    <x v="1"/>
    <x v="1"/>
  </r>
  <r>
    <x v="12"/>
    <x v="3"/>
    <x v="1"/>
    <x v="2"/>
    <x v="171"/>
    <x v="225"/>
    <x v="0"/>
    <x v="16"/>
    <x v="2"/>
    <x v="33"/>
    <x v="1"/>
    <x v="1"/>
  </r>
  <r>
    <x v="12"/>
    <x v="3"/>
    <x v="1"/>
    <x v="3"/>
    <x v="172"/>
    <x v="226"/>
    <x v="0"/>
    <x v="16"/>
    <x v="2"/>
    <x v="62"/>
    <x v="1"/>
    <x v="1"/>
  </r>
  <r>
    <x v="12"/>
    <x v="3"/>
    <x v="1"/>
    <x v="3"/>
    <x v="172"/>
    <x v="226"/>
    <x v="0"/>
    <x v="16"/>
    <x v="2"/>
    <x v="62"/>
    <x v="1"/>
    <x v="1"/>
  </r>
  <r>
    <x v="12"/>
    <x v="3"/>
    <x v="1"/>
    <x v="3"/>
    <x v="172"/>
    <x v="226"/>
    <x v="0"/>
    <x v="16"/>
    <x v="2"/>
    <x v="62"/>
    <x v="1"/>
    <x v="1"/>
  </r>
  <r>
    <x v="12"/>
    <x v="3"/>
    <x v="1"/>
    <x v="4"/>
    <x v="173"/>
    <x v="227"/>
    <x v="0"/>
    <x v="16"/>
    <x v="2"/>
    <x v="62"/>
    <x v="1"/>
    <x v="1"/>
  </r>
  <r>
    <x v="12"/>
    <x v="3"/>
    <x v="1"/>
    <x v="4"/>
    <x v="173"/>
    <x v="227"/>
    <x v="0"/>
    <x v="16"/>
    <x v="2"/>
    <x v="62"/>
    <x v="1"/>
    <x v="1"/>
  </r>
  <r>
    <x v="12"/>
    <x v="3"/>
    <x v="1"/>
    <x v="4"/>
    <x v="173"/>
    <x v="227"/>
    <x v="0"/>
    <x v="16"/>
    <x v="2"/>
    <x v="62"/>
    <x v="1"/>
    <x v="1"/>
  </r>
  <r>
    <x v="12"/>
    <x v="3"/>
    <x v="1"/>
    <x v="5"/>
    <x v="174"/>
    <x v="228"/>
    <x v="0"/>
    <x v="16"/>
    <x v="2"/>
    <x v="62"/>
    <x v="1"/>
    <x v="1"/>
  </r>
  <r>
    <x v="12"/>
    <x v="3"/>
    <x v="1"/>
    <x v="5"/>
    <x v="174"/>
    <x v="228"/>
    <x v="0"/>
    <x v="16"/>
    <x v="2"/>
    <x v="62"/>
    <x v="1"/>
    <x v="1"/>
  </r>
  <r>
    <x v="12"/>
    <x v="3"/>
    <x v="1"/>
    <x v="5"/>
    <x v="174"/>
    <x v="228"/>
    <x v="0"/>
    <x v="16"/>
    <x v="2"/>
    <x v="62"/>
    <x v="1"/>
    <x v="1"/>
  </r>
  <r>
    <x v="12"/>
    <x v="3"/>
    <x v="1"/>
    <x v="6"/>
    <x v="175"/>
    <x v="229"/>
    <x v="0"/>
    <x v="16"/>
    <x v="2"/>
    <x v="62"/>
    <x v="1"/>
    <x v="1"/>
  </r>
  <r>
    <x v="12"/>
    <x v="3"/>
    <x v="1"/>
    <x v="6"/>
    <x v="175"/>
    <x v="229"/>
    <x v="0"/>
    <x v="16"/>
    <x v="2"/>
    <x v="62"/>
    <x v="1"/>
    <x v="1"/>
  </r>
  <r>
    <x v="12"/>
    <x v="3"/>
    <x v="1"/>
    <x v="6"/>
    <x v="175"/>
    <x v="229"/>
    <x v="0"/>
    <x v="16"/>
    <x v="2"/>
    <x v="62"/>
    <x v="1"/>
    <x v="1"/>
  </r>
  <r>
    <x v="12"/>
    <x v="3"/>
    <x v="1"/>
    <x v="7"/>
    <x v="176"/>
    <x v="230"/>
    <x v="0"/>
    <x v="16"/>
    <x v="2"/>
    <x v="25"/>
    <x v="1"/>
    <x v="1"/>
  </r>
  <r>
    <x v="12"/>
    <x v="3"/>
    <x v="1"/>
    <x v="7"/>
    <x v="176"/>
    <x v="230"/>
    <x v="0"/>
    <x v="16"/>
    <x v="2"/>
    <x v="25"/>
    <x v="1"/>
    <x v="1"/>
  </r>
  <r>
    <x v="12"/>
    <x v="3"/>
    <x v="1"/>
    <x v="7"/>
    <x v="176"/>
    <x v="230"/>
    <x v="0"/>
    <x v="16"/>
    <x v="2"/>
    <x v="25"/>
    <x v="1"/>
    <x v="1"/>
  </r>
  <r>
    <x v="12"/>
    <x v="3"/>
    <x v="1"/>
    <x v="8"/>
    <x v="177"/>
    <x v="231"/>
    <x v="0"/>
    <x v="16"/>
    <x v="2"/>
    <x v="62"/>
    <x v="1"/>
    <x v="1"/>
  </r>
  <r>
    <x v="12"/>
    <x v="3"/>
    <x v="1"/>
    <x v="8"/>
    <x v="177"/>
    <x v="231"/>
    <x v="0"/>
    <x v="16"/>
    <x v="2"/>
    <x v="62"/>
    <x v="1"/>
    <x v="1"/>
  </r>
  <r>
    <x v="12"/>
    <x v="3"/>
    <x v="1"/>
    <x v="8"/>
    <x v="177"/>
    <x v="231"/>
    <x v="0"/>
    <x v="16"/>
    <x v="2"/>
    <x v="62"/>
    <x v="1"/>
    <x v="1"/>
  </r>
  <r>
    <x v="12"/>
    <x v="3"/>
    <x v="1"/>
    <x v="9"/>
    <x v="178"/>
    <x v="232"/>
    <x v="2"/>
    <x v="30"/>
    <x v="4"/>
    <x v="62"/>
    <x v="3"/>
    <x v="5"/>
  </r>
  <r>
    <x v="12"/>
    <x v="3"/>
    <x v="1"/>
    <x v="9"/>
    <x v="178"/>
    <x v="232"/>
    <x v="2"/>
    <x v="30"/>
    <x v="4"/>
    <x v="62"/>
    <x v="3"/>
    <x v="5"/>
  </r>
  <r>
    <x v="12"/>
    <x v="3"/>
    <x v="1"/>
    <x v="9"/>
    <x v="178"/>
    <x v="232"/>
    <x v="2"/>
    <x v="30"/>
    <x v="4"/>
    <x v="62"/>
    <x v="3"/>
    <x v="5"/>
  </r>
  <r>
    <x v="13"/>
    <x v="2"/>
    <x v="1"/>
    <x v="0"/>
    <x v="179"/>
    <x v="238"/>
    <x v="0"/>
    <x v="5"/>
    <x v="2"/>
    <x v="62"/>
    <x v="1"/>
    <x v="1"/>
  </r>
  <r>
    <x v="13"/>
    <x v="2"/>
    <x v="1"/>
    <x v="0"/>
    <x v="179"/>
    <x v="238"/>
    <x v="0"/>
    <x v="5"/>
    <x v="2"/>
    <x v="62"/>
    <x v="1"/>
    <x v="1"/>
  </r>
  <r>
    <x v="13"/>
    <x v="2"/>
    <x v="1"/>
    <x v="0"/>
    <x v="179"/>
    <x v="238"/>
    <x v="0"/>
    <x v="5"/>
    <x v="2"/>
    <x v="62"/>
    <x v="1"/>
    <x v="1"/>
  </r>
  <r>
    <x v="13"/>
    <x v="2"/>
    <x v="1"/>
    <x v="9"/>
    <x v="188"/>
    <x v="247"/>
    <x v="0"/>
    <x v="5"/>
    <x v="2"/>
    <x v="62"/>
    <x v="1"/>
    <x v="1"/>
  </r>
  <r>
    <x v="13"/>
    <x v="2"/>
    <x v="1"/>
    <x v="9"/>
    <x v="188"/>
    <x v="247"/>
    <x v="0"/>
    <x v="5"/>
    <x v="2"/>
    <x v="62"/>
    <x v="1"/>
    <x v="1"/>
  </r>
  <r>
    <x v="13"/>
    <x v="2"/>
    <x v="1"/>
    <x v="9"/>
    <x v="188"/>
    <x v="247"/>
    <x v="0"/>
    <x v="5"/>
    <x v="2"/>
    <x v="62"/>
    <x v="1"/>
    <x v="1"/>
  </r>
  <r>
    <x v="13"/>
    <x v="2"/>
    <x v="1"/>
    <x v="1"/>
    <x v="180"/>
    <x v="239"/>
    <x v="0"/>
    <x v="5"/>
    <x v="2"/>
    <x v="62"/>
    <x v="1"/>
    <x v="1"/>
  </r>
  <r>
    <x v="13"/>
    <x v="2"/>
    <x v="1"/>
    <x v="1"/>
    <x v="180"/>
    <x v="239"/>
    <x v="0"/>
    <x v="5"/>
    <x v="2"/>
    <x v="62"/>
    <x v="1"/>
    <x v="1"/>
  </r>
  <r>
    <x v="13"/>
    <x v="2"/>
    <x v="1"/>
    <x v="1"/>
    <x v="180"/>
    <x v="239"/>
    <x v="0"/>
    <x v="5"/>
    <x v="2"/>
    <x v="62"/>
    <x v="1"/>
    <x v="1"/>
  </r>
  <r>
    <x v="13"/>
    <x v="2"/>
    <x v="1"/>
    <x v="2"/>
    <x v="181"/>
    <x v="240"/>
    <x v="0"/>
    <x v="5"/>
    <x v="2"/>
    <x v="62"/>
    <x v="1"/>
    <x v="1"/>
  </r>
  <r>
    <x v="13"/>
    <x v="2"/>
    <x v="1"/>
    <x v="2"/>
    <x v="181"/>
    <x v="240"/>
    <x v="0"/>
    <x v="5"/>
    <x v="2"/>
    <x v="62"/>
    <x v="1"/>
    <x v="1"/>
  </r>
  <r>
    <x v="13"/>
    <x v="2"/>
    <x v="1"/>
    <x v="2"/>
    <x v="181"/>
    <x v="240"/>
    <x v="0"/>
    <x v="5"/>
    <x v="2"/>
    <x v="62"/>
    <x v="1"/>
    <x v="1"/>
  </r>
  <r>
    <x v="13"/>
    <x v="2"/>
    <x v="1"/>
    <x v="3"/>
    <x v="182"/>
    <x v="241"/>
    <x v="0"/>
    <x v="5"/>
    <x v="2"/>
    <x v="62"/>
    <x v="1"/>
    <x v="1"/>
  </r>
  <r>
    <x v="13"/>
    <x v="2"/>
    <x v="1"/>
    <x v="3"/>
    <x v="182"/>
    <x v="241"/>
    <x v="0"/>
    <x v="5"/>
    <x v="2"/>
    <x v="62"/>
    <x v="1"/>
    <x v="1"/>
  </r>
  <r>
    <x v="13"/>
    <x v="2"/>
    <x v="1"/>
    <x v="3"/>
    <x v="182"/>
    <x v="241"/>
    <x v="0"/>
    <x v="5"/>
    <x v="2"/>
    <x v="62"/>
    <x v="1"/>
    <x v="1"/>
  </r>
  <r>
    <x v="13"/>
    <x v="2"/>
    <x v="1"/>
    <x v="4"/>
    <x v="183"/>
    <x v="242"/>
    <x v="0"/>
    <x v="5"/>
    <x v="2"/>
    <x v="42"/>
    <x v="1"/>
    <x v="1"/>
  </r>
  <r>
    <x v="13"/>
    <x v="2"/>
    <x v="1"/>
    <x v="4"/>
    <x v="183"/>
    <x v="242"/>
    <x v="0"/>
    <x v="5"/>
    <x v="2"/>
    <x v="42"/>
    <x v="1"/>
    <x v="1"/>
  </r>
  <r>
    <x v="13"/>
    <x v="2"/>
    <x v="1"/>
    <x v="4"/>
    <x v="183"/>
    <x v="242"/>
    <x v="0"/>
    <x v="5"/>
    <x v="2"/>
    <x v="42"/>
    <x v="1"/>
    <x v="1"/>
  </r>
  <r>
    <x v="13"/>
    <x v="2"/>
    <x v="1"/>
    <x v="5"/>
    <x v="184"/>
    <x v="243"/>
    <x v="0"/>
    <x v="5"/>
    <x v="2"/>
    <x v="62"/>
    <x v="1"/>
    <x v="1"/>
  </r>
  <r>
    <x v="13"/>
    <x v="2"/>
    <x v="1"/>
    <x v="5"/>
    <x v="184"/>
    <x v="243"/>
    <x v="0"/>
    <x v="5"/>
    <x v="2"/>
    <x v="62"/>
    <x v="1"/>
    <x v="1"/>
  </r>
  <r>
    <x v="13"/>
    <x v="2"/>
    <x v="1"/>
    <x v="5"/>
    <x v="184"/>
    <x v="243"/>
    <x v="0"/>
    <x v="5"/>
    <x v="2"/>
    <x v="62"/>
    <x v="1"/>
    <x v="1"/>
  </r>
  <r>
    <x v="13"/>
    <x v="2"/>
    <x v="1"/>
    <x v="6"/>
    <x v="185"/>
    <x v="244"/>
    <x v="0"/>
    <x v="5"/>
    <x v="2"/>
    <x v="62"/>
    <x v="1"/>
    <x v="1"/>
  </r>
  <r>
    <x v="13"/>
    <x v="2"/>
    <x v="1"/>
    <x v="6"/>
    <x v="185"/>
    <x v="244"/>
    <x v="0"/>
    <x v="5"/>
    <x v="2"/>
    <x v="62"/>
    <x v="1"/>
    <x v="1"/>
  </r>
  <r>
    <x v="13"/>
    <x v="2"/>
    <x v="1"/>
    <x v="6"/>
    <x v="185"/>
    <x v="244"/>
    <x v="0"/>
    <x v="5"/>
    <x v="2"/>
    <x v="62"/>
    <x v="1"/>
    <x v="1"/>
  </r>
  <r>
    <x v="13"/>
    <x v="2"/>
    <x v="1"/>
    <x v="7"/>
    <x v="186"/>
    <x v="245"/>
    <x v="0"/>
    <x v="5"/>
    <x v="2"/>
    <x v="62"/>
    <x v="1"/>
    <x v="1"/>
  </r>
  <r>
    <x v="13"/>
    <x v="2"/>
    <x v="1"/>
    <x v="7"/>
    <x v="186"/>
    <x v="245"/>
    <x v="0"/>
    <x v="5"/>
    <x v="2"/>
    <x v="62"/>
    <x v="1"/>
    <x v="1"/>
  </r>
  <r>
    <x v="13"/>
    <x v="2"/>
    <x v="1"/>
    <x v="7"/>
    <x v="186"/>
    <x v="245"/>
    <x v="0"/>
    <x v="5"/>
    <x v="2"/>
    <x v="62"/>
    <x v="1"/>
    <x v="1"/>
  </r>
  <r>
    <x v="13"/>
    <x v="2"/>
    <x v="1"/>
    <x v="8"/>
    <x v="187"/>
    <x v="246"/>
    <x v="0"/>
    <x v="5"/>
    <x v="2"/>
    <x v="62"/>
    <x v="1"/>
    <x v="1"/>
  </r>
  <r>
    <x v="13"/>
    <x v="2"/>
    <x v="1"/>
    <x v="8"/>
    <x v="187"/>
    <x v="246"/>
    <x v="0"/>
    <x v="5"/>
    <x v="2"/>
    <x v="62"/>
    <x v="1"/>
    <x v="1"/>
  </r>
  <r>
    <x v="13"/>
    <x v="2"/>
    <x v="1"/>
    <x v="8"/>
    <x v="187"/>
    <x v="246"/>
    <x v="0"/>
    <x v="5"/>
    <x v="2"/>
    <x v="62"/>
    <x v="1"/>
    <x v="1"/>
  </r>
  <r>
    <x v="14"/>
    <x v="2"/>
    <x v="1"/>
    <x v="0"/>
    <x v="189"/>
    <x v="248"/>
    <x v="0"/>
    <x v="2"/>
    <x v="2"/>
    <x v="0"/>
    <x v="1"/>
    <x v="1"/>
  </r>
  <r>
    <x v="14"/>
    <x v="2"/>
    <x v="1"/>
    <x v="0"/>
    <x v="189"/>
    <x v="248"/>
    <x v="0"/>
    <x v="2"/>
    <x v="2"/>
    <x v="0"/>
    <x v="1"/>
    <x v="1"/>
  </r>
  <r>
    <x v="14"/>
    <x v="2"/>
    <x v="1"/>
    <x v="0"/>
    <x v="189"/>
    <x v="248"/>
    <x v="0"/>
    <x v="2"/>
    <x v="2"/>
    <x v="0"/>
    <x v="1"/>
    <x v="1"/>
  </r>
  <r>
    <x v="14"/>
    <x v="2"/>
    <x v="1"/>
    <x v="1"/>
    <x v="190"/>
    <x v="249"/>
    <x v="0"/>
    <x v="2"/>
    <x v="2"/>
    <x v="0"/>
    <x v="1"/>
    <x v="1"/>
  </r>
  <r>
    <x v="14"/>
    <x v="2"/>
    <x v="1"/>
    <x v="1"/>
    <x v="190"/>
    <x v="249"/>
    <x v="0"/>
    <x v="2"/>
    <x v="2"/>
    <x v="0"/>
    <x v="1"/>
    <x v="1"/>
  </r>
  <r>
    <x v="14"/>
    <x v="2"/>
    <x v="1"/>
    <x v="1"/>
    <x v="190"/>
    <x v="249"/>
    <x v="0"/>
    <x v="2"/>
    <x v="2"/>
    <x v="0"/>
    <x v="1"/>
    <x v="1"/>
  </r>
  <r>
    <x v="14"/>
    <x v="2"/>
    <x v="1"/>
    <x v="2"/>
    <x v="191"/>
    <x v="250"/>
    <x v="0"/>
    <x v="2"/>
    <x v="2"/>
    <x v="0"/>
    <x v="1"/>
    <x v="1"/>
  </r>
  <r>
    <x v="14"/>
    <x v="2"/>
    <x v="1"/>
    <x v="2"/>
    <x v="191"/>
    <x v="250"/>
    <x v="0"/>
    <x v="2"/>
    <x v="2"/>
    <x v="0"/>
    <x v="1"/>
    <x v="1"/>
  </r>
  <r>
    <x v="14"/>
    <x v="2"/>
    <x v="1"/>
    <x v="2"/>
    <x v="191"/>
    <x v="250"/>
    <x v="0"/>
    <x v="2"/>
    <x v="2"/>
    <x v="0"/>
    <x v="1"/>
    <x v="1"/>
  </r>
  <r>
    <x v="14"/>
    <x v="2"/>
    <x v="1"/>
    <x v="3"/>
    <x v="192"/>
    <x v="251"/>
    <x v="0"/>
    <x v="2"/>
    <x v="2"/>
    <x v="0"/>
    <x v="1"/>
    <x v="1"/>
  </r>
  <r>
    <x v="14"/>
    <x v="2"/>
    <x v="1"/>
    <x v="3"/>
    <x v="192"/>
    <x v="251"/>
    <x v="0"/>
    <x v="2"/>
    <x v="2"/>
    <x v="0"/>
    <x v="1"/>
    <x v="1"/>
  </r>
  <r>
    <x v="14"/>
    <x v="2"/>
    <x v="1"/>
    <x v="3"/>
    <x v="192"/>
    <x v="251"/>
    <x v="0"/>
    <x v="2"/>
    <x v="2"/>
    <x v="0"/>
    <x v="1"/>
    <x v="1"/>
  </r>
  <r>
    <x v="14"/>
    <x v="2"/>
    <x v="1"/>
    <x v="4"/>
    <x v="193"/>
    <x v="252"/>
    <x v="0"/>
    <x v="2"/>
    <x v="2"/>
    <x v="0"/>
    <x v="1"/>
    <x v="1"/>
  </r>
  <r>
    <x v="14"/>
    <x v="2"/>
    <x v="1"/>
    <x v="4"/>
    <x v="193"/>
    <x v="252"/>
    <x v="0"/>
    <x v="2"/>
    <x v="2"/>
    <x v="0"/>
    <x v="1"/>
    <x v="1"/>
  </r>
  <r>
    <x v="14"/>
    <x v="2"/>
    <x v="1"/>
    <x v="4"/>
    <x v="193"/>
    <x v="252"/>
    <x v="0"/>
    <x v="2"/>
    <x v="2"/>
    <x v="0"/>
    <x v="1"/>
    <x v="1"/>
  </r>
  <r>
    <x v="15"/>
    <x v="3"/>
    <x v="1"/>
    <x v="0"/>
    <x v="194"/>
    <x v="258"/>
    <x v="0"/>
    <x v="11"/>
    <x v="2"/>
    <x v="62"/>
    <x v="1"/>
    <x v="1"/>
  </r>
  <r>
    <x v="15"/>
    <x v="3"/>
    <x v="1"/>
    <x v="0"/>
    <x v="194"/>
    <x v="258"/>
    <x v="0"/>
    <x v="11"/>
    <x v="2"/>
    <x v="62"/>
    <x v="1"/>
    <x v="1"/>
  </r>
  <r>
    <x v="15"/>
    <x v="3"/>
    <x v="1"/>
    <x v="0"/>
    <x v="194"/>
    <x v="258"/>
    <x v="0"/>
    <x v="11"/>
    <x v="2"/>
    <x v="62"/>
    <x v="1"/>
    <x v="1"/>
  </r>
  <r>
    <x v="15"/>
    <x v="3"/>
    <x v="1"/>
    <x v="9"/>
    <x v="203"/>
    <x v="267"/>
    <x v="0"/>
    <x v="11"/>
    <x v="2"/>
    <x v="62"/>
    <x v="1"/>
    <x v="1"/>
  </r>
  <r>
    <x v="15"/>
    <x v="3"/>
    <x v="1"/>
    <x v="9"/>
    <x v="203"/>
    <x v="267"/>
    <x v="0"/>
    <x v="11"/>
    <x v="2"/>
    <x v="62"/>
    <x v="1"/>
    <x v="1"/>
  </r>
  <r>
    <x v="15"/>
    <x v="3"/>
    <x v="1"/>
    <x v="9"/>
    <x v="203"/>
    <x v="267"/>
    <x v="0"/>
    <x v="11"/>
    <x v="2"/>
    <x v="62"/>
    <x v="1"/>
    <x v="1"/>
  </r>
  <r>
    <x v="15"/>
    <x v="3"/>
    <x v="1"/>
    <x v="1"/>
    <x v="195"/>
    <x v="259"/>
    <x v="0"/>
    <x v="11"/>
    <x v="2"/>
    <x v="62"/>
    <x v="1"/>
    <x v="1"/>
  </r>
  <r>
    <x v="15"/>
    <x v="3"/>
    <x v="1"/>
    <x v="1"/>
    <x v="195"/>
    <x v="259"/>
    <x v="0"/>
    <x v="11"/>
    <x v="2"/>
    <x v="62"/>
    <x v="1"/>
    <x v="1"/>
  </r>
  <r>
    <x v="15"/>
    <x v="3"/>
    <x v="1"/>
    <x v="1"/>
    <x v="195"/>
    <x v="259"/>
    <x v="0"/>
    <x v="11"/>
    <x v="2"/>
    <x v="62"/>
    <x v="1"/>
    <x v="1"/>
  </r>
  <r>
    <x v="15"/>
    <x v="3"/>
    <x v="1"/>
    <x v="2"/>
    <x v="196"/>
    <x v="260"/>
    <x v="0"/>
    <x v="11"/>
    <x v="2"/>
    <x v="22"/>
    <x v="1"/>
    <x v="1"/>
  </r>
  <r>
    <x v="15"/>
    <x v="3"/>
    <x v="1"/>
    <x v="2"/>
    <x v="196"/>
    <x v="260"/>
    <x v="0"/>
    <x v="11"/>
    <x v="2"/>
    <x v="22"/>
    <x v="1"/>
    <x v="1"/>
  </r>
  <r>
    <x v="15"/>
    <x v="3"/>
    <x v="1"/>
    <x v="2"/>
    <x v="196"/>
    <x v="260"/>
    <x v="0"/>
    <x v="11"/>
    <x v="2"/>
    <x v="22"/>
    <x v="1"/>
    <x v="1"/>
  </r>
  <r>
    <x v="15"/>
    <x v="3"/>
    <x v="1"/>
    <x v="3"/>
    <x v="197"/>
    <x v="261"/>
    <x v="0"/>
    <x v="11"/>
    <x v="2"/>
    <x v="62"/>
    <x v="1"/>
    <x v="1"/>
  </r>
  <r>
    <x v="15"/>
    <x v="3"/>
    <x v="1"/>
    <x v="3"/>
    <x v="197"/>
    <x v="261"/>
    <x v="0"/>
    <x v="11"/>
    <x v="2"/>
    <x v="62"/>
    <x v="1"/>
    <x v="1"/>
  </r>
  <r>
    <x v="15"/>
    <x v="3"/>
    <x v="1"/>
    <x v="3"/>
    <x v="197"/>
    <x v="261"/>
    <x v="0"/>
    <x v="11"/>
    <x v="2"/>
    <x v="62"/>
    <x v="1"/>
    <x v="1"/>
  </r>
  <r>
    <x v="15"/>
    <x v="3"/>
    <x v="1"/>
    <x v="4"/>
    <x v="198"/>
    <x v="262"/>
    <x v="0"/>
    <x v="11"/>
    <x v="2"/>
    <x v="62"/>
    <x v="1"/>
    <x v="1"/>
  </r>
  <r>
    <x v="15"/>
    <x v="3"/>
    <x v="1"/>
    <x v="4"/>
    <x v="198"/>
    <x v="262"/>
    <x v="0"/>
    <x v="11"/>
    <x v="2"/>
    <x v="62"/>
    <x v="1"/>
    <x v="1"/>
  </r>
  <r>
    <x v="15"/>
    <x v="3"/>
    <x v="1"/>
    <x v="4"/>
    <x v="198"/>
    <x v="262"/>
    <x v="0"/>
    <x v="11"/>
    <x v="2"/>
    <x v="62"/>
    <x v="1"/>
    <x v="1"/>
  </r>
  <r>
    <x v="15"/>
    <x v="3"/>
    <x v="1"/>
    <x v="5"/>
    <x v="199"/>
    <x v="263"/>
    <x v="0"/>
    <x v="11"/>
    <x v="2"/>
    <x v="62"/>
    <x v="1"/>
    <x v="1"/>
  </r>
  <r>
    <x v="15"/>
    <x v="3"/>
    <x v="1"/>
    <x v="5"/>
    <x v="199"/>
    <x v="263"/>
    <x v="0"/>
    <x v="11"/>
    <x v="2"/>
    <x v="62"/>
    <x v="1"/>
    <x v="1"/>
  </r>
  <r>
    <x v="15"/>
    <x v="3"/>
    <x v="1"/>
    <x v="5"/>
    <x v="199"/>
    <x v="263"/>
    <x v="0"/>
    <x v="11"/>
    <x v="2"/>
    <x v="62"/>
    <x v="1"/>
    <x v="1"/>
  </r>
  <r>
    <x v="15"/>
    <x v="3"/>
    <x v="1"/>
    <x v="6"/>
    <x v="200"/>
    <x v="264"/>
    <x v="0"/>
    <x v="11"/>
    <x v="2"/>
    <x v="26"/>
    <x v="1"/>
    <x v="1"/>
  </r>
  <r>
    <x v="15"/>
    <x v="3"/>
    <x v="1"/>
    <x v="6"/>
    <x v="200"/>
    <x v="264"/>
    <x v="0"/>
    <x v="11"/>
    <x v="2"/>
    <x v="26"/>
    <x v="1"/>
    <x v="1"/>
  </r>
  <r>
    <x v="15"/>
    <x v="3"/>
    <x v="1"/>
    <x v="6"/>
    <x v="200"/>
    <x v="264"/>
    <x v="0"/>
    <x v="11"/>
    <x v="2"/>
    <x v="26"/>
    <x v="1"/>
    <x v="1"/>
  </r>
  <r>
    <x v="15"/>
    <x v="3"/>
    <x v="1"/>
    <x v="7"/>
    <x v="201"/>
    <x v="265"/>
    <x v="0"/>
    <x v="11"/>
    <x v="2"/>
    <x v="62"/>
    <x v="1"/>
    <x v="1"/>
  </r>
  <r>
    <x v="15"/>
    <x v="3"/>
    <x v="1"/>
    <x v="7"/>
    <x v="201"/>
    <x v="265"/>
    <x v="0"/>
    <x v="11"/>
    <x v="2"/>
    <x v="62"/>
    <x v="1"/>
    <x v="1"/>
  </r>
  <r>
    <x v="15"/>
    <x v="3"/>
    <x v="1"/>
    <x v="7"/>
    <x v="201"/>
    <x v="265"/>
    <x v="0"/>
    <x v="11"/>
    <x v="2"/>
    <x v="62"/>
    <x v="1"/>
    <x v="1"/>
  </r>
  <r>
    <x v="15"/>
    <x v="3"/>
    <x v="1"/>
    <x v="8"/>
    <x v="202"/>
    <x v="266"/>
    <x v="0"/>
    <x v="11"/>
    <x v="2"/>
    <x v="50"/>
    <x v="1"/>
    <x v="1"/>
  </r>
  <r>
    <x v="15"/>
    <x v="3"/>
    <x v="1"/>
    <x v="8"/>
    <x v="202"/>
    <x v="266"/>
    <x v="0"/>
    <x v="11"/>
    <x v="2"/>
    <x v="50"/>
    <x v="1"/>
    <x v="1"/>
  </r>
  <r>
    <x v="15"/>
    <x v="3"/>
    <x v="1"/>
    <x v="8"/>
    <x v="202"/>
    <x v="266"/>
    <x v="0"/>
    <x v="11"/>
    <x v="2"/>
    <x v="50"/>
    <x v="1"/>
    <x v="1"/>
  </r>
  <r>
    <x v="15"/>
    <x v="4"/>
    <x v="1"/>
    <x v="0"/>
    <x v="204"/>
    <x v="269"/>
    <x v="0"/>
    <x v="11"/>
    <x v="2"/>
    <x v="62"/>
    <x v="1"/>
    <x v="1"/>
  </r>
  <r>
    <x v="15"/>
    <x v="4"/>
    <x v="1"/>
    <x v="0"/>
    <x v="204"/>
    <x v="269"/>
    <x v="0"/>
    <x v="11"/>
    <x v="2"/>
    <x v="62"/>
    <x v="1"/>
    <x v="1"/>
  </r>
  <r>
    <x v="15"/>
    <x v="4"/>
    <x v="1"/>
    <x v="0"/>
    <x v="204"/>
    <x v="269"/>
    <x v="0"/>
    <x v="11"/>
    <x v="2"/>
    <x v="62"/>
    <x v="1"/>
    <x v="1"/>
  </r>
  <r>
    <x v="15"/>
    <x v="4"/>
    <x v="1"/>
    <x v="9"/>
    <x v="213"/>
    <x v="278"/>
    <x v="0"/>
    <x v="11"/>
    <x v="2"/>
    <x v="62"/>
    <x v="1"/>
    <x v="1"/>
  </r>
  <r>
    <x v="15"/>
    <x v="4"/>
    <x v="1"/>
    <x v="9"/>
    <x v="213"/>
    <x v="278"/>
    <x v="0"/>
    <x v="11"/>
    <x v="2"/>
    <x v="62"/>
    <x v="1"/>
    <x v="1"/>
  </r>
  <r>
    <x v="15"/>
    <x v="4"/>
    <x v="1"/>
    <x v="9"/>
    <x v="213"/>
    <x v="278"/>
    <x v="0"/>
    <x v="11"/>
    <x v="2"/>
    <x v="62"/>
    <x v="1"/>
    <x v="1"/>
  </r>
  <r>
    <x v="15"/>
    <x v="4"/>
    <x v="1"/>
    <x v="1"/>
    <x v="205"/>
    <x v="270"/>
    <x v="0"/>
    <x v="11"/>
    <x v="2"/>
    <x v="62"/>
    <x v="1"/>
    <x v="1"/>
  </r>
  <r>
    <x v="15"/>
    <x v="4"/>
    <x v="1"/>
    <x v="1"/>
    <x v="205"/>
    <x v="270"/>
    <x v="0"/>
    <x v="11"/>
    <x v="2"/>
    <x v="62"/>
    <x v="1"/>
    <x v="1"/>
  </r>
  <r>
    <x v="15"/>
    <x v="4"/>
    <x v="1"/>
    <x v="1"/>
    <x v="205"/>
    <x v="270"/>
    <x v="0"/>
    <x v="11"/>
    <x v="2"/>
    <x v="62"/>
    <x v="1"/>
    <x v="1"/>
  </r>
  <r>
    <x v="15"/>
    <x v="4"/>
    <x v="1"/>
    <x v="2"/>
    <x v="206"/>
    <x v="271"/>
    <x v="0"/>
    <x v="11"/>
    <x v="2"/>
    <x v="62"/>
    <x v="1"/>
    <x v="1"/>
  </r>
  <r>
    <x v="15"/>
    <x v="4"/>
    <x v="1"/>
    <x v="2"/>
    <x v="206"/>
    <x v="271"/>
    <x v="0"/>
    <x v="11"/>
    <x v="2"/>
    <x v="62"/>
    <x v="1"/>
    <x v="1"/>
  </r>
  <r>
    <x v="15"/>
    <x v="4"/>
    <x v="1"/>
    <x v="2"/>
    <x v="206"/>
    <x v="271"/>
    <x v="0"/>
    <x v="11"/>
    <x v="2"/>
    <x v="62"/>
    <x v="1"/>
    <x v="1"/>
  </r>
  <r>
    <x v="15"/>
    <x v="4"/>
    <x v="1"/>
    <x v="3"/>
    <x v="207"/>
    <x v="272"/>
    <x v="0"/>
    <x v="11"/>
    <x v="2"/>
    <x v="44"/>
    <x v="1"/>
    <x v="1"/>
  </r>
  <r>
    <x v="15"/>
    <x v="4"/>
    <x v="1"/>
    <x v="3"/>
    <x v="207"/>
    <x v="272"/>
    <x v="0"/>
    <x v="11"/>
    <x v="2"/>
    <x v="44"/>
    <x v="1"/>
    <x v="1"/>
  </r>
  <r>
    <x v="15"/>
    <x v="4"/>
    <x v="1"/>
    <x v="3"/>
    <x v="207"/>
    <x v="272"/>
    <x v="0"/>
    <x v="11"/>
    <x v="2"/>
    <x v="44"/>
    <x v="1"/>
    <x v="1"/>
  </r>
  <r>
    <x v="15"/>
    <x v="4"/>
    <x v="1"/>
    <x v="4"/>
    <x v="208"/>
    <x v="273"/>
    <x v="0"/>
    <x v="11"/>
    <x v="2"/>
    <x v="39"/>
    <x v="1"/>
    <x v="1"/>
  </r>
  <r>
    <x v="15"/>
    <x v="4"/>
    <x v="1"/>
    <x v="4"/>
    <x v="208"/>
    <x v="273"/>
    <x v="0"/>
    <x v="11"/>
    <x v="2"/>
    <x v="39"/>
    <x v="1"/>
    <x v="1"/>
  </r>
  <r>
    <x v="15"/>
    <x v="4"/>
    <x v="1"/>
    <x v="4"/>
    <x v="208"/>
    <x v="273"/>
    <x v="0"/>
    <x v="11"/>
    <x v="2"/>
    <x v="39"/>
    <x v="1"/>
    <x v="1"/>
  </r>
  <r>
    <x v="15"/>
    <x v="4"/>
    <x v="1"/>
    <x v="5"/>
    <x v="209"/>
    <x v="274"/>
    <x v="0"/>
    <x v="11"/>
    <x v="2"/>
    <x v="62"/>
    <x v="1"/>
    <x v="1"/>
  </r>
  <r>
    <x v="15"/>
    <x v="4"/>
    <x v="1"/>
    <x v="5"/>
    <x v="209"/>
    <x v="274"/>
    <x v="0"/>
    <x v="11"/>
    <x v="2"/>
    <x v="62"/>
    <x v="1"/>
    <x v="1"/>
  </r>
  <r>
    <x v="15"/>
    <x v="4"/>
    <x v="1"/>
    <x v="5"/>
    <x v="209"/>
    <x v="274"/>
    <x v="0"/>
    <x v="11"/>
    <x v="2"/>
    <x v="62"/>
    <x v="1"/>
    <x v="1"/>
  </r>
  <r>
    <x v="15"/>
    <x v="4"/>
    <x v="1"/>
    <x v="6"/>
    <x v="210"/>
    <x v="275"/>
    <x v="0"/>
    <x v="11"/>
    <x v="2"/>
    <x v="62"/>
    <x v="1"/>
    <x v="1"/>
  </r>
  <r>
    <x v="15"/>
    <x v="4"/>
    <x v="1"/>
    <x v="6"/>
    <x v="210"/>
    <x v="275"/>
    <x v="0"/>
    <x v="11"/>
    <x v="2"/>
    <x v="62"/>
    <x v="1"/>
    <x v="1"/>
  </r>
  <r>
    <x v="15"/>
    <x v="4"/>
    <x v="1"/>
    <x v="6"/>
    <x v="210"/>
    <x v="275"/>
    <x v="0"/>
    <x v="11"/>
    <x v="2"/>
    <x v="62"/>
    <x v="1"/>
    <x v="1"/>
  </r>
  <r>
    <x v="15"/>
    <x v="4"/>
    <x v="1"/>
    <x v="7"/>
    <x v="211"/>
    <x v="276"/>
    <x v="0"/>
    <x v="11"/>
    <x v="2"/>
    <x v="62"/>
    <x v="1"/>
    <x v="1"/>
  </r>
  <r>
    <x v="15"/>
    <x v="4"/>
    <x v="1"/>
    <x v="7"/>
    <x v="211"/>
    <x v="276"/>
    <x v="0"/>
    <x v="11"/>
    <x v="2"/>
    <x v="62"/>
    <x v="1"/>
    <x v="1"/>
  </r>
  <r>
    <x v="15"/>
    <x v="4"/>
    <x v="1"/>
    <x v="7"/>
    <x v="211"/>
    <x v="276"/>
    <x v="0"/>
    <x v="11"/>
    <x v="2"/>
    <x v="62"/>
    <x v="1"/>
    <x v="1"/>
  </r>
  <r>
    <x v="15"/>
    <x v="4"/>
    <x v="1"/>
    <x v="8"/>
    <x v="212"/>
    <x v="277"/>
    <x v="0"/>
    <x v="11"/>
    <x v="2"/>
    <x v="62"/>
    <x v="1"/>
    <x v="1"/>
  </r>
  <r>
    <x v="15"/>
    <x v="4"/>
    <x v="1"/>
    <x v="8"/>
    <x v="212"/>
    <x v="277"/>
    <x v="0"/>
    <x v="11"/>
    <x v="2"/>
    <x v="62"/>
    <x v="1"/>
    <x v="1"/>
  </r>
  <r>
    <x v="15"/>
    <x v="4"/>
    <x v="1"/>
    <x v="8"/>
    <x v="212"/>
    <x v="277"/>
    <x v="0"/>
    <x v="11"/>
    <x v="2"/>
    <x v="62"/>
    <x v="1"/>
    <x v="1"/>
  </r>
  <r>
    <x v="16"/>
    <x v="3"/>
    <x v="1"/>
    <x v="0"/>
    <x v="214"/>
    <x v="287"/>
    <x v="2"/>
    <x v="6"/>
    <x v="4"/>
    <x v="62"/>
    <x v="3"/>
    <x v="5"/>
  </r>
  <r>
    <x v="16"/>
    <x v="3"/>
    <x v="1"/>
    <x v="0"/>
    <x v="214"/>
    <x v="287"/>
    <x v="2"/>
    <x v="6"/>
    <x v="4"/>
    <x v="62"/>
    <x v="3"/>
    <x v="5"/>
  </r>
  <r>
    <x v="16"/>
    <x v="3"/>
    <x v="1"/>
    <x v="0"/>
    <x v="214"/>
    <x v="287"/>
    <x v="2"/>
    <x v="6"/>
    <x v="4"/>
    <x v="62"/>
    <x v="3"/>
    <x v="5"/>
  </r>
  <r>
    <x v="16"/>
    <x v="3"/>
    <x v="1"/>
    <x v="1"/>
    <x v="215"/>
    <x v="288"/>
    <x v="2"/>
    <x v="6"/>
    <x v="4"/>
    <x v="62"/>
    <x v="3"/>
    <x v="5"/>
  </r>
  <r>
    <x v="16"/>
    <x v="3"/>
    <x v="1"/>
    <x v="1"/>
    <x v="215"/>
    <x v="288"/>
    <x v="2"/>
    <x v="6"/>
    <x v="4"/>
    <x v="62"/>
    <x v="3"/>
    <x v="5"/>
  </r>
  <r>
    <x v="16"/>
    <x v="3"/>
    <x v="1"/>
    <x v="1"/>
    <x v="215"/>
    <x v="288"/>
    <x v="2"/>
    <x v="6"/>
    <x v="4"/>
    <x v="62"/>
    <x v="3"/>
    <x v="5"/>
  </r>
  <r>
    <x v="16"/>
    <x v="3"/>
    <x v="1"/>
    <x v="2"/>
    <x v="216"/>
    <x v="289"/>
    <x v="2"/>
    <x v="6"/>
    <x v="4"/>
    <x v="62"/>
    <x v="3"/>
    <x v="5"/>
  </r>
  <r>
    <x v="16"/>
    <x v="3"/>
    <x v="1"/>
    <x v="2"/>
    <x v="216"/>
    <x v="289"/>
    <x v="2"/>
    <x v="6"/>
    <x v="4"/>
    <x v="62"/>
    <x v="3"/>
    <x v="5"/>
  </r>
  <r>
    <x v="16"/>
    <x v="3"/>
    <x v="1"/>
    <x v="2"/>
    <x v="216"/>
    <x v="289"/>
    <x v="2"/>
    <x v="6"/>
    <x v="4"/>
    <x v="62"/>
    <x v="3"/>
    <x v="5"/>
  </r>
  <r>
    <x v="16"/>
    <x v="3"/>
    <x v="1"/>
    <x v="3"/>
    <x v="217"/>
    <x v="290"/>
    <x v="2"/>
    <x v="6"/>
    <x v="4"/>
    <x v="62"/>
    <x v="3"/>
    <x v="5"/>
  </r>
  <r>
    <x v="16"/>
    <x v="3"/>
    <x v="1"/>
    <x v="3"/>
    <x v="217"/>
    <x v="290"/>
    <x v="2"/>
    <x v="6"/>
    <x v="4"/>
    <x v="62"/>
    <x v="3"/>
    <x v="5"/>
  </r>
  <r>
    <x v="16"/>
    <x v="3"/>
    <x v="1"/>
    <x v="3"/>
    <x v="217"/>
    <x v="290"/>
    <x v="2"/>
    <x v="6"/>
    <x v="4"/>
    <x v="62"/>
    <x v="3"/>
    <x v="5"/>
  </r>
  <r>
    <x v="16"/>
    <x v="3"/>
    <x v="1"/>
    <x v="4"/>
    <x v="218"/>
    <x v="291"/>
    <x v="2"/>
    <x v="6"/>
    <x v="4"/>
    <x v="62"/>
    <x v="3"/>
    <x v="5"/>
  </r>
  <r>
    <x v="16"/>
    <x v="3"/>
    <x v="1"/>
    <x v="4"/>
    <x v="218"/>
    <x v="291"/>
    <x v="2"/>
    <x v="6"/>
    <x v="4"/>
    <x v="62"/>
    <x v="3"/>
    <x v="5"/>
  </r>
  <r>
    <x v="16"/>
    <x v="3"/>
    <x v="1"/>
    <x v="4"/>
    <x v="218"/>
    <x v="291"/>
    <x v="2"/>
    <x v="6"/>
    <x v="4"/>
    <x v="62"/>
    <x v="3"/>
    <x v="5"/>
  </r>
  <r>
    <x v="16"/>
    <x v="3"/>
    <x v="1"/>
    <x v="5"/>
    <x v="219"/>
    <x v="292"/>
    <x v="2"/>
    <x v="6"/>
    <x v="4"/>
    <x v="62"/>
    <x v="3"/>
    <x v="5"/>
  </r>
  <r>
    <x v="16"/>
    <x v="3"/>
    <x v="1"/>
    <x v="5"/>
    <x v="219"/>
    <x v="292"/>
    <x v="2"/>
    <x v="6"/>
    <x v="4"/>
    <x v="62"/>
    <x v="3"/>
    <x v="5"/>
  </r>
  <r>
    <x v="16"/>
    <x v="3"/>
    <x v="1"/>
    <x v="5"/>
    <x v="219"/>
    <x v="292"/>
    <x v="2"/>
    <x v="6"/>
    <x v="4"/>
    <x v="62"/>
    <x v="3"/>
    <x v="5"/>
  </r>
  <r>
    <x v="16"/>
    <x v="3"/>
    <x v="1"/>
    <x v="6"/>
    <x v="220"/>
    <x v="293"/>
    <x v="2"/>
    <x v="6"/>
    <x v="4"/>
    <x v="62"/>
    <x v="3"/>
    <x v="5"/>
  </r>
  <r>
    <x v="16"/>
    <x v="3"/>
    <x v="1"/>
    <x v="6"/>
    <x v="220"/>
    <x v="293"/>
    <x v="2"/>
    <x v="6"/>
    <x v="4"/>
    <x v="62"/>
    <x v="3"/>
    <x v="5"/>
  </r>
  <r>
    <x v="16"/>
    <x v="3"/>
    <x v="1"/>
    <x v="6"/>
    <x v="220"/>
    <x v="293"/>
    <x v="2"/>
    <x v="6"/>
    <x v="4"/>
    <x v="62"/>
    <x v="3"/>
    <x v="5"/>
  </r>
  <r>
    <x v="16"/>
    <x v="3"/>
    <x v="1"/>
    <x v="7"/>
    <x v="221"/>
    <x v="294"/>
    <x v="2"/>
    <x v="6"/>
    <x v="4"/>
    <x v="62"/>
    <x v="3"/>
    <x v="5"/>
  </r>
  <r>
    <x v="16"/>
    <x v="3"/>
    <x v="1"/>
    <x v="7"/>
    <x v="221"/>
    <x v="294"/>
    <x v="2"/>
    <x v="6"/>
    <x v="4"/>
    <x v="62"/>
    <x v="3"/>
    <x v="5"/>
  </r>
  <r>
    <x v="16"/>
    <x v="3"/>
    <x v="1"/>
    <x v="7"/>
    <x v="221"/>
    <x v="294"/>
    <x v="2"/>
    <x v="6"/>
    <x v="4"/>
    <x v="62"/>
    <x v="3"/>
    <x v="5"/>
  </r>
  <r>
    <x v="16"/>
    <x v="3"/>
    <x v="1"/>
    <x v="8"/>
    <x v="222"/>
    <x v="295"/>
    <x v="2"/>
    <x v="6"/>
    <x v="4"/>
    <x v="62"/>
    <x v="3"/>
    <x v="5"/>
  </r>
  <r>
    <x v="16"/>
    <x v="3"/>
    <x v="1"/>
    <x v="8"/>
    <x v="222"/>
    <x v="295"/>
    <x v="2"/>
    <x v="6"/>
    <x v="4"/>
    <x v="62"/>
    <x v="3"/>
    <x v="5"/>
  </r>
  <r>
    <x v="16"/>
    <x v="3"/>
    <x v="1"/>
    <x v="8"/>
    <x v="222"/>
    <x v="295"/>
    <x v="2"/>
    <x v="6"/>
    <x v="4"/>
    <x v="62"/>
    <x v="3"/>
    <x v="5"/>
  </r>
  <r>
    <x v="16"/>
    <x v="3"/>
    <x v="1"/>
    <x v="9"/>
    <x v="223"/>
    <x v="296"/>
    <x v="2"/>
    <x v="6"/>
    <x v="4"/>
    <x v="62"/>
    <x v="1"/>
    <x v="1"/>
  </r>
  <r>
    <x v="16"/>
    <x v="3"/>
    <x v="1"/>
    <x v="9"/>
    <x v="223"/>
    <x v="296"/>
    <x v="2"/>
    <x v="6"/>
    <x v="4"/>
    <x v="62"/>
    <x v="1"/>
    <x v="1"/>
  </r>
  <r>
    <x v="16"/>
    <x v="3"/>
    <x v="1"/>
    <x v="9"/>
    <x v="223"/>
    <x v="296"/>
    <x v="2"/>
    <x v="6"/>
    <x v="4"/>
    <x v="62"/>
    <x v="1"/>
    <x v="1"/>
  </r>
  <r>
    <x v="16"/>
    <x v="3"/>
    <x v="1"/>
    <x v="20"/>
    <x v="224"/>
    <x v="297"/>
    <x v="0"/>
    <x v="16"/>
    <x v="2"/>
    <x v="62"/>
    <x v="1"/>
    <x v="1"/>
  </r>
  <r>
    <x v="16"/>
    <x v="3"/>
    <x v="1"/>
    <x v="20"/>
    <x v="224"/>
    <x v="297"/>
    <x v="0"/>
    <x v="16"/>
    <x v="2"/>
    <x v="62"/>
    <x v="1"/>
    <x v="1"/>
  </r>
  <r>
    <x v="16"/>
    <x v="3"/>
    <x v="1"/>
    <x v="20"/>
    <x v="224"/>
    <x v="297"/>
    <x v="0"/>
    <x v="16"/>
    <x v="2"/>
    <x v="62"/>
    <x v="1"/>
    <x v="1"/>
  </r>
  <r>
    <x v="16"/>
    <x v="3"/>
    <x v="1"/>
    <x v="21"/>
    <x v="225"/>
    <x v="298"/>
    <x v="0"/>
    <x v="16"/>
    <x v="2"/>
    <x v="62"/>
    <x v="1"/>
    <x v="1"/>
  </r>
  <r>
    <x v="16"/>
    <x v="3"/>
    <x v="1"/>
    <x v="21"/>
    <x v="225"/>
    <x v="298"/>
    <x v="0"/>
    <x v="16"/>
    <x v="2"/>
    <x v="62"/>
    <x v="1"/>
    <x v="1"/>
  </r>
  <r>
    <x v="16"/>
    <x v="3"/>
    <x v="1"/>
    <x v="21"/>
    <x v="225"/>
    <x v="298"/>
    <x v="0"/>
    <x v="16"/>
    <x v="2"/>
    <x v="62"/>
    <x v="1"/>
    <x v="1"/>
  </r>
  <r>
    <x v="16"/>
    <x v="3"/>
    <x v="1"/>
    <x v="22"/>
    <x v="226"/>
    <x v="299"/>
    <x v="0"/>
    <x v="16"/>
    <x v="2"/>
    <x v="62"/>
    <x v="1"/>
    <x v="1"/>
  </r>
  <r>
    <x v="16"/>
    <x v="3"/>
    <x v="1"/>
    <x v="22"/>
    <x v="226"/>
    <x v="299"/>
    <x v="0"/>
    <x v="16"/>
    <x v="2"/>
    <x v="62"/>
    <x v="1"/>
    <x v="1"/>
  </r>
  <r>
    <x v="16"/>
    <x v="3"/>
    <x v="1"/>
    <x v="22"/>
    <x v="226"/>
    <x v="299"/>
    <x v="0"/>
    <x v="16"/>
    <x v="2"/>
    <x v="62"/>
    <x v="1"/>
    <x v="1"/>
  </r>
  <r>
    <x v="16"/>
    <x v="3"/>
    <x v="1"/>
    <x v="23"/>
    <x v="227"/>
    <x v="300"/>
    <x v="0"/>
    <x v="16"/>
    <x v="2"/>
    <x v="62"/>
    <x v="1"/>
    <x v="1"/>
  </r>
  <r>
    <x v="16"/>
    <x v="3"/>
    <x v="1"/>
    <x v="23"/>
    <x v="227"/>
    <x v="300"/>
    <x v="0"/>
    <x v="16"/>
    <x v="2"/>
    <x v="62"/>
    <x v="1"/>
    <x v="1"/>
  </r>
  <r>
    <x v="16"/>
    <x v="3"/>
    <x v="1"/>
    <x v="23"/>
    <x v="227"/>
    <x v="300"/>
    <x v="0"/>
    <x v="16"/>
    <x v="2"/>
    <x v="62"/>
    <x v="1"/>
    <x v="1"/>
  </r>
  <r>
    <x v="16"/>
    <x v="3"/>
    <x v="1"/>
    <x v="24"/>
    <x v="228"/>
    <x v="301"/>
    <x v="0"/>
    <x v="16"/>
    <x v="2"/>
    <x v="62"/>
    <x v="1"/>
    <x v="1"/>
  </r>
  <r>
    <x v="16"/>
    <x v="3"/>
    <x v="1"/>
    <x v="24"/>
    <x v="228"/>
    <x v="301"/>
    <x v="0"/>
    <x v="16"/>
    <x v="2"/>
    <x v="62"/>
    <x v="1"/>
    <x v="1"/>
  </r>
  <r>
    <x v="16"/>
    <x v="3"/>
    <x v="1"/>
    <x v="24"/>
    <x v="228"/>
    <x v="301"/>
    <x v="0"/>
    <x v="16"/>
    <x v="2"/>
    <x v="62"/>
    <x v="1"/>
    <x v="1"/>
  </r>
  <r>
    <x v="16"/>
    <x v="3"/>
    <x v="1"/>
    <x v="25"/>
    <x v="229"/>
    <x v="302"/>
    <x v="0"/>
    <x v="16"/>
    <x v="2"/>
    <x v="51"/>
    <x v="1"/>
    <x v="1"/>
  </r>
  <r>
    <x v="16"/>
    <x v="3"/>
    <x v="1"/>
    <x v="25"/>
    <x v="229"/>
    <x v="302"/>
    <x v="0"/>
    <x v="16"/>
    <x v="2"/>
    <x v="51"/>
    <x v="1"/>
    <x v="1"/>
  </r>
  <r>
    <x v="16"/>
    <x v="3"/>
    <x v="1"/>
    <x v="25"/>
    <x v="229"/>
    <x v="302"/>
    <x v="0"/>
    <x v="16"/>
    <x v="2"/>
    <x v="51"/>
    <x v="1"/>
    <x v="1"/>
  </r>
  <r>
    <x v="16"/>
    <x v="3"/>
    <x v="1"/>
    <x v="26"/>
    <x v="230"/>
    <x v="303"/>
    <x v="0"/>
    <x v="16"/>
    <x v="2"/>
    <x v="62"/>
    <x v="1"/>
    <x v="1"/>
  </r>
  <r>
    <x v="16"/>
    <x v="3"/>
    <x v="1"/>
    <x v="26"/>
    <x v="230"/>
    <x v="303"/>
    <x v="0"/>
    <x v="16"/>
    <x v="2"/>
    <x v="62"/>
    <x v="1"/>
    <x v="1"/>
  </r>
  <r>
    <x v="16"/>
    <x v="3"/>
    <x v="1"/>
    <x v="26"/>
    <x v="230"/>
    <x v="303"/>
    <x v="0"/>
    <x v="16"/>
    <x v="2"/>
    <x v="62"/>
    <x v="1"/>
    <x v="1"/>
  </r>
  <r>
    <x v="16"/>
    <x v="3"/>
    <x v="1"/>
    <x v="27"/>
    <x v="231"/>
    <x v="304"/>
    <x v="0"/>
    <x v="16"/>
    <x v="2"/>
    <x v="62"/>
    <x v="1"/>
    <x v="1"/>
  </r>
  <r>
    <x v="16"/>
    <x v="3"/>
    <x v="1"/>
    <x v="27"/>
    <x v="231"/>
    <x v="304"/>
    <x v="0"/>
    <x v="16"/>
    <x v="2"/>
    <x v="62"/>
    <x v="1"/>
    <x v="1"/>
  </r>
  <r>
    <x v="16"/>
    <x v="3"/>
    <x v="1"/>
    <x v="27"/>
    <x v="231"/>
    <x v="304"/>
    <x v="0"/>
    <x v="16"/>
    <x v="2"/>
    <x v="62"/>
    <x v="1"/>
    <x v="1"/>
  </r>
  <r>
    <x v="16"/>
    <x v="3"/>
    <x v="1"/>
    <x v="28"/>
    <x v="232"/>
    <x v="305"/>
    <x v="0"/>
    <x v="16"/>
    <x v="2"/>
    <x v="26"/>
    <x v="1"/>
    <x v="1"/>
  </r>
  <r>
    <x v="16"/>
    <x v="3"/>
    <x v="1"/>
    <x v="28"/>
    <x v="232"/>
    <x v="305"/>
    <x v="0"/>
    <x v="16"/>
    <x v="2"/>
    <x v="26"/>
    <x v="1"/>
    <x v="1"/>
  </r>
  <r>
    <x v="16"/>
    <x v="3"/>
    <x v="1"/>
    <x v="28"/>
    <x v="232"/>
    <x v="305"/>
    <x v="0"/>
    <x v="16"/>
    <x v="2"/>
    <x v="26"/>
    <x v="1"/>
    <x v="1"/>
  </r>
  <r>
    <x v="16"/>
    <x v="3"/>
    <x v="1"/>
    <x v="29"/>
    <x v="233"/>
    <x v="306"/>
    <x v="0"/>
    <x v="16"/>
    <x v="2"/>
    <x v="62"/>
    <x v="1"/>
    <x v="1"/>
  </r>
  <r>
    <x v="16"/>
    <x v="3"/>
    <x v="1"/>
    <x v="29"/>
    <x v="233"/>
    <x v="306"/>
    <x v="0"/>
    <x v="16"/>
    <x v="2"/>
    <x v="62"/>
    <x v="1"/>
    <x v="1"/>
  </r>
  <r>
    <x v="16"/>
    <x v="3"/>
    <x v="1"/>
    <x v="29"/>
    <x v="233"/>
    <x v="306"/>
    <x v="0"/>
    <x v="16"/>
    <x v="2"/>
    <x v="62"/>
    <x v="1"/>
    <x v="1"/>
  </r>
  <r>
    <x v="17"/>
    <x v="3"/>
    <x v="1"/>
    <x v="0"/>
    <x v="234"/>
    <x v="307"/>
    <x v="0"/>
    <x v="15"/>
    <x v="2"/>
    <x v="62"/>
    <x v="1"/>
    <x v="1"/>
  </r>
  <r>
    <x v="17"/>
    <x v="3"/>
    <x v="1"/>
    <x v="0"/>
    <x v="234"/>
    <x v="307"/>
    <x v="0"/>
    <x v="15"/>
    <x v="2"/>
    <x v="62"/>
    <x v="1"/>
    <x v="1"/>
  </r>
  <r>
    <x v="17"/>
    <x v="3"/>
    <x v="1"/>
    <x v="0"/>
    <x v="234"/>
    <x v="307"/>
    <x v="0"/>
    <x v="15"/>
    <x v="2"/>
    <x v="62"/>
    <x v="1"/>
    <x v="1"/>
  </r>
  <r>
    <x v="17"/>
    <x v="3"/>
    <x v="1"/>
    <x v="1"/>
    <x v="235"/>
    <x v="308"/>
    <x v="0"/>
    <x v="15"/>
    <x v="2"/>
    <x v="62"/>
    <x v="1"/>
    <x v="1"/>
  </r>
  <r>
    <x v="17"/>
    <x v="3"/>
    <x v="1"/>
    <x v="1"/>
    <x v="235"/>
    <x v="308"/>
    <x v="0"/>
    <x v="15"/>
    <x v="2"/>
    <x v="62"/>
    <x v="1"/>
    <x v="1"/>
  </r>
  <r>
    <x v="17"/>
    <x v="3"/>
    <x v="1"/>
    <x v="1"/>
    <x v="235"/>
    <x v="308"/>
    <x v="0"/>
    <x v="15"/>
    <x v="2"/>
    <x v="62"/>
    <x v="1"/>
    <x v="1"/>
  </r>
  <r>
    <x v="17"/>
    <x v="3"/>
    <x v="1"/>
    <x v="2"/>
    <x v="236"/>
    <x v="309"/>
    <x v="0"/>
    <x v="15"/>
    <x v="2"/>
    <x v="62"/>
    <x v="1"/>
    <x v="1"/>
  </r>
  <r>
    <x v="17"/>
    <x v="3"/>
    <x v="1"/>
    <x v="2"/>
    <x v="236"/>
    <x v="309"/>
    <x v="0"/>
    <x v="15"/>
    <x v="2"/>
    <x v="62"/>
    <x v="1"/>
    <x v="1"/>
  </r>
  <r>
    <x v="17"/>
    <x v="3"/>
    <x v="1"/>
    <x v="2"/>
    <x v="236"/>
    <x v="309"/>
    <x v="0"/>
    <x v="15"/>
    <x v="2"/>
    <x v="62"/>
    <x v="1"/>
    <x v="1"/>
  </r>
  <r>
    <x v="17"/>
    <x v="3"/>
    <x v="1"/>
    <x v="3"/>
    <x v="237"/>
    <x v="310"/>
    <x v="0"/>
    <x v="15"/>
    <x v="2"/>
    <x v="23"/>
    <x v="1"/>
    <x v="1"/>
  </r>
  <r>
    <x v="17"/>
    <x v="3"/>
    <x v="1"/>
    <x v="3"/>
    <x v="237"/>
    <x v="310"/>
    <x v="0"/>
    <x v="15"/>
    <x v="2"/>
    <x v="23"/>
    <x v="1"/>
    <x v="1"/>
  </r>
  <r>
    <x v="17"/>
    <x v="3"/>
    <x v="1"/>
    <x v="3"/>
    <x v="237"/>
    <x v="310"/>
    <x v="0"/>
    <x v="15"/>
    <x v="2"/>
    <x v="23"/>
    <x v="1"/>
    <x v="1"/>
  </r>
  <r>
    <x v="17"/>
    <x v="3"/>
    <x v="1"/>
    <x v="4"/>
    <x v="238"/>
    <x v="311"/>
    <x v="0"/>
    <x v="15"/>
    <x v="2"/>
    <x v="33"/>
    <x v="1"/>
    <x v="1"/>
  </r>
  <r>
    <x v="17"/>
    <x v="3"/>
    <x v="1"/>
    <x v="4"/>
    <x v="238"/>
    <x v="311"/>
    <x v="0"/>
    <x v="15"/>
    <x v="2"/>
    <x v="33"/>
    <x v="1"/>
    <x v="1"/>
  </r>
  <r>
    <x v="17"/>
    <x v="3"/>
    <x v="1"/>
    <x v="4"/>
    <x v="238"/>
    <x v="311"/>
    <x v="0"/>
    <x v="15"/>
    <x v="2"/>
    <x v="33"/>
    <x v="1"/>
    <x v="1"/>
  </r>
  <r>
    <x v="17"/>
    <x v="3"/>
    <x v="1"/>
    <x v="5"/>
    <x v="239"/>
    <x v="312"/>
    <x v="0"/>
    <x v="15"/>
    <x v="2"/>
    <x v="19"/>
    <x v="1"/>
    <x v="1"/>
  </r>
  <r>
    <x v="17"/>
    <x v="3"/>
    <x v="1"/>
    <x v="5"/>
    <x v="239"/>
    <x v="312"/>
    <x v="0"/>
    <x v="15"/>
    <x v="2"/>
    <x v="19"/>
    <x v="1"/>
    <x v="1"/>
  </r>
  <r>
    <x v="17"/>
    <x v="3"/>
    <x v="1"/>
    <x v="5"/>
    <x v="239"/>
    <x v="312"/>
    <x v="0"/>
    <x v="15"/>
    <x v="2"/>
    <x v="19"/>
    <x v="1"/>
    <x v="1"/>
  </r>
  <r>
    <x v="17"/>
    <x v="3"/>
    <x v="1"/>
    <x v="6"/>
    <x v="240"/>
    <x v="313"/>
    <x v="0"/>
    <x v="15"/>
    <x v="2"/>
    <x v="16"/>
    <x v="1"/>
    <x v="1"/>
  </r>
  <r>
    <x v="17"/>
    <x v="3"/>
    <x v="1"/>
    <x v="6"/>
    <x v="240"/>
    <x v="313"/>
    <x v="0"/>
    <x v="15"/>
    <x v="2"/>
    <x v="16"/>
    <x v="1"/>
    <x v="1"/>
  </r>
  <r>
    <x v="17"/>
    <x v="3"/>
    <x v="1"/>
    <x v="6"/>
    <x v="240"/>
    <x v="313"/>
    <x v="0"/>
    <x v="15"/>
    <x v="2"/>
    <x v="16"/>
    <x v="1"/>
    <x v="1"/>
  </r>
  <r>
    <x v="20"/>
    <x v="1"/>
    <x v="1"/>
    <x v="0"/>
    <x v="263"/>
    <x v="336"/>
    <x v="0"/>
    <x v="12"/>
    <x v="2"/>
    <x v="23"/>
    <x v="1"/>
    <x v="1"/>
  </r>
  <r>
    <x v="20"/>
    <x v="1"/>
    <x v="1"/>
    <x v="0"/>
    <x v="263"/>
    <x v="336"/>
    <x v="0"/>
    <x v="12"/>
    <x v="2"/>
    <x v="23"/>
    <x v="1"/>
    <x v="1"/>
  </r>
  <r>
    <x v="20"/>
    <x v="1"/>
    <x v="1"/>
    <x v="0"/>
    <x v="263"/>
    <x v="336"/>
    <x v="0"/>
    <x v="12"/>
    <x v="2"/>
    <x v="23"/>
    <x v="1"/>
    <x v="1"/>
  </r>
  <r>
    <x v="20"/>
    <x v="1"/>
    <x v="1"/>
    <x v="1"/>
    <x v="264"/>
    <x v="337"/>
    <x v="0"/>
    <x v="12"/>
    <x v="2"/>
    <x v="21"/>
    <x v="1"/>
    <x v="1"/>
  </r>
  <r>
    <x v="20"/>
    <x v="1"/>
    <x v="1"/>
    <x v="1"/>
    <x v="264"/>
    <x v="337"/>
    <x v="0"/>
    <x v="12"/>
    <x v="2"/>
    <x v="21"/>
    <x v="1"/>
    <x v="1"/>
  </r>
  <r>
    <x v="20"/>
    <x v="1"/>
    <x v="1"/>
    <x v="1"/>
    <x v="264"/>
    <x v="337"/>
    <x v="0"/>
    <x v="12"/>
    <x v="2"/>
    <x v="21"/>
    <x v="1"/>
    <x v="1"/>
  </r>
  <r>
    <x v="20"/>
    <x v="1"/>
    <x v="1"/>
    <x v="2"/>
    <x v="265"/>
    <x v="338"/>
    <x v="0"/>
    <x v="12"/>
    <x v="2"/>
    <x v="14"/>
    <x v="1"/>
    <x v="1"/>
  </r>
  <r>
    <x v="20"/>
    <x v="1"/>
    <x v="1"/>
    <x v="2"/>
    <x v="265"/>
    <x v="338"/>
    <x v="0"/>
    <x v="12"/>
    <x v="2"/>
    <x v="14"/>
    <x v="1"/>
    <x v="1"/>
  </r>
  <r>
    <x v="20"/>
    <x v="1"/>
    <x v="1"/>
    <x v="2"/>
    <x v="265"/>
    <x v="338"/>
    <x v="0"/>
    <x v="12"/>
    <x v="2"/>
    <x v="14"/>
    <x v="1"/>
    <x v="1"/>
  </r>
  <r>
    <x v="20"/>
    <x v="1"/>
    <x v="1"/>
    <x v="3"/>
    <x v="266"/>
    <x v="339"/>
    <x v="0"/>
    <x v="12"/>
    <x v="2"/>
    <x v="27"/>
    <x v="1"/>
    <x v="1"/>
  </r>
  <r>
    <x v="20"/>
    <x v="1"/>
    <x v="1"/>
    <x v="3"/>
    <x v="266"/>
    <x v="339"/>
    <x v="0"/>
    <x v="12"/>
    <x v="2"/>
    <x v="27"/>
    <x v="1"/>
    <x v="1"/>
  </r>
  <r>
    <x v="20"/>
    <x v="1"/>
    <x v="1"/>
    <x v="3"/>
    <x v="266"/>
    <x v="339"/>
    <x v="0"/>
    <x v="12"/>
    <x v="2"/>
    <x v="27"/>
    <x v="1"/>
    <x v="1"/>
  </r>
  <r>
    <x v="20"/>
    <x v="1"/>
    <x v="1"/>
    <x v="4"/>
    <x v="267"/>
    <x v="340"/>
    <x v="0"/>
    <x v="12"/>
    <x v="2"/>
    <x v="17"/>
    <x v="1"/>
    <x v="1"/>
  </r>
  <r>
    <x v="20"/>
    <x v="1"/>
    <x v="1"/>
    <x v="4"/>
    <x v="267"/>
    <x v="340"/>
    <x v="0"/>
    <x v="12"/>
    <x v="2"/>
    <x v="17"/>
    <x v="1"/>
    <x v="1"/>
  </r>
  <r>
    <x v="20"/>
    <x v="1"/>
    <x v="1"/>
    <x v="4"/>
    <x v="267"/>
    <x v="340"/>
    <x v="0"/>
    <x v="12"/>
    <x v="2"/>
    <x v="17"/>
    <x v="1"/>
    <x v="1"/>
  </r>
  <r>
    <x v="20"/>
    <x v="2"/>
    <x v="1"/>
    <x v="0"/>
    <x v="268"/>
    <x v="341"/>
    <x v="0"/>
    <x v="12"/>
    <x v="2"/>
    <x v="62"/>
    <x v="1"/>
    <x v="1"/>
  </r>
  <r>
    <x v="20"/>
    <x v="2"/>
    <x v="1"/>
    <x v="0"/>
    <x v="268"/>
    <x v="341"/>
    <x v="0"/>
    <x v="12"/>
    <x v="2"/>
    <x v="62"/>
    <x v="1"/>
    <x v="1"/>
  </r>
  <r>
    <x v="20"/>
    <x v="2"/>
    <x v="1"/>
    <x v="0"/>
    <x v="268"/>
    <x v="341"/>
    <x v="0"/>
    <x v="12"/>
    <x v="2"/>
    <x v="62"/>
    <x v="1"/>
    <x v="1"/>
  </r>
  <r>
    <x v="20"/>
    <x v="2"/>
    <x v="1"/>
    <x v="9"/>
    <x v="277"/>
    <x v="350"/>
    <x v="0"/>
    <x v="12"/>
    <x v="2"/>
    <x v="62"/>
    <x v="1"/>
    <x v="1"/>
  </r>
  <r>
    <x v="20"/>
    <x v="2"/>
    <x v="1"/>
    <x v="9"/>
    <x v="277"/>
    <x v="350"/>
    <x v="0"/>
    <x v="12"/>
    <x v="2"/>
    <x v="62"/>
    <x v="1"/>
    <x v="1"/>
  </r>
  <r>
    <x v="20"/>
    <x v="2"/>
    <x v="1"/>
    <x v="9"/>
    <x v="277"/>
    <x v="350"/>
    <x v="0"/>
    <x v="12"/>
    <x v="2"/>
    <x v="62"/>
    <x v="1"/>
    <x v="1"/>
  </r>
  <r>
    <x v="20"/>
    <x v="2"/>
    <x v="1"/>
    <x v="1"/>
    <x v="269"/>
    <x v="342"/>
    <x v="0"/>
    <x v="12"/>
    <x v="2"/>
    <x v="62"/>
    <x v="1"/>
    <x v="1"/>
  </r>
  <r>
    <x v="20"/>
    <x v="2"/>
    <x v="1"/>
    <x v="1"/>
    <x v="269"/>
    <x v="342"/>
    <x v="0"/>
    <x v="12"/>
    <x v="2"/>
    <x v="62"/>
    <x v="1"/>
    <x v="1"/>
  </r>
  <r>
    <x v="20"/>
    <x v="2"/>
    <x v="1"/>
    <x v="1"/>
    <x v="269"/>
    <x v="342"/>
    <x v="0"/>
    <x v="12"/>
    <x v="2"/>
    <x v="62"/>
    <x v="1"/>
    <x v="1"/>
  </r>
  <r>
    <x v="20"/>
    <x v="2"/>
    <x v="1"/>
    <x v="2"/>
    <x v="270"/>
    <x v="343"/>
    <x v="0"/>
    <x v="12"/>
    <x v="2"/>
    <x v="62"/>
    <x v="1"/>
    <x v="1"/>
  </r>
  <r>
    <x v="20"/>
    <x v="2"/>
    <x v="1"/>
    <x v="2"/>
    <x v="270"/>
    <x v="343"/>
    <x v="0"/>
    <x v="12"/>
    <x v="2"/>
    <x v="62"/>
    <x v="1"/>
    <x v="1"/>
  </r>
  <r>
    <x v="20"/>
    <x v="2"/>
    <x v="1"/>
    <x v="2"/>
    <x v="270"/>
    <x v="343"/>
    <x v="0"/>
    <x v="12"/>
    <x v="2"/>
    <x v="62"/>
    <x v="1"/>
    <x v="1"/>
  </r>
  <r>
    <x v="20"/>
    <x v="2"/>
    <x v="1"/>
    <x v="3"/>
    <x v="271"/>
    <x v="344"/>
    <x v="0"/>
    <x v="12"/>
    <x v="2"/>
    <x v="62"/>
    <x v="1"/>
    <x v="1"/>
  </r>
  <r>
    <x v="20"/>
    <x v="2"/>
    <x v="1"/>
    <x v="3"/>
    <x v="271"/>
    <x v="344"/>
    <x v="0"/>
    <x v="12"/>
    <x v="2"/>
    <x v="62"/>
    <x v="1"/>
    <x v="1"/>
  </r>
  <r>
    <x v="20"/>
    <x v="2"/>
    <x v="1"/>
    <x v="3"/>
    <x v="271"/>
    <x v="344"/>
    <x v="0"/>
    <x v="12"/>
    <x v="2"/>
    <x v="62"/>
    <x v="1"/>
    <x v="1"/>
  </r>
  <r>
    <x v="20"/>
    <x v="2"/>
    <x v="1"/>
    <x v="4"/>
    <x v="272"/>
    <x v="345"/>
    <x v="0"/>
    <x v="12"/>
    <x v="2"/>
    <x v="62"/>
    <x v="1"/>
    <x v="1"/>
  </r>
  <r>
    <x v="20"/>
    <x v="2"/>
    <x v="1"/>
    <x v="4"/>
    <x v="272"/>
    <x v="345"/>
    <x v="0"/>
    <x v="12"/>
    <x v="2"/>
    <x v="62"/>
    <x v="1"/>
    <x v="1"/>
  </r>
  <r>
    <x v="20"/>
    <x v="2"/>
    <x v="1"/>
    <x v="4"/>
    <x v="272"/>
    <x v="345"/>
    <x v="0"/>
    <x v="12"/>
    <x v="2"/>
    <x v="62"/>
    <x v="1"/>
    <x v="1"/>
  </r>
  <r>
    <x v="20"/>
    <x v="2"/>
    <x v="1"/>
    <x v="5"/>
    <x v="273"/>
    <x v="346"/>
    <x v="0"/>
    <x v="12"/>
    <x v="2"/>
    <x v="62"/>
    <x v="1"/>
    <x v="1"/>
  </r>
  <r>
    <x v="20"/>
    <x v="2"/>
    <x v="1"/>
    <x v="5"/>
    <x v="273"/>
    <x v="346"/>
    <x v="0"/>
    <x v="12"/>
    <x v="2"/>
    <x v="62"/>
    <x v="1"/>
    <x v="1"/>
  </r>
  <r>
    <x v="20"/>
    <x v="2"/>
    <x v="1"/>
    <x v="5"/>
    <x v="273"/>
    <x v="346"/>
    <x v="0"/>
    <x v="12"/>
    <x v="2"/>
    <x v="62"/>
    <x v="1"/>
    <x v="1"/>
  </r>
  <r>
    <x v="20"/>
    <x v="2"/>
    <x v="1"/>
    <x v="6"/>
    <x v="274"/>
    <x v="347"/>
    <x v="0"/>
    <x v="12"/>
    <x v="2"/>
    <x v="62"/>
    <x v="1"/>
    <x v="1"/>
  </r>
  <r>
    <x v="20"/>
    <x v="2"/>
    <x v="1"/>
    <x v="6"/>
    <x v="274"/>
    <x v="347"/>
    <x v="0"/>
    <x v="12"/>
    <x v="2"/>
    <x v="62"/>
    <x v="1"/>
    <x v="1"/>
  </r>
  <r>
    <x v="20"/>
    <x v="2"/>
    <x v="1"/>
    <x v="6"/>
    <x v="274"/>
    <x v="347"/>
    <x v="0"/>
    <x v="12"/>
    <x v="2"/>
    <x v="62"/>
    <x v="1"/>
    <x v="1"/>
  </r>
  <r>
    <x v="20"/>
    <x v="2"/>
    <x v="1"/>
    <x v="7"/>
    <x v="275"/>
    <x v="348"/>
    <x v="0"/>
    <x v="12"/>
    <x v="2"/>
    <x v="62"/>
    <x v="1"/>
    <x v="1"/>
  </r>
  <r>
    <x v="20"/>
    <x v="2"/>
    <x v="1"/>
    <x v="7"/>
    <x v="275"/>
    <x v="348"/>
    <x v="0"/>
    <x v="12"/>
    <x v="2"/>
    <x v="62"/>
    <x v="1"/>
    <x v="1"/>
  </r>
  <r>
    <x v="20"/>
    <x v="2"/>
    <x v="1"/>
    <x v="7"/>
    <x v="275"/>
    <x v="348"/>
    <x v="0"/>
    <x v="12"/>
    <x v="2"/>
    <x v="62"/>
    <x v="1"/>
    <x v="1"/>
  </r>
  <r>
    <x v="20"/>
    <x v="2"/>
    <x v="1"/>
    <x v="8"/>
    <x v="276"/>
    <x v="349"/>
    <x v="0"/>
    <x v="12"/>
    <x v="2"/>
    <x v="62"/>
    <x v="1"/>
    <x v="1"/>
  </r>
  <r>
    <x v="20"/>
    <x v="2"/>
    <x v="1"/>
    <x v="8"/>
    <x v="276"/>
    <x v="349"/>
    <x v="0"/>
    <x v="12"/>
    <x v="2"/>
    <x v="62"/>
    <x v="1"/>
    <x v="1"/>
  </r>
  <r>
    <x v="20"/>
    <x v="2"/>
    <x v="1"/>
    <x v="8"/>
    <x v="276"/>
    <x v="349"/>
    <x v="0"/>
    <x v="12"/>
    <x v="2"/>
    <x v="62"/>
    <x v="1"/>
    <x v="1"/>
  </r>
  <r>
    <x v="21"/>
    <x v="2"/>
    <x v="1"/>
    <x v="0"/>
    <x v="278"/>
    <x v="355"/>
    <x v="0"/>
    <x v="1"/>
    <x v="2"/>
    <x v="0"/>
    <x v="1"/>
    <x v="1"/>
  </r>
  <r>
    <x v="21"/>
    <x v="2"/>
    <x v="1"/>
    <x v="0"/>
    <x v="278"/>
    <x v="355"/>
    <x v="0"/>
    <x v="1"/>
    <x v="2"/>
    <x v="0"/>
    <x v="1"/>
    <x v="1"/>
  </r>
  <r>
    <x v="21"/>
    <x v="2"/>
    <x v="1"/>
    <x v="0"/>
    <x v="278"/>
    <x v="355"/>
    <x v="0"/>
    <x v="1"/>
    <x v="2"/>
    <x v="0"/>
    <x v="1"/>
    <x v="1"/>
  </r>
  <r>
    <x v="21"/>
    <x v="2"/>
    <x v="1"/>
    <x v="1"/>
    <x v="279"/>
    <x v="356"/>
    <x v="0"/>
    <x v="1"/>
    <x v="2"/>
    <x v="0"/>
    <x v="1"/>
    <x v="1"/>
  </r>
  <r>
    <x v="21"/>
    <x v="2"/>
    <x v="1"/>
    <x v="1"/>
    <x v="279"/>
    <x v="356"/>
    <x v="0"/>
    <x v="1"/>
    <x v="2"/>
    <x v="0"/>
    <x v="1"/>
    <x v="1"/>
  </r>
  <r>
    <x v="21"/>
    <x v="2"/>
    <x v="1"/>
    <x v="1"/>
    <x v="279"/>
    <x v="356"/>
    <x v="0"/>
    <x v="1"/>
    <x v="2"/>
    <x v="0"/>
    <x v="1"/>
    <x v="1"/>
  </r>
  <r>
    <x v="21"/>
    <x v="2"/>
    <x v="1"/>
    <x v="2"/>
    <x v="280"/>
    <x v="357"/>
    <x v="0"/>
    <x v="1"/>
    <x v="2"/>
    <x v="0"/>
    <x v="1"/>
    <x v="1"/>
  </r>
  <r>
    <x v="21"/>
    <x v="2"/>
    <x v="1"/>
    <x v="2"/>
    <x v="280"/>
    <x v="357"/>
    <x v="0"/>
    <x v="1"/>
    <x v="2"/>
    <x v="0"/>
    <x v="1"/>
    <x v="1"/>
  </r>
  <r>
    <x v="21"/>
    <x v="2"/>
    <x v="1"/>
    <x v="2"/>
    <x v="280"/>
    <x v="357"/>
    <x v="0"/>
    <x v="1"/>
    <x v="2"/>
    <x v="0"/>
    <x v="1"/>
    <x v="1"/>
  </r>
  <r>
    <x v="21"/>
    <x v="2"/>
    <x v="1"/>
    <x v="3"/>
    <x v="281"/>
    <x v="358"/>
    <x v="0"/>
    <x v="1"/>
    <x v="2"/>
    <x v="0"/>
    <x v="1"/>
    <x v="1"/>
  </r>
  <r>
    <x v="21"/>
    <x v="2"/>
    <x v="1"/>
    <x v="3"/>
    <x v="281"/>
    <x v="358"/>
    <x v="0"/>
    <x v="1"/>
    <x v="2"/>
    <x v="0"/>
    <x v="1"/>
    <x v="1"/>
  </r>
  <r>
    <x v="21"/>
    <x v="2"/>
    <x v="1"/>
    <x v="3"/>
    <x v="281"/>
    <x v="358"/>
    <x v="0"/>
    <x v="1"/>
    <x v="2"/>
    <x v="0"/>
    <x v="1"/>
    <x v="1"/>
  </r>
  <r>
    <x v="21"/>
    <x v="2"/>
    <x v="0"/>
    <x v="4"/>
    <x v="282"/>
    <x v="359"/>
    <x v="0"/>
    <x v="1"/>
    <x v="2"/>
    <x v="0"/>
    <x v="1"/>
    <x v="1"/>
  </r>
  <r>
    <x v="21"/>
    <x v="2"/>
    <x v="0"/>
    <x v="4"/>
    <x v="282"/>
    <x v="359"/>
    <x v="0"/>
    <x v="1"/>
    <x v="2"/>
    <x v="0"/>
    <x v="1"/>
    <x v="1"/>
  </r>
  <r>
    <x v="21"/>
    <x v="2"/>
    <x v="0"/>
    <x v="4"/>
    <x v="282"/>
    <x v="359"/>
    <x v="0"/>
    <x v="1"/>
    <x v="2"/>
    <x v="0"/>
    <x v="1"/>
    <x v="1"/>
  </r>
  <r>
    <x v="21"/>
    <x v="3"/>
    <x v="1"/>
    <x v="0"/>
    <x v="283"/>
    <x v="360"/>
    <x v="0"/>
    <x v="1"/>
    <x v="2"/>
    <x v="54"/>
    <x v="1"/>
    <x v="1"/>
  </r>
  <r>
    <x v="21"/>
    <x v="3"/>
    <x v="1"/>
    <x v="0"/>
    <x v="283"/>
    <x v="360"/>
    <x v="0"/>
    <x v="1"/>
    <x v="2"/>
    <x v="54"/>
    <x v="1"/>
    <x v="1"/>
  </r>
  <r>
    <x v="21"/>
    <x v="3"/>
    <x v="1"/>
    <x v="0"/>
    <x v="283"/>
    <x v="360"/>
    <x v="0"/>
    <x v="1"/>
    <x v="2"/>
    <x v="54"/>
    <x v="1"/>
    <x v="1"/>
  </r>
  <r>
    <x v="21"/>
    <x v="3"/>
    <x v="1"/>
    <x v="1"/>
    <x v="284"/>
    <x v="361"/>
    <x v="0"/>
    <x v="1"/>
    <x v="2"/>
    <x v="0"/>
    <x v="1"/>
    <x v="1"/>
  </r>
  <r>
    <x v="21"/>
    <x v="3"/>
    <x v="1"/>
    <x v="1"/>
    <x v="284"/>
    <x v="361"/>
    <x v="0"/>
    <x v="1"/>
    <x v="2"/>
    <x v="0"/>
    <x v="1"/>
    <x v="1"/>
  </r>
  <r>
    <x v="21"/>
    <x v="3"/>
    <x v="1"/>
    <x v="1"/>
    <x v="284"/>
    <x v="361"/>
    <x v="0"/>
    <x v="1"/>
    <x v="2"/>
    <x v="0"/>
    <x v="1"/>
    <x v="1"/>
  </r>
  <r>
    <x v="21"/>
    <x v="3"/>
    <x v="1"/>
    <x v="2"/>
    <x v="285"/>
    <x v="362"/>
    <x v="0"/>
    <x v="1"/>
    <x v="2"/>
    <x v="0"/>
    <x v="1"/>
    <x v="1"/>
  </r>
  <r>
    <x v="21"/>
    <x v="3"/>
    <x v="1"/>
    <x v="2"/>
    <x v="285"/>
    <x v="362"/>
    <x v="0"/>
    <x v="1"/>
    <x v="2"/>
    <x v="0"/>
    <x v="1"/>
    <x v="1"/>
  </r>
  <r>
    <x v="21"/>
    <x v="3"/>
    <x v="1"/>
    <x v="2"/>
    <x v="285"/>
    <x v="362"/>
    <x v="0"/>
    <x v="1"/>
    <x v="2"/>
    <x v="0"/>
    <x v="1"/>
    <x v="1"/>
  </r>
  <r>
    <x v="21"/>
    <x v="3"/>
    <x v="1"/>
    <x v="3"/>
    <x v="286"/>
    <x v="363"/>
    <x v="0"/>
    <x v="1"/>
    <x v="2"/>
    <x v="0"/>
    <x v="1"/>
    <x v="1"/>
  </r>
  <r>
    <x v="21"/>
    <x v="3"/>
    <x v="1"/>
    <x v="3"/>
    <x v="286"/>
    <x v="363"/>
    <x v="0"/>
    <x v="1"/>
    <x v="2"/>
    <x v="0"/>
    <x v="1"/>
    <x v="1"/>
  </r>
  <r>
    <x v="21"/>
    <x v="3"/>
    <x v="1"/>
    <x v="3"/>
    <x v="286"/>
    <x v="363"/>
    <x v="0"/>
    <x v="1"/>
    <x v="2"/>
    <x v="0"/>
    <x v="1"/>
    <x v="1"/>
  </r>
  <r>
    <x v="21"/>
    <x v="3"/>
    <x v="1"/>
    <x v="4"/>
    <x v="287"/>
    <x v="364"/>
    <x v="0"/>
    <x v="1"/>
    <x v="2"/>
    <x v="0"/>
    <x v="1"/>
    <x v="1"/>
  </r>
  <r>
    <x v="21"/>
    <x v="3"/>
    <x v="1"/>
    <x v="4"/>
    <x v="287"/>
    <x v="364"/>
    <x v="0"/>
    <x v="1"/>
    <x v="2"/>
    <x v="0"/>
    <x v="1"/>
    <x v="1"/>
  </r>
  <r>
    <x v="21"/>
    <x v="3"/>
    <x v="1"/>
    <x v="4"/>
    <x v="287"/>
    <x v="364"/>
    <x v="0"/>
    <x v="1"/>
    <x v="2"/>
    <x v="0"/>
    <x v="1"/>
    <x v="1"/>
  </r>
  <r>
    <x v="22"/>
    <x v="3"/>
    <x v="1"/>
    <x v="0"/>
    <x v="288"/>
    <x v="365"/>
    <x v="0"/>
    <x v="15"/>
    <x v="2"/>
    <x v="62"/>
    <x v="1"/>
    <x v="1"/>
  </r>
  <r>
    <x v="22"/>
    <x v="3"/>
    <x v="1"/>
    <x v="0"/>
    <x v="288"/>
    <x v="365"/>
    <x v="0"/>
    <x v="15"/>
    <x v="2"/>
    <x v="62"/>
    <x v="1"/>
    <x v="1"/>
  </r>
  <r>
    <x v="22"/>
    <x v="3"/>
    <x v="1"/>
    <x v="0"/>
    <x v="288"/>
    <x v="365"/>
    <x v="0"/>
    <x v="15"/>
    <x v="2"/>
    <x v="62"/>
    <x v="1"/>
    <x v="1"/>
  </r>
  <r>
    <x v="22"/>
    <x v="3"/>
    <x v="1"/>
    <x v="1"/>
    <x v="289"/>
    <x v="366"/>
    <x v="0"/>
    <x v="15"/>
    <x v="2"/>
    <x v="62"/>
    <x v="1"/>
    <x v="1"/>
  </r>
  <r>
    <x v="22"/>
    <x v="3"/>
    <x v="1"/>
    <x v="1"/>
    <x v="289"/>
    <x v="366"/>
    <x v="0"/>
    <x v="15"/>
    <x v="2"/>
    <x v="62"/>
    <x v="1"/>
    <x v="1"/>
  </r>
  <r>
    <x v="22"/>
    <x v="3"/>
    <x v="1"/>
    <x v="1"/>
    <x v="289"/>
    <x v="366"/>
    <x v="0"/>
    <x v="15"/>
    <x v="2"/>
    <x v="62"/>
    <x v="1"/>
    <x v="1"/>
  </r>
  <r>
    <x v="22"/>
    <x v="3"/>
    <x v="1"/>
    <x v="2"/>
    <x v="290"/>
    <x v="367"/>
    <x v="0"/>
    <x v="15"/>
    <x v="2"/>
    <x v="62"/>
    <x v="1"/>
    <x v="1"/>
  </r>
  <r>
    <x v="22"/>
    <x v="3"/>
    <x v="1"/>
    <x v="2"/>
    <x v="290"/>
    <x v="367"/>
    <x v="0"/>
    <x v="15"/>
    <x v="2"/>
    <x v="62"/>
    <x v="1"/>
    <x v="1"/>
  </r>
  <r>
    <x v="22"/>
    <x v="3"/>
    <x v="1"/>
    <x v="2"/>
    <x v="290"/>
    <x v="367"/>
    <x v="0"/>
    <x v="15"/>
    <x v="2"/>
    <x v="62"/>
    <x v="1"/>
    <x v="1"/>
  </r>
  <r>
    <x v="22"/>
    <x v="3"/>
    <x v="1"/>
    <x v="3"/>
    <x v="291"/>
    <x v="368"/>
    <x v="0"/>
    <x v="15"/>
    <x v="2"/>
    <x v="62"/>
    <x v="1"/>
    <x v="1"/>
  </r>
  <r>
    <x v="22"/>
    <x v="3"/>
    <x v="1"/>
    <x v="3"/>
    <x v="291"/>
    <x v="368"/>
    <x v="0"/>
    <x v="15"/>
    <x v="2"/>
    <x v="62"/>
    <x v="1"/>
    <x v="1"/>
  </r>
  <r>
    <x v="22"/>
    <x v="3"/>
    <x v="1"/>
    <x v="3"/>
    <x v="291"/>
    <x v="368"/>
    <x v="0"/>
    <x v="15"/>
    <x v="2"/>
    <x v="62"/>
    <x v="1"/>
    <x v="1"/>
  </r>
  <r>
    <x v="22"/>
    <x v="3"/>
    <x v="1"/>
    <x v="4"/>
    <x v="292"/>
    <x v="369"/>
    <x v="0"/>
    <x v="15"/>
    <x v="2"/>
    <x v="62"/>
    <x v="1"/>
    <x v="1"/>
  </r>
  <r>
    <x v="22"/>
    <x v="3"/>
    <x v="1"/>
    <x v="4"/>
    <x v="292"/>
    <x v="369"/>
    <x v="0"/>
    <x v="15"/>
    <x v="2"/>
    <x v="62"/>
    <x v="1"/>
    <x v="1"/>
  </r>
  <r>
    <x v="22"/>
    <x v="3"/>
    <x v="1"/>
    <x v="4"/>
    <x v="292"/>
    <x v="369"/>
    <x v="0"/>
    <x v="15"/>
    <x v="2"/>
    <x v="62"/>
    <x v="1"/>
    <x v="1"/>
  </r>
  <r>
    <x v="22"/>
    <x v="3"/>
    <x v="1"/>
    <x v="5"/>
    <x v="293"/>
    <x v="370"/>
    <x v="0"/>
    <x v="15"/>
    <x v="2"/>
    <x v="62"/>
    <x v="1"/>
    <x v="1"/>
  </r>
  <r>
    <x v="22"/>
    <x v="3"/>
    <x v="1"/>
    <x v="5"/>
    <x v="293"/>
    <x v="370"/>
    <x v="0"/>
    <x v="15"/>
    <x v="2"/>
    <x v="62"/>
    <x v="1"/>
    <x v="1"/>
  </r>
  <r>
    <x v="22"/>
    <x v="3"/>
    <x v="1"/>
    <x v="5"/>
    <x v="293"/>
    <x v="370"/>
    <x v="0"/>
    <x v="15"/>
    <x v="2"/>
    <x v="62"/>
    <x v="1"/>
    <x v="1"/>
  </r>
  <r>
    <x v="22"/>
    <x v="3"/>
    <x v="1"/>
    <x v="6"/>
    <x v="294"/>
    <x v="371"/>
    <x v="0"/>
    <x v="15"/>
    <x v="2"/>
    <x v="62"/>
    <x v="1"/>
    <x v="1"/>
  </r>
  <r>
    <x v="22"/>
    <x v="3"/>
    <x v="1"/>
    <x v="6"/>
    <x v="294"/>
    <x v="371"/>
    <x v="0"/>
    <x v="15"/>
    <x v="2"/>
    <x v="62"/>
    <x v="1"/>
    <x v="1"/>
  </r>
  <r>
    <x v="22"/>
    <x v="3"/>
    <x v="1"/>
    <x v="6"/>
    <x v="294"/>
    <x v="371"/>
    <x v="0"/>
    <x v="15"/>
    <x v="2"/>
    <x v="62"/>
    <x v="1"/>
    <x v="1"/>
  </r>
  <r>
    <x v="22"/>
    <x v="3"/>
    <x v="1"/>
    <x v="7"/>
    <x v="295"/>
    <x v="372"/>
    <x v="0"/>
    <x v="15"/>
    <x v="2"/>
    <x v="62"/>
    <x v="1"/>
    <x v="1"/>
  </r>
  <r>
    <x v="22"/>
    <x v="3"/>
    <x v="1"/>
    <x v="7"/>
    <x v="295"/>
    <x v="372"/>
    <x v="0"/>
    <x v="15"/>
    <x v="2"/>
    <x v="62"/>
    <x v="1"/>
    <x v="1"/>
  </r>
  <r>
    <x v="22"/>
    <x v="3"/>
    <x v="1"/>
    <x v="7"/>
    <x v="295"/>
    <x v="372"/>
    <x v="0"/>
    <x v="15"/>
    <x v="2"/>
    <x v="62"/>
    <x v="1"/>
    <x v="1"/>
  </r>
  <r>
    <x v="22"/>
    <x v="3"/>
    <x v="1"/>
    <x v="8"/>
    <x v="296"/>
    <x v="373"/>
    <x v="0"/>
    <x v="15"/>
    <x v="2"/>
    <x v="62"/>
    <x v="1"/>
    <x v="1"/>
  </r>
  <r>
    <x v="22"/>
    <x v="3"/>
    <x v="1"/>
    <x v="8"/>
    <x v="296"/>
    <x v="373"/>
    <x v="0"/>
    <x v="15"/>
    <x v="2"/>
    <x v="62"/>
    <x v="1"/>
    <x v="1"/>
  </r>
  <r>
    <x v="22"/>
    <x v="3"/>
    <x v="1"/>
    <x v="8"/>
    <x v="296"/>
    <x v="373"/>
    <x v="0"/>
    <x v="15"/>
    <x v="2"/>
    <x v="62"/>
    <x v="1"/>
    <x v="1"/>
  </r>
  <r>
    <x v="24"/>
    <x v="3"/>
    <x v="1"/>
    <x v="0"/>
    <x v="298"/>
    <x v="384"/>
    <x v="0"/>
    <x v="9"/>
    <x v="2"/>
    <x v="62"/>
    <x v="1"/>
    <x v="1"/>
  </r>
  <r>
    <x v="24"/>
    <x v="3"/>
    <x v="1"/>
    <x v="0"/>
    <x v="298"/>
    <x v="384"/>
    <x v="0"/>
    <x v="9"/>
    <x v="2"/>
    <x v="62"/>
    <x v="1"/>
    <x v="1"/>
  </r>
  <r>
    <x v="24"/>
    <x v="3"/>
    <x v="1"/>
    <x v="0"/>
    <x v="298"/>
    <x v="384"/>
    <x v="0"/>
    <x v="9"/>
    <x v="2"/>
    <x v="62"/>
    <x v="1"/>
    <x v="1"/>
  </r>
  <r>
    <x v="24"/>
    <x v="3"/>
    <x v="1"/>
    <x v="9"/>
    <x v="307"/>
    <x v="393"/>
    <x v="0"/>
    <x v="9"/>
    <x v="2"/>
    <x v="33"/>
    <x v="1"/>
    <x v="1"/>
  </r>
  <r>
    <x v="24"/>
    <x v="3"/>
    <x v="1"/>
    <x v="9"/>
    <x v="307"/>
    <x v="393"/>
    <x v="0"/>
    <x v="9"/>
    <x v="2"/>
    <x v="33"/>
    <x v="1"/>
    <x v="1"/>
  </r>
  <r>
    <x v="24"/>
    <x v="3"/>
    <x v="1"/>
    <x v="9"/>
    <x v="307"/>
    <x v="393"/>
    <x v="0"/>
    <x v="9"/>
    <x v="2"/>
    <x v="33"/>
    <x v="1"/>
    <x v="1"/>
  </r>
  <r>
    <x v="24"/>
    <x v="3"/>
    <x v="1"/>
    <x v="1"/>
    <x v="299"/>
    <x v="385"/>
    <x v="0"/>
    <x v="9"/>
    <x v="2"/>
    <x v="62"/>
    <x v="1"/>
    <x v="1"/>
  </r>
  <r>
    <x v="24"/>
    <x v="3"/>
    <x v="1"/>
    <x v="1"/>
    <x v="299"/>
    <x v="385"/>
    <x v="0"/>
    <x v="9"/>
    <x v="2"/>
    <x v="62"/>
    <x v="1"/>
    <x v="1"/>
  </r>
  <r>
    <x v="24"/>
    <x v="3"/>
    <x v="1"/>
    <x v="1"/>
    <x v="299"/>
    <x v="385"/>
    <x v="0"/>
    <x v="9"/>
    <x v="2"/>
    <x v="62"/>
    <x v="1"/>
    <x v="1"/>
  </r>
  <r>
    <x v="24"/>
    <x v="3"/>
    <x v="1"/>
    <x v="2"/>
    <x v="300"/>
    <x v="386"/>
    <x v="0"/>
    <x v="9"/>
    <x v="2"/>
    <x v="62"/>
    <x v="1"/>
    <x v="1"/>
  </r>
  <r>
    <x v="24"/>
    <x v="3"/>
    <x v="1"/>
    <x v="2"/>
    <x v="300"/>
    <x v="386"/>
    <x v="0"/>
    <x v="9"/>
    <x v="2"/>
    <x v="62"/>
    <x v="1"/>
    <x v="1"/>
  </r>
  <r>
    <x v="24"/>
    <x v="3"/>
    <x v="1"/>
    <x v="2"/>
    <x v="300"/>
    <x v="386"/>
    <x v="0"/>
    <x v="9"/>
    <x v="2"/>
    <x v="62"/>
    <x v="1"/>
    <x v="1"/>
  </r>
  <r>
    <x v="24"/>
    <x v="3"/>
    <x v="1"/>
    <x v="3"/>
    <x v="301"/>
    <x v="387"/>
    <x v="0"/>
    <x v="9"/>
    <x v="2"/>
    <x v="62"/>
    <x v="1"/>
    <x v="1"/>
  </r>
  <r>
    <x v="24"/>
    <x v="3"/>
    <x v="1"/>
    <x v="3"/>
    <x v="301"/>
    <x v="387"/>
    <x v="0"/>
    <x v="9"/>
    <x v="2"/>
    <x v="62"/>
    <x v="1"/>
    <x v="1"/>
  </r>
  <r>
    <x v="24"/>
    <x v="3"/>
    <x v="1"/>
    <x v="3"/>
    <x v="301"/>
    <x v="387"/>
    <x v="0"/>
    <x v="9"/>
    <x v="2"/>
    <x v="62"/>
    <x v="1"/>
    <x v="1"/>
  </r>
  <r>
    <x v="24"/>
    <x v="3"/>
    <x v="1"/>
    <x v="4"/>
    <x v="302"/>
    <x v="388"/>
    <x v="0"/>
    <x v="9"/>
    <x v="2"/>
    <x v="62"/>
    <x v="1"/>
    <x v="1"/>
  </r>
  <r>
    <x v="24"/>
    <x v="3"/>
    <x v="1"/>
    <x v="4"/>
    <x v="302"/>
    <x v="388"/>
    <x v="0"/>
    <x v="9"/>
    <x v="2"/>
    <x v="62"/>
    <x v="1"/>
    <x v="1"/>
  </r>
  <r>
    <x v="24"/>
    <x v="3"/>
    <x v="1"/>
    <x v="4"/>
    <x v="302"/>
    <x v="388"/>
    <x v="0"/>
    <x v="9"/>
    <x v="2"/>
    <x v="62"/>
    <x v="1"/>
    <x v="1"/>
  </r>
  <r>
    <x v="24"/>
    <x v="3"/>
    <x v="1"/>
    <x v="5"/>
    <x v="303"/>
    <x v="389"/>
    <x v="0"/>
    <x v="9"/>
    <x v="2"/>
    <x v="62"/>
    <x v="1"/>
    <x v="1"/>
  </r>
  <r>
    <x v="24"/>
    <x v="3"/>
    <x v="1"/>
    <x v="5"/>
    <x v="303"/>
    <x v="389"/>
    <x v="0"/>
    <x v="9"/>
    <x v="2"/>
    <x v="62"/>
    <x v="1"/>
    <x v="1"/>
  </r>
  <r>
    <x v="24"/>
    <x v="3"/>
    <x v="1"/>
    <x v="5"/>
    <x v="303"/>
    <x v="389"/>
    <x v="0"/>
    <x v="9"/>
    <x v="2"/>
    <x v="62"/>
    <x v="1"/>
    <x v="1"/>
  </r>
  <r>
    <x v="24"/>
    <x v="3"/>
    <x v="1"/>
    <x v="6"/>
    <x v="304"/>
    <x v="390"/>
    <x v="0"/>
    <x v="9"/>
    <x v="2"/>
    <x v="45"/>
    <x v="1"/>
    <x v="1"/>
  </r>
  <r>
    <x v="24"/>
    <x v="3"/>
    <x v="1"/>
    <x v="6"/>
    <x v="304"/>
    <x v="390"/>
    <x v="0"/>
    <x v="9"/>
    <x v="2"/>
    <x v="45"/>
    <x v="1"/>
    <x v="1"/>
  </r>
  <r>
    <x v="24"/>
    <x v="3"/>
    <x v="1"/>
    <x v="6"/>
    <x v="304"/>
    <x v="390"/>
    <x v="0"/>
    <x v="9"/>
    <x v="2"/>
    <x v="45"/>
    <x v="1"/>
    <x v="1"/>
  </r>
  <r>
    <x v="24"/>
    <x v="3"/>
    <x v="1"/>
    <x v="7"/>
    <x v="305"/>
    <x v="391"/>
    <x v="0"/>
    <x v="9"/>
    <x v="2"/>
    <x v="62"/>
    <x v="1"/>
    <x v="1"/>
  </r>
  <r>
    <x v="24"/>
    <x v="3"/>
    <x v="1"/>
    <x v="7"/>
    <x v="305"/>
    <x v="391"/>
    <x v="0"/>
    <x v="9"/>
    <x v="2"/>
    <x v="62"/>
    <x v="1"/>
    <x v="1"/>
  </r>
  <r>
    <x v="24"/>
    <x v="3"/>
    <x v="1"/>
    <x v="7"/>
    <x v="305"/>
    <x v="391"/>
    <x v="0"/>
    <x v="9"/>
    <x v="2"/>
    <x v="62"/>
    <x v="1"/>
    <x v="1"/>
  </r>
  <r>
    <x v="24"/>
    <x v="3"/>
    <x v="1"/>
    <x v="8"/>
    <x v="306"/>
    <x v="392"/>
    <x v="0"/>
    <x v="9"/>
    <x v="2"/>
    <x v="62"/>
    <x v="1"/>
    <x v="1"/>
  </r>
  <r>
    <x v="24"/>
    <x v="3"/>
    <x v="1"/>
    <x v="8"/>
    <x v="306"/>
    <x v="392"/>
    <x v="0"/>
    <x v="9"/>
    <x v="2"/>
    <x v="62"/>
    <x v="1"/>
    <x v="1"/>
  </r>
  <r>
    <x v="24"/>
    <x v="3"/>
    <x v="1"/>
    <x v="8"/>
    <x v="306"/>
    <x v="392"/>
    <x v="0"/>
    <x v="9"/>
    <x v="2"/>
    <x v="62"/>
    <x v="1"/>
    <x v="1"/>
  </r>
  <r>
    <x v="23"/>
    <x v="3"/>
    <x v="1"/>
    <x v="0"/>
    <x v="297"/>
    <x v="382"/>
    <x v="0"/>
    <x v="0"/>
    <x v="2"/>
    <x v="0"/>
    <x v="1"/>
    <x v="1"/>
  </r>
  <r>
    <x v="23"/>
    <x v="3"/>
    <x v="1"/>
    <x v="0"/>
    <x v="297"/>
    <x v="382"/>
    <x v="0"/>
    <x v="0"/>
    <x v="2"/>
    <x v="0"/>
    <x v="1"/>
    <x v="1"/>
  </r>
  <r>
    <x v="23"/>
    <x v="3"/>
    <x v="1"/>
    <x v="0"/>
    <x v="297"/>
    <x v="382"/>
    <x v="0"/>
    <x v="0"/>
    <x v="2"/>
    <x v="0"/>
    <x v="1"/>
    <x v="1"/>
  </r>
  <r>
    <x v="25"/>
    <x v="2"/>
    <x v="1"/>
    <x v="0"/>
    <x v="308"/>
    <x v="396"/>
    <x v="0"/>
    <x v="9"/>
    <x v="2"/>
    <x v="62"/>
    <x v="1"/>
    <x v="1"/>
  </r>
  <r>
    <x v="25"/>
    <x v="2"/>
    <x v="1"/>
    <x v="0"/>
    <x v="308"/>
    <x v="396"/>
    <x v="0"/>
    <x v="9"/>
    <x v="2"/>
    <x v="62"/>
    <x v="1"/>
    <x v="1"/>
  </r>
  <r>
    <x v="25"/>
    <x v="2"/>
    <x v="1"/>
    <x v="0"/>
    <x v="308"/>
    <x v="396"/>
    <x v="0"/>
    <x v="9"/>
    <x v="2"/>
    <x v="62"/>
    <x v="1"/>
    <x v="1"/>
  </r>
  <r>
    <x v="25"/>
    <x v="2"/>
    <x v="1"/>
    <x v="1"/>
    <x v="309"/>
    <x v="397"/>
    <x v="0"/>
    <x v="9"/>
    <x v="2"/>
    <x v="62"/>
    <x v="1"/>
    <x v="1"/>
  </r>
  <r>
    <x v="25"/>
    <x v="2"/>
    <x v="1"/>
    <x v="1"/>
    <x v="309"/>
    <x v="397"/>
    <x v="0"/>
    <x v="9"/>
    <x v="2"/>
    <x v="62"/>
    <x v="1"/>
    <x v="1"/>
  </r>
  <r>
    <x v="25"/>
    <x v="2"/>
    <x v="1"/>
    <x v="1"/>
    <x v="309"/>
    <x v="397"/>
    <x v="0"/>
    <x v="9"/>
    <x v="2"/>
    <x v="62"/>
    <x v="1"/>
    <x v="1"/>
  </r>
  <r>
    <x v="25"/>
    <x v="2"/>
    <x v="1"/>
    <x v="2"/>
    <x v="310"/>
    <x v="398"/>
    <x v="0"/>
    <x v="9"/>
    <x v="2"/>
    <x v="62"/>
    <x v="1"/>
    <x v="1"/>
  </r>
  <r>
    <x v="25"/>
    <x v="2"/>
    <x v="1"/>
    <x v="2"/>
    <x v="310"/>
    <x v="398"/>
    <x v="0"/>
    <x v="9"/>
    <x v="2"/>
    <x v="62"/>
    <x v="1"/>
    <x v="1"/>
  </r>
  <r>
    <x v="25"/>
    <x v="2"/>
    <x v="1"/>
    <x v="2"/>
    <x v="310"/>
    <x v="398"/>
    <x v="0"/>
    <x v="9"/>
    <x v="2"/>
    <x v="62"/>
    <x v="1"/>
    <x v="1"/>
  </r>
  <r>
    <x v="25"/>
    <x v="2"/>
    <x v="1"/>
    <x v="3"/>
    <x v="311"/>
    <x v="399"/>
    <x v="0"/>
    <x v="9"/>
    <x v="2"/>
    <x v="23"/>
    <x v="1"/>
    <x v="1"/>
  </r>
  <r>
    <x v="25"/>
    <x v="2"/>
    <x v="1"/>
    <x v="3"/>
    <x v="311"/>
    <x v="399"/>
    <x v="0"/>
    <x v="9"/>
    <x v="2"/>
    <x v="23"/>
    <x v="1"/>
    <x v="1"/>
  </r>
  <r>
    <x v="25"/>
    <x v="2"/>
    <x v="1"/>
    <x v="3"/>
    <x v="311"/>
    <x v="399"/>
    <x v="0"/>
    <x v="9"/>
    <x v="2"/>
    <x v="23"/>
    <x v="1"/>
    <x v="1"/>
  </r>
  <r>
    <x v="25"/>
    <x v="2"/>
    <x v="1"/>
    <x v="4"/>
    <x v="312"/>
    <x v="400"/>
    <x v="0"/>
    <x v="9"/>
    <x v="2"/>
    <x v="41"/>
    <x v="1"/>
    <x v="1"/>
  </r>
  <r>
    <x v="25"/>
    <x v="2"/>
    <x v="1"/>
    <x v="4"/>
    <x v="312"/>
    <x v="400"/>
    <x v="0"/>
    <x v="9"/>
    <x v="2"/>
    <x v="41"/>
    <x v="1"/>
    <x v="1"/>
  </r>
  <r>
    <x v="25"/>
    <x v="2"/>
    <x v="1"/>
    <x v="4"/>
    <x v="312"/>
    <x v="400"/>
    <x v="0"/>
    <x v="9"/>
    <x v="2"/>
    <x v="41"/>
    <x v="1"/>
    <x v="1"/>
  </r>
  <r>
    <x v="25"/>
    <x v="2"/>
    <x v="1"/>
    <x v="5"/>
    <x v="313"/>
    <x v="401"/>
    <x v="0"/>
    <x v="9"/>
    <x v="2"/>
    <x v="62"/>
    <x v="1"/>
    <x v="1"/>
  </r>
  <r>
    <x v="25"/>
    <x v="2"/>
    <x v="1"/>
    <x v="5"/>
    <x v="313"/>
    <x v="401"/>
    <x v="0"/>
    <x v="9"/>
    <x v="2"/>
    <x v="62"/>
    <x v="1"/>
    <x v="1"/>
  </r>
  <r>
    <x v="25"/>
    <x v="2"/>
    <x v="1"/>
    <x v="5"/>
    <x v="313"/>
    <x v="401"/>
    <x v="0"/>
    <x v="9"/>
    <x v="2"/>
    <x v="62"/>
    <x v="1"/>
    <x v="1"/>
  </r>
  <r>
    <x v="25"/>
    <x v="2"/>
    <x v="1"/>
    <x v="6"/>
    <x v="314"/>
    <x v="402"/>
    <x v="0"/>
    <x v="9"/>
    <x v="2"/>
    <x v="38"/>
    <x v="1"/>
    <x v="1"/>
  </r>
  <r>
    <x v="25"/>
    <x v="2"/>
    <x v="1"/>
    <x v="6"/>
    <x v="314"/>
    <x v="402"/>
    <x v="0"/>
    <x v="9"/>
    <x v="2"/>
    <x v="38"/>
    <x v="1"/>
    <x v="1"/>
  </r>
  <r>
    <x v="25"/>
    <x v="2"/>
    <x v="1"/>
    <x v="6"/>
    <x v="314"/>
    <x v="402"/>
    <x v="0"/>
    <x v="9"/>
    <x v="2"/>
    <x v="38"/>
    <x v="1"/>
    <x v="1"/>
  </r>
  <r>
    <x v="25"/>
    <x v="2"/>
    <x v="1"/>
    <x v="7"/>
    <x v="315"/>
    <x v="403"/>
    <x v="0"/>
    <x v="9"/>
    <x v="2"/>
    <x v="62"/>
    <x v="1"/>
    <x v="1"/>
  </r>
  <r>
    <x v="25"/>
    <x v="2"/>
    <x v="1"/>
    <x v="7"/>
    <x v="315"/>
    <x v="403"/>
    <x v="0"/>
    <x v="9"/>
    <x v="2"/>
    <x v="62"/>
    <x v="1"/>
    <x v="1"/>
  </r>
  <r>
    <x v="25"/>
    <x v="2"/>
    <x v="1"/>
    <x v="7"/>
    <x v="315"/>
    <x v="403"/>
    <x v="0"/>
    <x v="9"/>
    <x v="2"/>
    <x v="62"/>
    <x v="1"/>
    <x v="1"/>
  </r>
  <r>
    <x v="25"/>
    <x v="2"/>
    <x v="1"/>
    <x v="8"/>
    <x v="316"/>
    <x v="404"/>
    <x v="0"/>
    <x v="9"/>
    <x v="2"/>
    <x v="62"/>
    <x v="1"/>
    <x v="1"/>
  </r>
  <r>
    <x v="25"/>
    <x v="2"/>
    <x v="1"/>
    <x v="8"/>
    <x v="316"/>
    <x v="404"/>
    <x v="0"/>
    <x v="9"/>
    <x v="2"/>
    <x v="62"/>
    <x v="1"/>
    <x v="1"/>
  </r>
  <r>
    <x v="25"/>
    <x v="2"/>
    <x v="1"/>
    <x v="8"/>
    <x v="316"/>
    <x v="404"/>
    <x v="0"/>
    <x v="9"/>
    <x v="2"/>
    <x v="62"/>
    <x v="1"/>
    <x v="1"/>
  </r>
  <r>
    <x v="26"/>
    <x v="2"/>
    <x v="1"/>
    <x v="0"/>
    <x v="317"/>
    <x v="408"/>
    <x v="0"/>
    <x v="11"/>
    <x v="2"/>
    <x v="32"/>
    <x v="1"/>
    <x v="1"/>
  </r>
  <r>
    <x v="26"/>
    <x v="2"/>
    <x v="1"/>
    <x v="0"/>
    <x v="317"/>
    <x v="408"/>
    <x v="0"/>
    <x v="11"/>
    <x v="2"/>
    <x v="32"/>
    <x v="1"/>
    <x v="1"/>
  </r>
  <r>
    <x v="26"/>
    <x v="2"/>
    <x v="1"/>
    <x v="0"/>
    <x v="317"/>
    <x v="408"/>
    <x v="0"/>
    <x v="11"/>
    <x v="2"/>
    <x v="32"/>
    <x v="1"/>
    <x v="1"/>
  </r>
  <r>
    <x v="26"/>
    <x v="2"/>
    <x v="1"/>
    <x v="9"/>
    <x v="326"/>
    <x v="417"/>
    <x v="0"/>
    <x v="11"/>
    <x v="2"/>
    <x v="62"/>
    <x v="1"/>
    <x v="1"/>
  </r>
  <r>
    <x v="26"/>
    <x v="2"/>
    <x v="1"/>
    <x v="9"/>
    <x v="326"/>
    <x v="417"/>
    <x v="0"/>
    <x v="11"/>
    <x v="2"/>
    <x v="62"/>
    <x v="1"/>
    <x v="1"/>
  </r>
  <r>
    <x v="26"/>
    <x v="2"/>
    <x v="1"/>
    <x v="9"/>
    <x v="326"/>
    <x v="417"/>
    <x v="0"/>
    <x v="11"/>
    <x v="2"/>
    <x v="62"/>
    <x v="1"/>
    <x v="1"/>
  </r>
  <r>
    <x v="26"/>
    <x v="2"/>
    <x v="1"/>
    <x v="10"/>
    <x v="327"/>
    <x v="418"/>
    <x v="0"/>
    <x v="11"/>
    <x v="2"/>
    <x v="62"/>
    <x v="1"/>
    <x v="1"/>
  </r>
  <r>
    <x v="26"/>
    <x v="2"/>
    <x v="1"/>
    <x v="10"/>
    <x v="327"/>
    <x v="418"/>
    <x v="0"/>
    <x v="11"/>
    <x v="2"/>
    <x v="62"/>
    <x v="1"/>
    <x v="1"/>
  </r>
  <r>
    <x v="26"/>
    <x v="2"/>
    <x v="1"/>
    <x v="10"/>
    <x v="327"/>
    <x v="418"/>
    <x v="0"/>
    <x v="11"/>
    <x v="2"/>
    <x v="62"/>
    <x v="1"/>
    <x v="1"/>
  </r>
  <r>
    <x v="26"/>
    <x v="2"/>
    <x v="1"/>
    <x v="11"/>
    <x v="328"/>
    <x v="419"/>
    <x v="0"/>
    <x v="11"/>
    <x v="2"/>
    <x v="62"/>
    <x v="1"/>
    <x v="1"/>
  </r>
  <r>
    <x v="26"/>
    <x v="2"/>
    <x v="1"/>
    <x v="11"/>
    <x v="328"/>
    <x v="419"/>
    <x v="0"/>
    <x v="11"/>
    <x v="2"/>
    <x v="62"/>
    <x v="1"/>
    <x v="1"/>
  </r>
  <r>
    <x v="26"/>
    <x v="2"/>
    <x v="1"/>
    <x v="11"/>
    <x v="328"/>
    <x v="419"/>
    <x v="0"/>
    <x v="11"/>
    <x v="2"/>
    <x v="62"/>
    <x v="1"/>
    <x v="1"/>
  </r>
  <r>
    <x v="26"/>
    <x v="2"/>
    <x v="1"/>
    <x v="1"/>
    <x v="318"/>
    <x v="409"/>
    <x v="0"/>
    <x v="11"/>
    <x v="2"/>
    <x v="46"/>
    <x v="1"/>
    <x v="1"/>
  </r>
  <r>
    <x v="26"/>
    <x v="2"/>
    <x v="1"/>
    <x v="1"/>
    <x v="318"/>
    <x v="409"/>
    <x v="0"/>
    <x v="11"/>
    <x v="2"/>
    <x v="46"/>
    <x v="1"/>
    <x v="1"/>
  </r>
  <r>
    <x v="26"/>
    <x v="2"/>
    <x v="1"/>
    <x v="1"/>
    <x v="318"/>
    <x v="409"/>
    <x v="0"/>
    <x v="11"/>
    <x v="2"/>
    <x v="46"/>
    <x v="1"/>
    <x v="1"/>
  </r>
  <r>
    <x v="26"/>
    <x v="2"/>
    <x v="1"/>
    <x v="2"/>
    <x v="319"/>
    <x v="410"/>
    <x v="0"/>
    <x v="11"/>
    <x v="2"/>
    <x v="62"/>
    <x v="1"/>
    <x v="1"/>
  </r>
  <r>
    <x v="26"/>
    <x v="2"/>
    <x v="1"/>
    <x v="2"/>
    <x v="319"/>
    <x v="410"/>
    <x v="0"/>
    <x v="11"/>
    <x v="2"/>
    <x v="62"/>
    <x v="1"/>
    <x v="1"/>
  </r>
  <r>
    <x v="26"/>
    <x v="2"/>
    <x v="1"/>
    <x v="2"/>
    <x v="319"/>
    <x v="410"/>
    <x v="0"/>
    <x v="11"/>
    <x v="2"/>
    <x v="62"/>
    <x v="1"/>
    <x v="1"/>
  </r>
  <r>
    <x v="26"/>
    <x v="2"/>
    <x v="1"/>
    <x v="3"/>
    <x v="320"/>
    <x v="411"/>
    <x v="0"/>
    <x v="11"/>
    <x v="2"/>
    <x v="62"/>
    <x v="1"/>
    <x v="1"/>
  </r>
  <r>
    <x v="26"/>
    <x v="2"/>
    <x v="1"/>
    <x v="3"/>
    <x v="320"/>
    <x v="411"/>
    <x v="0"/>
    <x v="11"/>
    <x v="2"/>
    <x v="62"/>
    <x v="1"/>
    <x v="1"/>
  </r>
  <r>
    <x v="26"/>
    <x v="2"/>
    <x v="1"/>
    <x v="3"/>
    <x v="320"/>
    <x v="411"/>
    <x v="0"/>
    <x v="11"/>
    <x v="2"/>
    <x v="62"/>
    <x v="1"/>
    <x v="1"/>
  </r>
  <r>
    <x v="26"/>
    <x v="2"/>
    <x v="1"/>
    <x v="4"/>
    <x v="321"/>
    <x v="412"/>
    <x v="0"/>
    <x v="11"/>
    <x v="2"/>
    <x v="62"/>
    <x v="1"/>
    <x v="1"/>
  </r>
  <r>
    <x v="26"/>
    <x v="2"/>
    <x v="1"/>
    <x v="4"/>
    <x v="321"/>
    <x v="412"/>
    <x v="0"/>
    <x v="11"/>
    <x v="2"/>
    <x v="62"/>
    <x v="1"/>
    <x v="1"/>
  </r>
  <r>
    <x v="26"/>
    <x v="2"/>
    <x v="1"/>
    <x v="4"/>
    <x v="321"/>
    <x v="412"/>
    <x v="0"/>
    <x v="11"/>
    <x v="2"/>
    <x v="62"/>
    <x v="1"/>
    <x v="1"/>
  </r>
  <r>
    <x v="26"/>
    <x v="2"/>
    <x v="1"/>
    <x v="5"/>
    <x v="322"/>
    <x v="413"/>
    <x v="0"/>
    <x v="11"/>
    <x v="2"/>
    <x v="62"/>
    <x v="1"/>
    <x v="1"/>
  </r>
  <r>
    <x v="26"/>
    <x v="2"/>
    <x v="1"/>
    <x v="5"/>
    <x v="322"/>
    <x v="413"/>
    <x v="0"/>
    <x v="11"/>
    <x v="2"/>
    <x v="62"/>
    <x v="1"/>
    <x v="1"/>
  </r>
  <r>
    <x v="26"/>
    <x v="2"/>
    <x v="1"/>
    <x v="5"/>
    <x v="322"/>
    <x v="413"/>
    <x v="0"/>
    <x v="11"/>
    <x v="2"/>
    <x v="62"/>
    <x v="1"/>
    <x v="1"/>
  </r>
  <r>
    <x v="26"/>
    <x v="2"/>
    <x v="1"/>
    <x v="6"/>
    <x v="323"/>
    <x v="414"/>
    <x v="0"/>
    <x v="11"/>
    <x v="2"/>
    <x v="62"/>
    <x v="1"/>
    <x v="1"/>
  </r>
  <r>
    <x v="26"/>
    <x v="2"/>
    <x v="1"/>
    <x v="6"/>
    <x v="323"/>
    <x v="414"/>
    <x v="0"/>
    <x v="11"/>
    <x v="2"/>
    <x v="62"/>
    <x v="1"/>
    <x v="1"/>
  </r>
  <r>
    <x v="26"/>
    <x v="2"/>
    <x v="1"/>
    <x v="6"/>
    <x v="323"/>
    <x v="414"/>
    <x v="0"/>
    <x v="11"/>
    <x v="2"/>
    <x v="62"/>
    <x v="1"/>
    <x v="1"/>
  </r>
  <r>
    <x v="26"/>
    <x v="2"/>
    <x v="1"/>
    <x v="7"/>
    <x v="324"/>
    <x v="415"/>
    <x v="0"/>
    <x v="11"/>
    <x v="2"/>
    <x v="62"/>
    <x v="1"/>
    <x v="1"/>
  </r>
  <r>
    <x v="26"/>
    <x v="2"/>
    <x v="1"/>
    <x v="7"/>
    <x v="324"/>
    <x v="415"/>
    <x v="0"/>
    <x v="11"/>
    <x v="2"/>
    <x v="62"/>
    <x v="1"/>
    <x v="1"/>
  </r>
  <r>
    <x v="26"/>
    <x v="2"/>
    <x v="1"/>
    <x v="7"/>
    <x v="324"/>
    <x v="415"/>
    <x v="0"/>
    <x v="11"/>
    <x v="2"/>
    <x v="62"/>
    <x v="1"/>
    <x v="1"/>
  </r>
  <r>
    <x v="26"/>
    <x v="2"/>
    <x v="1"/>
    <x v="8"/>
    <x v="325"/>
    <x v="416"/>
    <x v="0"/>
    <x v="11"/>
    <x v="2"/>
    <x v="62"/>
    <x v="1"/>
    <x v="1"/>
  </r>
  <r>
    <x v="26"/>
    <x v="2"/>
    <x v="1"/>
    <x v="8"/>
    <x v="325"/>
    <x v="416"/>
    <x v="0"/>
    <x v="11"/>
    <x v="2"/>
    <x v="62"/>
    <x v="1"/>
    <x v="1"/>
  </r>
  <r>
    <x v="26"/>
    <x v="2"/>
    <x v="1"/>
    <x v="8"/>
    <x v="325"/>
    <x v="416"/>
    <x v="0"/>
    <x v="11"/>
    <x v="2"/>
    <x v="62"/>
    <x v="1"/>
    <x v="1"/>
  </r>
  <r>
    <x v="26"/>
    <x v="3"/>
    <x v="1"/>
    <x v="0"/>
    <x v="329"/>
    <x v="426"/>
    <x v="0"/>
    <x v="11"/>
    <x v="2"/>
    <x v="62"/>
    <x v="1"/>
    <x v="1"/>
  </r>
  <r>
    <x v="26"/>
    <x v="3"/>
    <x v="1"/>
    <x v="0"/>
    <x v="329"/>
    <x v="426"/>
    <x v="0"/>
    <x v="11"/>
    <x v="2"/>
    <x v="62"/>
    <x v="1"/>
    <x v="1"/>
  </r>
  <r>
    <x v="26"/>
    <x v="3"/>
    <x v="1"/>
    <x v="0"/>
    <x v="329"/>
    <x v="426"/>
    <x v="0"/>
    <x v="11"/>
    <x v="2"/>
    <x v="62"/>
    <x v="1"/>
    <x v="1"/>
  </r>
  <r>
    <x v="26"/>
    <x v="3"/>
    <x v="1"/>
    <x v="9"/>
    <x v="338"/>
    <x v="435"/>
    <x v="0"/>
    <x v="11"/>
    <x v="2"/>
    <x v="62"/>
    <x v="1"/>
    <x v="1"/>
  </r>
  <r>
    <x v="26"/>
    <x v="3"/>
    <x v="1"/>
    <x v="9"/>
    <x v="338"/>
    <x v="435"/>
    <x v="0"/>
    <x v="11"/>
    <x v="2"/>
    <x v="62"/>
    <x v="1"/>
    <x v="1"/>
  </r>
  <r>
    <x v="26"/>
    <x v="3"/>
    <x v="1"/>
    <x v="9"/>
    <x v="338"/>
    <x v="435"/>
    <x v="0"/>
    <x v="11"/>
    <x v="2"/>
    <x v="62"/>
    <x v="1"/>
    <x v="1"/>
  </r>
  <r>
    <x v="26"/>
    <x v="3"/>
    <x v="1"/>
    <x v="10"/>
    <x v="339"/>
    <x v="436"/>
    <x v="0"/>
    <x v="11"/>
    <x v="2"/>
    <x v="62"/>
    <x v="1"/>
    <x v="1"/>
  </r>
  <r>
    <x v="26"/>
    <x v="3"/>
    <x v="1"/>
    <x v="10"/>
    <x v="339"/>
    <x v="436"/>
    <x v="0"/>
    <x v="11"/>
    <x v="2"/>
    <x v="62"/>
    <x v="1"/>
    <x v="1"/>
  </r>
  <r>
    <x v="26"/>
    <x v="3"/>
    <x v="1"/>
    <x v="10"/>
    <x v="339"/>
    <x v="436"/>
    <x v="0"/>
    <x v="11"/>
    <x v="2"/>
    <x v="62"/>
    <x v="1"/>
    <x v="1"/>
  </r>
  <r>
    <x v="26"/>
    <x v="3"/>
    <x v="1"/>
    <x v="1"/>
    <x v="330"/>
    <x v="427"/>
    <x v="0"/>
    <x v="11"/>
    <x v="2"/>
    <x v="62"/>
    <x v="1"/>
    <x v="1"/>
  </r>
  <r>
    <x v="26"/>
    <x v="3"/>
    <x v="1"/>
    <x v="1"/>
    <x v="330"/>
    <x v="427"/>
    <x v="0"/>
    <x v="11"/>
    <x v="2"/>
    <x v="62"/>
    <x v="1"/>
    <x v="1"/>
  </r>
  <r>
    <x v="26"/>
    <x v="3"/>
    <x v="1"/>
    <x v="1"/>
    <x v="330"/>
    <x v="427"/>
    <x v="0"/>
    <x v="11"/>
    <x v="2"/>
    <x v="62"/>
    <x v="1"/>
    <x v="1"/>
  </r>
  <r>
    <x v="26"/>
    <x v="3"/>
    <x v="1"/>
    <x v="2"/>
    <x v="331"/>
    <x v="428"/>
    <x v="0"/>
    <x v="11"/>
    <x v="2"/>
    <x v="62"/>
    <x v="1"/>
    <x v="1"/>
  </r>
  <r>
    <x v="26"/>
    <x v="3"/>
    <x v="1"/>
    <x v="2"/>
    <x v="331"/>
    <x v="428"/>
    <x v="0"/>
    <x v="11"/>
    <x v="2"/>
    <x v="62"/>
    <x v="1"/>
    <x v="1"/>
  </r>
  <r>
    <x v="26"/>
    <x v="3"/>
    <x v="1"/>
    <x v="2"/>
    <x v="331"/>
    <x v="428"/>
    <x v="0"/>
    <x v="11"/>
    <x v="2"/>
    <x v="62"/>
    <x v="1"/>
    <x v="1"/>
  </r>
  <r>
    <x v="26"/>
    <x v="3"/>
    <x v="1"/>
    <x v="3"/>
    <x v="332"/>
    <x v="429"/>
    <x v="0"/>
    <x v="11"/>
    <x v="2"/>
    <x v="62"/>
    <x v="1"/>
    <x v="1"/>
  </r>
  <r>
    <x v="26"/>
    <x v="3"/>
    <x v="1"/>
    <x v="3"/>
    <x v="332"/>
    <x v="429"/>
    <x v="0"/>
    <x v="11"/>
    <x v="2"/>
    <x v="62"/>
    <x v="1"/>
    <x v="1"/>
  </r>
  <r>
    <x v="26"/>
    <x v="3"/>
    <x v="1"/>
    <x v="3"/>
    <x v="332"/>
    <x v="429"/>
    <x v="0"/>
    <x v="11"/>
    <x v="2"/>
    <x v="62"/>
    <x v="1"/>
    <x v="1"/>
  </r>
  <r>
    <x v="26"/>
    <x v="3"/>
    <x v="1"/>
    <x v="4"/>
    <x v="333"/>
    <x v="430"/>
    <x v="0"/>
    <x v="11"/>
    <x v="2"/>
    <x v="26"/>
    <x v="1"/>
    <x v="1"/>
  </r>
  <r>
    <x v="26"/>
    <x v="3"/>
    <x v="1"/>
    <x v="4"/>
    <x v="333"/>
    <x v="430"/>
    <x v="0"/>
    <x v="11"/>
    <x v="2"/>
    <x v="26"/>
    <x v="1"/>
    <x v="1"/>
  </r>
  <r>
    <x v="26"/>
    <x v="3"/>
    <x v="1"/>
    <x v="4"/>
    <x v="333"/>
    <x v="430"/>
    <x v="0"/>
    <x v="11"/>
    <x v="2"/>
    <x v="26"/>
    <x v="1"/>
    <x v="1"/>
  </r>
  <r>
    <x v="26"/>
    <x v="3"/>
    <x v="1"/>
    <x v="5"/>
    <x v="334"/>
    <x v="431"/>
    <x v="0"/>
    <x v="11"/>
    <x v="2"/>
    <x v="62"/>
    <x v="1"/>
    <x v="1"/>
  </r>
  <r>
    <x v="26"/>
    <x v="3"/>
    <x v="1"/>
    <x v="5"/>
    <x v="334"/>
    <x v="431"/>
    <x v="0"/>
    <x v="11"/>
    <x v="2"/>
    <x v="62"/>
    <x v="1"/>
    <x v="1"/>
  </r>
  <r>
    <x v="26"/>
    <x v="3"/>
    <x v="1"/>
    <x v="5"/>
    <x v="334"/>
    <x v="431"/>
    <x v="0"/>
    <x v="11"/>
    <x v="2"/>
    <x v="62"/>
    <x v="1"/>
    <x v="1"/>
  </r>
  <r>
    <x v="26"/>
    <x v="3"/>
    <x v="1"/>
    <x v="6"/>
    <x v="335"/>
    <x v="432"/>
    <x v="0"/>
    <x v="11"/>
    <x v="2"/>
    <x v="62"/>
    <x v="1"/>
    <x v="1"/>
  </r>
  <r>
    <x v="26"/>
    <x v="3"/>
    <x v="1"/>
    <x v="6"/>
    <x v="335"/>
    <x v="432"/>
    <x v="0"/>
    <x v="11"/>
    <x v="2"/>
    <x v="62"/>
    <x v="1"/>
    <x v="1"/>
  </r>
  <r>
    <x v="26"/>
    <x v="3"/>
    <x v="1"/>
    <x v="6"/>
    <x v="335"/>
    <x v="432"/>
    <x v="0"/>
    <x v="11"/>
    <x v="2"/>
    <x v="62"/>
    <x v="1"/>
    <x v="1"/>
  </r>
  <r>
    <x v="26"/>
    <x v="3"/>
    <x v="1"/>
    <x v="7"/>
    <x v="336"/>
    <x v="433"/>
    <x v="0"/>
    <x v="11"/>
    <x v="2"/>
    <x v="62"/>
    <x v="1"/>
    <x v="1"/>
  </r>
  <r>
    <x v="26"/>
    <x v="3"/>
    <x v="1"/>
    <x v="7"/>
    <x v="336"/>
    <x v="433"/>
    <x v="0"/>
    <x v="11"/>
    <x v="2"/>
    <x v="62"/>
    <x v="1"/>
    <x v="1"/>
  </r>
  <r>
    <x v="26"/>
    <x v="3"/>
    <x v="1"/>
    <x v="7"/>
    <x v="336"/>
    <x v="433"/>
    <x v="0"/>
    <x v="11"/>
    <x v="2"/>
    <x v="62"/>
    <x v="1"/>
    <x v="1"/>
  </r>
  <r>
    <x v="26"/>
    <x v="3"/>
    <x v="1"/>
    <x v="8"/>
    <x v="337"/>
    <x v="434"/>
    <x v="0"/>
    <x v="11"/>
    <x v="2"/>
    <x v="62"/>
    <x v="1"/>
    <x v="1"/>
  </r>
  <r>
    <x v="26"/>
    <x v="3"/>
    <x v="1"/>
    <x v="8"/>
    <x v="337"/>
    <x v="434"/>
    <x v="0"/>
    <x v="11"/>
    <x v="2"/>
    <x v="62"/>
    <x v="1"/>
    <x v="1"/>
  </r>
  <r>
    <x v="26"/>
    <x v="3"/>
    <x v="1"/>
    <x v="8"/>
    <x v="337"/>
    <x v="434"/>
    <x v="0"/>
    <x v="11"/>
    <x v="2"/>
    <x v="62"/>
    <x v="1"/>
    <x v="1"/>
  </r>
  <r>
    <x v="27"/>
    <x v="2"/>
    <x v="1"/>
    <x v="0"/>
    <x v="340"/>
    <x v="438"/>
    <x v="0"/>
    <x v="14"/>
    <x v="2"/>
    <x v="62"/>
    <x v="1"/>
    <x v="1"/>
  </r>
  <r>
    <x v="27"/>
    <x v="2"/>
    <x v="1"/>
    <x v="0"/>
    <x v="340"/>
    <x v="438"/>
    <x v="0"/>
    <x v="14"/>
    <x v="2"/>
    <x v="62"/>
    <x v="1"/>
    <x v="1"/>
  </r>
  <r>
    <x v="27"/>
    <x v="2"/>
    <x v="1"/>
    <x v="0"/>
    <x v="340"/>
    <x v="438"/>
    <x v="0"/>
    <x v="14"/>
    <x v="2"/>
    <x v="62"/>
    <x v="1"/>
    <x v="1"/>
  </r>
  <r>
    <x v="27"/>
    <x v="2"/>
    <x v="1"/>
    <x v="9"/>
    <x v="349"/>
    <x v="447"/>
    <x v="0"/>
    <x v="14"/>
    <x v="2"/>
    <x v="62"/>
    <x v="1"/>
    <x v="1"/>
  </r>
  <r>
    <x v="27"/>
    <x v="2"/>
    <x v="1"/>
    <x v="9"/>
    <x v="349"/>
    <x v="447"/>
    <x v="0"/>
    <x v="14"/>
    <x v="2"/>
    <x v="62"/>
    <x v="1"/>
    <x v="1"/>
  </r>
  <r>
    <x v="27"/>
    <x v="2"/>
    <x v="1"/>
    <x v="9"/>
    <x v="349"/>
    <x v="447"/>
    <x v="0"/>
    <x v="14"/>
    <x v="2"/>
    <x v="62"/>
    <x v="1"/>
    <x v="1"/>
  </r>
  <r>
    <x v="27"/>
    <x v="2"/>
    <x v="1"/>
    <x v="10"/>
    <x v="350"/>
    <x v="448"/>
    <x v="0"/>
    <x v="14"/>
    <x v="2"/>
    <x v="62"/>
    <x v="1"/>
    <x v="0"/>
  </r>
  <r>
    <x v="27"/>
    <x v="2"/>
    <x v="1"/>
    <x v="10"/>
    <x v="350"/>
    <x v="448"/>
    <x v="0"/>
    <x v="14"/>
    <x v="2"/>
    <x v="62"/>
    <x v="1"/>
    <x v="0"/>
  </r>
  <r>
    <x v="27"/>
    <x v="2"/>
    <x v="1"/>
    <x v="10"/>
    <x v="350"/>
    <x v="448"/>
    <x v="0"/>
    <x v="14"/>
    <x v="2"/>
    <x v="62"/>
    <x v="1"/>
    <x v="0"/>
  </r>
  <r>
    <x v="27"/>
    <x v="2"/>
    <x v="1"/>
    <x v="1"/>
    <x v="341"/>
    <x v="439"/>
    <x v="0"/>
    <x v="14"/>
    <x v="2"/>
    <x v="62"/>
    <x v="1"/>
    <x v="1"/>
  </r>
  <r>
    <x v="27"/>
    <x v="2"/>
    <x v="1"/>
    <x v="1"/>
    <x v="341"/>
    <x v="439"/>
    <x v="0"/>
    <x v="14"/>
    <x v="2"/>
    <x v="62"/>
    <x v="1"/>
    <x v="1"/>
  </r>
  <r>
    <x v="27"/>
    <x v="2"/>
    <x v="1"/>
    <x v="1"/>
    <x v="341"/>
    <x v="439"/>
    <x v="0"/>
    <x v="14"/>
    <x v="2"/>
    <x v="62"/>
    <x v="1"/>
    <x v="1"/>
  </r>
  <r>
    <x v="27"/>
    <x v="2"/>
    <x v="1"/>
    <x v="2"/>
    <x v="342"/>
    <x v="440"/>
    <x v="0"/>
    <x v="14"/>
    <x v="2"/>
    <x v="62"/>
    <x v="1"/>
    <x v="1"/>
  </r>
  <r>
    <x v="27"/>
    <x v="2"/>
    <x v="1"/>
    <x v="2"/>
    <x v="342"/>
    <x v="440"/>
    <x v="0"/>
    <x v="14"/>
    <x v="2"/>
    <x v="62"/>
    <x v="1"/>
    <x v="1"/>
  </r>
  <r>
    <x v="27"/>
    <x v="2"/>
    <x v="1"/>
    <x v="2"/>
    <x v="342"/>
    <x v="440"/>
    <x v="0"/>
    <x v="14"/>
    <x v="2"/>
    <x v="62"/>
    <x v="1"/>
    <x v="1"/>
  </r>
  <r>
    <x v="27"/>
    <x v="2"/>
    <x v="1"/>
    <x v="3"/>
    <x v="343"/>
    <x v="441"/>
    <x v="0"/>
    <x v="14"/>
    <x v="2"/>
    <x v="62"/>
    <x v="1"/>
    <x v="1"/>
  </r>
  <r>
    <x v="27"/>
    <x v="2"/>
    <x v="1"/>
    <x v="3"/>
    <x v="343"/>
    <x v="441"/>
    <x v="0"/>
    <x v="14"/>
    <x v="2"/>
    <x v="62"/>
    <x v="1"/>
    <x v="1"/>
  </r>
  <r>
    <x v="27"/>
    <x v="2"/>
    <x v="1"/>
    <x v="3"/>
    <x v="343"/>
    <x v="441"/>
    <x v="0"/>
    <x v="14"/>
    <x v="2"/>
    <x v="62"/>
    <x v="1"/>
    <x v="1"/>
  </r>
  <r>
    <x v="27"/>
    <x v="2"/>
    <x v="1"/>
    <x v="4"/>
    <x v="344"/>
    <x v="442"/>
    <x v="0"/>
    <x v="14"/>
    <x v="2"/>
    <x v="3"/>
    <x v="1"/>
    <x v="1"/>
  </r>
  <r>
    <x v="27"/>
    <x v="2"/>
    <x v="1"/>
    <x v="4"/>
    <x v="344"/>
    <x v="442"/>
    <x v="0"/>
    <x v="14"/>
    <x v="2"/>
    <x v="3"/>
    <x v="1"/>
    <x v="1"/>
  </r>
  <r>
    <x v="27"/>
    <x v="2"/>
    <x v="1"/>
    <x v="4"/>
    <x v="344"/>
    <x v="442"/>
    <x v="0"/>
    <x v="14"/>
    <x v="2"/>
    <x v="3"/>
    <x v="1"/>
    <x v="1"/>
  </r>
  <r>
    <x v="27"/>
    <x v="2"/>
    <x v="1"/>
    <x v="5"/>
    <x v="345"/>
    <x v="443"/>
    <x v="0"/>
    <x v="14"/>
    <x v="2"/>
    <x v="62"/>
    <x v="1"/>
    <x v="1"/>
  </r>
  <r>
    <x v="27"/>
    <x v="2"/>
    <x v="1"/>
    <x v="5"/>
    <x v="345"/>
    <x v="443"/>
    <x v="0"/>
    <x v="14"/>
    <x v="2"/>
    <x v="62"/>
    <x v="1"/>
    <x v="1"/>
  </r>
  <r>
    <x v="27"/>
    <x v="2"/>
    <x v="1"/>
    <x v="5"/>
    <x v="345"/>
    <x v="443"/>
    <x v="0"/>
    <x v="14"/>
    <x v="2"/>
    <x v="62"/>
    <x v="1"/>
    <x v="1"/>
  </r>
  <r>
    <x v="27"/>
    <x v="2"/>
    <x v="1"/>
    <x v="6"/>
    <x v="346"/>
    <x v="444"/>
    <x v="0"/>
    <x v="14"/>
    <x v="2"/>
    <x v="62"/>
    <x v="1"/>
    <x v="1"/>
  </r>
  <r>
    <x v="27"/>
    <x v="2"/>
    <x v="1"/>
    <x v="6"/>
    <x v="346"/>
    <x v="444"/>
    <x v="0"/>
    <x v="14"/>
    <x v="2"/>
    <x v="62"/>
    <x v="1"/>
    <x v="1"/>
  </r>
  <r>
    <x v="27"/>
    <x v="2"/>
    <x v="1"/>
    <x v="6"/>
    <x v="346"/>
    <x v="444"/>
    <x v="0"/>
    <x v="14"/>
    <x v="2"/>
    <x v="62"/>
    <x v="1"/>
    <x v="1"/>
  </r>
  <r>
    <x v="27"/>
    <x v="2"/>
    <x v="1"/>
    <x v="7"/>
    <x v="347"/>
    <x v="445"/>
    <x v="0"/>
    <x v="14"/>
    <x v="2"/>
    <x v="62"/>
    <x v="1"/>
    <x v="1"/>
  </r>
  <r>
    <x v="27"/>
    <x v="2"/>
    <x v="1"/>
    <x v="7"/>
    <x v="347"/>
    <x v="445"/>
    <x v="0"/>
    <x v="14"/>
    <x v="2"/>
    <x v="62"/>
    <x v="1"/>
    <x v="1"/>
  </r>
  <r>
    <x v="27"/>
    <x v="2"/>
    <x v="1"/>
    <x v="7"/>
    <x v="347"/>
    <x v="445"/>
    <x v="0"/>
    <x v="14"/>
    <x v="2"/>
    <x v="62"/>
    <x v="1"/>
    <x v="1"/>
  </r>
  <r>
    <x v="27"/>
    <x v="2"/>
    <x v="1"/>
    <x v="8"/>
    <x v="348"/>
    <x v="446"/>
    <x v="0"/>
    <x v="14"/>
    <x v="2"/>
    <x v="62"/>
    <x v="1"/>
    <x v="1"/>
  </r>
  <r>
    <x v="27"/>
    <x v="2"/>
    <x v="1"/>
    <x v="8"/>
    <x v="348"/>
    <x v="446"/>
    <x v="0"/>
    <x v="14"/>
    <x v="2"/>
    <x v="62"/>
    <x v="1"/>
    <x v="1"/>
  </r>
  <r>
    <x v="27"/>
    <x v="2"/>
    <x v="1"/>
    <x v="8"/>
    <x v="348"/>
    <x v="446"/>
    <x v="0"/>
    <x v="14"/>
    <x v="2"/>
    <x v="62"/>
    <x v="1"/>
    <x v="1"/>
  </r>
  <r>
    <x v="28"/>
    <x v="3"/>
    <x v="1"/>
    <x v="0"/>
    <x v="351"/>
    <x v="459"/>
    <x v="0"/>
    <x v="15"/>
    <x v="2"/>
    <x v="19"/>
    <x v="1"/>
    <x v="1"/>
  </r>
  <r>
    <x v="28"/>
    <x v="3"/>
    <x v="1"/>
    <x v="0"/>
    <x v="351"/>
    <x v="459"/>
    <x v="0"/>
    <x v="15"/>
    <x v="2"/>
    <x v="19"/>
    <x v="1"/>
    <x v="1"/>
  </r>
  <r>
    <x v="28"/>
    <x v="3"/>
    <x v="1"/>
    <x v="0"/>
    <x v="351"/>
    <x v="459"/>
    <x v="0"/>
    <x v="15"/>
    <x v="2"/>
    <x v="19"/>
    <x v="1"/>
    <x v="1"/>
  </r>
  <r>
    <x v="28"/>
    <x v="3"/>
    <x v="1"/>
    <x v="9"/>
    <x v="360"/>
    <x v="468"/>
    <x v="0"/>
    <x v="15"/>
    <x v="2"/>
    <x v="17"/>
    <x v="1"/>
    <x v="1"/>
  </r>
  <r>
    <x v="28"/>
    <x v="3"/>
    <x v="1"/>
    <x v="9"/>
    <x v="360"/>
    <x v="468"/>
    <x v="0"/>
    <x v="15"/>
    <x v="2"/>
    <x v="17"/>
    <x v="1"/>
    <x v="1"/>
  </r>
  <r>
    <x v="28"/>
    <x v="3"/>
    <x v="1"/>
    <x v="9"/>
    <x v="360"/>
    <x v="468"/>
    <x v="0"/>
    <x v="15"/>
    <x v="2"/>
    <x v="17"/>
    <x v="1"/>
    <x v="1"/>
  </r>
  <r>
    <x v="28"/>
    <x v="3"/>
    <x v="1"/>
    <x v="1"/>
    <x v="352"/>
    <x v="460"/>
    <x v="0"/>
    <x v="15"/>
    <x v="2"/>
    <x v="31"/>
    <x v="1"/>
    <x v="1"/>
  </r>
  <r>
    <x v="28"/>
    <x v="3"/>
    <x v="1"/>
    <x v="1"/>
    <x v="352"/>
    <x v="460"/>
    <x v="0"/>
    <x v="15"/>
    <x v="2"/>
    <x v="31"/>
    <x v="1"/>
    <x v="1"/>
  </r>
  <r>
    <x v="28"/>
    <x v="3"/>
    <x v="1"/>
    <x v="1"/>
    <x v="352"/>
    <x v="460"/>
    <x v="0"/>
    <x v="15"/>
    <x v="2"/>
    <x v="31"/>
    <x v="1"/>
    <x v="1"/>
  </r>
  <r>
    <x v="28"/>
    <x v="3"/>
    <x v="1"/>
    <x v="2"/>
    <x v="353"/>
    <x v="461"/>
    <x v="0"/>
    <x v="15"/>
    <x v="2"/>
    <x v="62"/>
    <x v="1"/>
    <x v="1"/>
  </r>
  <r>
    <x v="28"/>
    <x v="3"/>
    <x v="1"/>
    <x v="2"/>
    <x v="353"/>
    <x v="461"/>
    <x v="0"/>
    <x v="15"/>
    <x v="2"/>
    <x v="62"/>
    <x v="1"/>
    <x v="1"/>
  </r>
  <r>
    <x v="28"/>
    <x v="3"/>
    <x v="1"/>
    <x v="2"/>
    <x v="353"/>
    <x v="461"/>
    <x v="0"/>
    <x v="15"/>
    <x v="2"/>
    <x v="62"/>
    <x v="1"/>
    <x v="1"/>
  </r>
  <r>
    <x v="28"/>
    <x v="3"/>
    <x v="1"/>
    <x v="3"/>
    <x v="354"/>
    <x v="462"/>
    <x v="0"/>
    <x v="15"/>
    <x v="2"/>
    <x v="41"/>
    <x v="1"/>
    <x v="1"/>
  </r>
  <r>
    <x v="28"/>
    <x v="3"/>
    <x v="1"/>
    <x v="3"/>
    <x v="354"/>
    <x v="462"/>
    <x v="0"/>
    <x v="15"/>
    <x v="2"/>
    <x v="41"/>
    <x v="1"/>
    <x v="1"/>
  </r>
  <r>
    <x v="28"/>
    <x v="3"/>
    <x v="1"/>
    <x v="3"/>
    <x v="354"/>
    <x v="462"/>
    <x v="0"/>
    <x v="15"/>
    <x v="2"/>
    <x v="41"/>
    <x v="1"/>
    <x v="1"/>
  </r>
  <r>
    <x v="28"/>
    <x v="3"/>
    <x v="1"/>
    <x v="4"/>
    <x v="355"/>
    <x v="463"/>
    <x v="0"/>
    <x v="15"/>
    <x v="2"/>
    <x v="45"/>
    <x v="1"/>
    <x v="1"/>
  </r>
  <r>
    <x v="28"/>
    <x v="3"/>
    <x v="1"/>
    <x v="4"/>
    <x v="355"/>
    <x v="463"/>
    <x v="0"/>
    <x v="15"/>
    <x v="2"/>
    <x v="45"/>
    <x v="1"/>
    <x v="1"/>
  </r>
  <r>
    <x v="28"/>
    <x v="3"/>
    <x v="1"/>
    <x v="4"/>
    <x v="355"/>
    <x v="463"/>
    <x v="0"/>
    <x v="15"/>
    <x v="2"/>
    <x v="45"/>
    <x v="1"/>
    <x v="1"/>
  </r>
  <r>
    <x v="28"/>
    <x v="3"/>
    <x v="1"/>
    <x v="5"/>
    <x v="356"/>
    <x v="464"/>
    <x v="0"/>
    <x v="15"/>
    <x v="2"/>
    <x v="52"/>
    <x v="1"/>
    <x v="1"/>
  </r>
  <r>
    <x v="28"/>
    <x v="3"/>
    <x v="1"/>
    <x v="5"/>
    <x v="356"/>
    <x v="464"/>
    <x v="0"/>
    <x v="15"/>
    <x v="2"/>
    <x v="52"/>
    <x v="1"/>
    <x v="1"/>
  </r>
  <r>
    <x v="28"/>
    <x v="3"/>
    <x v="1"/>
    <x v="5"/>
    <x v="356"/>
    <x v="464"/>
    <x v="0"/>
    <x v="15"/>
    <x v="2"/>
    <x v="52"/>
    <x v="1"/>
    <x v="1"/>
  </r>
  <r>
    <x v="28"/>
    <x v="3"/>
    <x v="1"/>
    <x v="6"/>
    <x v="357"/>
    <x v="465"/>
    <x v="0"/>
    <x v="15"/>
    <x v="2"/>
    <x v="62"/>
    <x v="1"/>
    <x v="1"/>
  </r>
  <r>
    <x v="28"/>
    <x v="3"/>
    <x v="1"/>
    <x v="6"/>
    <x v="357"/>
    <x v="465"/>
    <x v="0"/>
    <x v="15"/>
    <x v="2"/>
    <x v="62"/>
    <x v="1"/>
    <x v="1"/>
  </r>
  <r>
    <x v="28"/>
    <x v="3"/>
    <x v="1"/>
    <x v="6"/>
    <x v="357"/>
    <x v="465"/>
    <x v="0"/>
    <x v="15"/>
    <x v="2"/>
    <x v="62"/>
    <x v="1"/>
    <x v="1"/>
  </r>
  <r>
    <x v="28"/>
    <x v="3"/>
    <x v="1"/>
    <x v="7"/>
    <x v="358"/>
    <x v="466"/>
    <x v="0"/>
    <x v="15"/>
    <x v="2"/>
    <x v="14"/>
    <x v="1"/>
    <x v="1"/>
  </r>
  <r>
    <x v="28"/>
    <x v="3"/>
    <x v="1"/>
    <x v="7"/>
    <x v="358"/>
    <x v="466"/>
    <x v="0"/>
    <x v="15"/>
    <x v="2"/>
    <x v="14"/>
    <x v="1"/>
    <x v="1"/>
  </r>
  <r>
    <x v="28"/>
    <x v="3"/>
    <x v="1"/>
    <x v="7"/>
    <x v="358"/>
    <x v="466"/>
    <x v="0"/>
    <x v="15"/>
    <x v="2"/>
    <x v="14"/>
    <x v="1"/>
    <x v="1"/>
  </r>
  <r>
    <x v="28"/>
    <x v="3"/>
    <x v="1"/>
    <x v="8"/>
    <x v="359"/>
    <x v="467"/>
    <x v="0"/>
    <x v="15"/>
    <x v="2"/>
    <x v="23"/>
    <x v="1"/>
    <x v="1"/>
  </r>
  <r>
    <x v="28"/>
    <x v="3"/>
    <x v="1"/>
    <x v="8"/>
    <x v="359"/>
    <x v="467"/>
    <x v="0"/>
    <x v="15"/>
    <x v="2"/>
    <x v="23"/>
    <x v="1"/>
    <x v="1"/>
  </r>
  <r>
    <x v="28"/>
    <x v="3"/>
    <x v="1"/>
    <x v="8"/>
    <x v="359"/>
    <x v="467"/>
    <x v="0"/>
    <x v="15"/>
    <x v="2"/>
    <x v="23"/>
    <x v="1"/>
    <x v="1"/>
  </r>
  <r>
    <x v="29"/>
    <x v="5"/>
    <x v="1"/>
    <x v="50"/>
    <x v="361"/>
    <x v="11"/>
    <x v="1"/>
    <x v="8"/>
    <x v="2"/>
    <x v="4"/>
    <x v="1"/>
    <x v="0"/>
  </r>
  <r>
    <x v="29"/>
    <x v="5"/>
    <x v="1"/>
    <x v="50"/>
    <x v="361"/>
    <x v="32"/>
    <x v="1"/>
    <x v="8"/>
    <x v="2"/>
    <x v="4"/>
    <x v="1"/>
    <x v="0"/>
  </r>
  <r>
    <x v="29"/>
    <x v="5"/>
    <x v="1"/>
    <x v="50"/>
    <x v="361"/>
    <x v="33"/>
    <x v="1"/>
    <x v="8"/>
    <x v="2"/>
    <x v="4"/>
    <x v="1"/>
    <x v="0"/>
  </r>
  <r>
    <x v="29"/>
    <x v="5"/>
    <x v="1"/>
    <x v="50"/>
    <x v="361"/>
    <x v="34"/>
    <x v="1"/>
    <x v="8"/>
    <x v="2"/>
    <x v="4"/>
    <x v="1"/>
    <x v="0"/>
  </r>
  <r>
    <x v="29"/>
    <x v="5"/>
    <x v="1"/>
    <x v="50"/>
    <x v="361"/>
    <x v="35"/>
    <x v="1"/>
    <x v="8"/>
    <x v="2"/>
    <x v="4"/>
    <x v="1"/>
    <x v="0"/>
  </r>
  <r>
    <x v="29"/>
    <x v="5"/>
    <x v="1"/>
    <x v="50"/>
    <x v="361"/>
    <x v="36"/>
    <x v="1"/>
    <x v="8"/>
    <x v="2"/>
    <x v="4"/>
    <x v="1"/>
    <x v="0"/>
  </r>
  <r>
    <x v="29"/>
    <x v="5"/>
    <x v="1"/>
    <x v="50"/>
    <x v="361"/>
    <x v="37"/>
    <x v="1"/>
    <x v="8"/>
    <x v="2"/>
    <x v="4"/>
    <x v="1"/>
    <x v="0"/>
  </r>
  <r>
    <x v="29"/>
    <x v="5"/>
    <x v="1"/>
    <x v="50"/>
    <x v="361"/>
    <x v="38"/>
    <x v="1"/>
    <x v="8"/>
    <x v="2"/>
    <x v="35"/>
    <x v="1"/>
    <x v="0"/>
  </r>
  <r>
    <x v="29"/>
    <x v="5"/>
    <x v="1"/>
    <x v="50"/>
    <x v="361"/>
    <x v="39"/>
    <x v="1"/>
    <x v="8"/>
    <x v="2"/>
    <x v="4"/>
    <x v="1"/>
    <x v="0"/>
  </r>
  <r>
    <x v="29"/>
    <x v="5"/>
    <x v="1"/>
    <x v="50"/>
    <x v="361"/>
    <x v="48"/>
    <x v="1"/>
    <x v="8"/>
    <x v="2"/>
    <x v="4"/>
    <x v="1"/>
    <x v="0"/>
  </r>
  <r>
    <x v="29"/>
    <x v="5"/>
    <x v="1"/>
    <x v="50"/>
    <x v="361"/>
    <x v="49"/>
    <x v="1"/>
    <x v="8"/>
    <x v="2"/>
    <x v="4"/>
    <x v="1"/>
    <x v="0"/>
  </r>
  <r>
    <x v="29"/>
    <x v="5"/>
    <x v="1"/>
    <x v="50"/>
    <x v="361"/>
    <x v="50"/>
    <x v="1"/>
    <x v="8"/>
    <x v="2"/>
    <x v="4"/>
    <x v="1"/>
    <x v="0"/>
  </r>
  <r>
    <x v="29"/>
    <x v="5"/>
    <x v="1"/>
    <x v="50"/>
    <x v="361"/>
    <x v="51"/>
    <x v="1"/>
    <x v="8"/>
    <x v="2"/>
    <x v="4"/>
    <x v="1"/>
    <x v="0"/>
  </r>
  <r>
    <x v="29"/>
    <x v="5"/>
    <x v="1"/>
    <x v="50"/>
    <x v="361"/>
    <x v="52"/>
    <x v="1"/>
    <x v="8"/>
    <x v="2"/>
    <x v="4"/>
    <x v="1"/>
    <x v="0"/>
  </r>
  <r>
    <x v="29"/>
    <x v="5"/>
    <x v="1"/>
    <x v="50"/>
    <x v="361"/>
    <x v="53"/>
    <x v="1"/>
    <x v="8"/>
    <x v="2"/>
    <x v="4"/>
    <x v="1"/>
    <x v="0"/>
  </r>
  <r>
    <x v="29"/>
    <x v="5"/>
    <x v="1"/>
    <x v="50"/>
    <x v="361"/>
    <x v="54"/>
    <x v="1"/>
    <x v="8"/>
    <x v="2"/>
    <x v="40"/>
    <x v="1"/>
    <x v="0"/>
  </r>
  <r>
    <x v="29"/>
    <x v="5"/>
    <x v="1"/>
    <x v="50"/>
    <x v="361"/>
    <x v="56"/>
    <x v="1"/>
    <x v="8"/>
    <x v="2"/>
    <x v="4"/>
    <x v="1"/>
    <x v="0"/>
  </r>
  <r>
    <x v="29"/>
    <x v="5"/>
    <x v="1"/>
    <x v="50"/>
    <x v="361"/>
    <x v="57"/>
    <x v="1"/>
    <x v="8"/>
    <x v="2"/>
    <x v="4"/>
    <x v="1"/>
    <x v="0"/>
  </r>
  <r>
    <x v="29"/>
    <x v="5"/>
    <x v="1"/>
    <x v="50"/>
    <x v="361"/>
    <x v="58"/>
    <x v="1"/>
    <x v="1"/>
    <x v="2"/>
    <x v="62"/>
    <x v="1"/>
    <x v="0"/>
  </r>
  <r>
    <x v="29"/>
    <x v="5"/>
    <x v="1"/>
    <x v="50"/>
    <x v="361"/>
    <x v="59"/>
    <x v="1"/>
    <x v="1"/>
    <x v="2"/>
    <x v="62"/>
    <x v="1"/>
    <x v="0"/>
  </r>
  <r>
    <x v="29"/>
    <x v="5"/>
    <x v="1"/>
    <x v="50"/>
    <x v="361"/>
    <x v="60"/>
    <x v="1"/>
    <x v="1"/>
    <x v="2"/>
    <x v="62"/>
    <x v="1"/>
    <x v="0"/>
  </r>
  <r>
    <x v="29"/>
    <x v="5"/>
    <x v="1"/>
    <x v="50"/>
    <x v="361"/>
    <x v="115"/>
    <x v="1"/>
    <x v="10"/>
    <x v="2"/>
    <x v="4"/>
    <x v="1"/>
    <x v="1"/>
  </r>
  <r>
    <x v="29"/>
    <x v="5"/>
    <x v="1"/>
    <x v="50"/>
    <x v="361"/>
    <x v="115"/>
    <x v="1"/>
    <x v="10"/>
    <x v="2"/>
    <x v="4"/>
    <x v="1"/>
    <x v="1"/>
  </r>
  <r>
    <x v="29"/>
    <x v="5"/>
    <x v="1"/>
    <x v="50"/>
    <x v="361"/>
    <x v="115"/>
    <x v="1"/>
    <x v="10"/>
    <x v="2"/>
    <x v="4"/>
    <x v="1"/>
    <x v="1"/>
  </r>
  <r>
    <x v="29"/>
    <x v="5"/>
    <x v="1"/>
    <x v="50"/>
    <x v="361"/>
    <x v="116"/>
    <x v="1"/>
    <x v="10"/>
    <x v="2"/>
    <x v="4"/>
    <x v="1"/>
    <x v="0"/>
  </r>
  <r>
    <x v="29"/>
    <x v="5"/>
    <x v="1"/>
    <x v="50"/>
    <x v="361"/>
    <x v="117"/>
    <x v="1"/>
    <x v="10"/>
    <x v="2"/>
    <x v="4"/>
    <x v="1"/>
    <x v="0"/>
  </r>
  <r>
    <x v="29"/>
    <x v="5"/>
    <x v="1"/>
    <x v="50"/>
    <x v="361"/>
    <x v="118"/>
    <x v="1"/>
    <x v="10"/>
    <x v="2"/>
    <x v="4"/>
    <x v="1"/>
    <x v="0"/>
  </r>
  <r>
    <x v="29"/>
    <x v="5"/>
    <x v="1"/>
    <x v="50"/>
    <x v="361"/>
    <x v="119"/>
    <x v="1"/>
    <x v="10"/>
    <x v="2"/>
    <x v="4"/>
    <x v="1"/>
    <x v="0"/>
  </r>
  <r>
    <x v="29"/>
    <x v="5"/>
    <x v="1"/>
    <x v="50"/>
    <x v="361"/>
    <x v="120"/>
    <x v="1"/>
    <x v="10"/>
    <x v="2"/>
    <x v="4"/>
    <x v="1"/>
    <x v="0"/>
  </r>
  <r>
    <x v="29"/>
    <x v="5"/>
    <x v="1"/>
    <x v="50"/>
    <x v="361"/>
    <x v="121"/>
    <x v="1"/>
    <x v="10"/>
    <x v="2"/>
    <x v="4"/>
    <x v="1"/>
    <x v="0"/>
  </r>
  <r>
    <x v="29"/>
    <x v="5"/>
    <x v="1"/>
    <x v="50"/>
    <x v="361"/>
    <x v="122"/>
    <x v="1"/>
    <x v="10"/>
    <x v="2"/>
    <x v="4"/>
    <x v="1"/>
    <x v="0"/>
  </r>
  <r>
    <x v="29"/>
    <x v="5"/>
    <x v="1"/>
    <x v="50"/>
    <x v="361"/>
    <x v="123"/>
    <x v="1"/>
    <x v="10"/>
    <x v="2"/>
    <x v="4"/>
    <x v="1"/>
    <x v="0"/>
  </r>
  <r>
    <x v="29"/>
    <x v="5"/>
    <x v="1"/>
    <x v="50"/>
    <x v="361"/>
    <x v="124"/>
    <x v="1"/>
    <x v="10"/>
    <x v="2"/>
    <x v="4"/>
    <x v="1"/>
    <x v="0"/>
  </r>
  <r>
    <x v="29"/>
    <x v="5"/>
    <x v="1"/>
    <x v="50"/>
    <x v="361"/>
    <x v="125"/>
    <x v="1"/>
    <x v="5"/>
    <x v="2"/>
    <x v="48"/>
    <x v="1"/>
    <x v="0"/>
  </r>
  <r>
    <x v="29"/>
    <x v="5"/>
    <x v="1"/>
    <x v="50"/>
    <x v="361"/>
    <x v="126"/>
    <x v="1"/>
    <x v="5"/>
    <x v="2"/>
    <x v="59"/>
    <x v="1"/>
    <x v="0"/>
  </r>
  <r>
    <x v="29"/>
    <x v="5"/>
    <x v="1"/>
    <x v="50"/>
    <x v="361"/>
    <x v="186"/>
    <x v="1"/>
    <x v="4"/>
    <x v="2"/>
    <x v="62"/>
    <x v="1"/>
    <x v="0"/>
  </r>
  <r>
    <x v="29"/>
    <x v="5"/>
    <x v="1"/>
    <x v="50"/>
    <x v="361"/>
    <x v="192"/>
    <x v="1"/>
    <x v="4"/>
    <x v="2"/>
    <x v="5"/>
    <x v="1"/>
    <x v="0"/>
  </r>
  <r>
    <x v="29"/>
    <x v="5"/>
    <x v="1"/>
    <x v="50"/>
    <x v="361"/>
    <x v="193"/>
    <x v="1"/>
    <x v="4"/>
    <x v="2"/>
    <x v="5"/>
    <x v="1"/>
    <x v="0"/>
  </r>
  <r>
    <x v="29"/>
    <x v="5"/>
    <x v="1"/>
    <x v="50"/>
    <x v="361"/>
    <x v="212"/>
    <x v="1"/>
    <x v="3"/>
    <x v="2"/>
    <x v="62"/>
    <x v="1"/>
    <x v="0"/>
  </r>
  <r>
    <x v="29"/>
    <x v="5"/>
    <x v="1"/>
    <x v="50"/>
    <x v="361"/>
    <x v="214"/>
    <x v="1"/>
    <x v="3"/>
    <x v="2"/>
    <x v="62"/>
    <x v="1"/>
    <x v="0"/>
  </r>
  <r>
    <x v="29"/>
    <x v="5"/>
    <x v="1"/>
    <x v="50"/>
    <x v="361"/>
    <x v="221"/>
    <x v="1"/>
    <x v="3"/>
    <x v="2"/>
    <x v="62"/>
    <x v="1"/>
    <x v="0"/>
  </r>
  <r>
    <x v="29"/>
    <x v="5"/>
    <x v="1"/>
    <x v="50"/>
    <x v="361"/>
    <x v="222"/>
    <x v="1"/>
    <x v="3"/>
    <x v="2"/>
    <x v="6"/>
    <x v="1"/>
    <x v="0"/>
  </r>
  <r>
    <x v="29"/>
    <x v="5"/>
    <x v="1"/>
    <x v="50"/>
    <x v="361"/>
    <x v="236"/>
    <x v="1"/>
    <x v="5"/>
    <x v="2"/>
    <x v="62"/>
    <x v="1"/>
    <x v="0"/>
  </r>
  <r>
    <x v="29"/>
    <x v="5"/>
    <x v="1"/>
    <x v="50"/>
    <x v="361"/>
    <x v="237"/>
    <x v="1"/>
    <x v="5"/>
    <x v="2"/>
    <x v="62"/>
    <x v="1"/>
    <x v="0"/>
  </r>
  <r>
    <x v="29"/>
    <x v="5"/>
    <x v="1"/>
    <x v="50"/>
    <x v="361"/>
    <x v="253"/>
    <x v="1"/>
    <x v="2"/>
    <x v="2"/>
    <x v="62"/>
    <x v="1"/>
    <x v="0"/>
  </r>
  <r>
    <x v="29"/>
    <x v="5"/>
    <x v="1"/>
    <x v="50"/>
    <x v="361"/>
    <x v="254"/>
    <x v="1"/>
    <x v="2"/>
    <x v="2"/>
    <x v="62"/>
    <x v="1"/>
    <x v="0"/>
  </r>
  <r>
    <x v="29"/>
    <x v="5"/>
    <x v="1"/>
    <x v="50"/>
    <x v="361"/>
    <x v="255"/>
    <x v="1"/>
    <x v="2"/>
    <x v="2"/>
    <x v="5"/>
    <x v="1"/>
    <x v="0"/>
  </r>
  <r>
    <x v="29"/>
    <x v="5"/>
    <x v="1"/>
    <x v="50"/>
    <x v="361"/>
    <x v="256"/>
    <x v="1"/>
    <x v="2"/>
    <x v="2"/>
    <x v="5"/>
    <x v="1"/>
    <x v="0"/>
  </r>
  <r>
    <x v="29"/>
    <x v="5"/>
    <x v="1"/>
    <x v="50"/>
    <x v="361"/>
    <x v="257"/>
    <x v="1"/>
    <x v="2"/>
    <x v="2"/>
    <x v="62"/>
    <x v="1"/>
    <x v="0"/>
  </r>
  <r>
    <x v="29"/>
    <x v="5"/>
    <x v="1"/>
    <x v="50"/>
    <x v="361"/>
    <x v="351"/>
    <x v="1"/>
    <x v="1"/>
    <x v="2"/>
    <x v="62"/>
    <x v="1"/>
    <x v="0"/>
  </r>
  <r>
    <x v="29"/>
    <x v="5"/>
    <x v="1"/>
    <x v="50"/>
    <x v="361"/>
    <x v="352"/>
    <x v="1"/>
    <x v="1"/>
    <x v="2"/>
    <x v="62"/>
    <x v="1"/>
    <x v="0"/>
  </r>
  <r>
    <x v="29"/>
    <x v="5"/>
    <x v="1"/>
    <x v="50"/>
    <x v="361"/>
    <x v="353"/>
    <x v="1"/>
    <x v="1"/>
    <x v="2"/>
    <x v="62"/>
    <x v="1"/>
    <x v="0"/>
  </r>
  <r>
    <x v="29"/>
    <x v="5"/>
    <x v="1"/>
    <x v="50"/>
    <x v="361"/>
    <x v="354"/>
    <x v="1"/>
    <x v="1"/>
    <x v="2"/>
    <x v="62"/>
    <x v="1"/>
    <x v="0"/>
  </r>
  <r>
    <x v="29"/>
    <x v="5"/>
    <x v="1"/>
    <x v="50"/>
    <x v="361"/>
    <x v="378"/>
    <x v="1"/>
    <x v="15"/>
    <x v="2"/>
    <x v="62"/>
    <x v="1"/>
    <x v="0"/>
  </r>
  <r>
    <x v="29"/>
    <x v="5"/>
    <x v="1"/>
    <x v="50"/>
    <x v="361"/>
    <x v="379"/>
    <x v="1"/>
    <x v="15"/>
    <x v="2"/>
    <x v="62"/>
    <x v="1"/>
    <x v="0"/>
  </r>
  <r>
    <x v="29"/>
    <x v="5"/>
    <x v="1"/>
    <x v="50"/>
    <x v="361"/>
    <x v="383"/>
    <x v="1"/>
    <x v="0"/>
    <x v="2"/>
    <x v="62"/>
    <x v="1"/>
    <x v="0"/>
  </r>
  <r>
    <x v="29"/>
    <x v="5"/>
    <x v="1"/>
    <x v="50"/>
    <x v="361"/>
    <x v="406"/>
    <x v="1"/>
    <x v="9"/>
    <x v="2"/>
    <x v="62"/>
    <x v="1"/>
    <x v="0"/>
  </r>
  <r>
    <x v="29"/>
    <x v="5"/>
    <x v="1"/>
    <x v="50"/>
    <x v="361"/>
    <x v="407"/>
    <x v="1"/>
    <x v="9"/>
    <x v="2"/>
    <x v="62"/>
    <x v="1"/>
    <x v="0"/>
  </r>
  <r>
    <x v="29"/>
    <x v="5"/>
    <x v="1"/>
    <x v="50"/>
    <x v="361"/>
    <x v="420"/>
    <x v="1"/>
    <x v="11"/>
    <x v="2"/>
    <x v="62"/>
    <x v="1"/>
    <x v="0"/>
  </r>
  <r>
    <x v="29"/>
    <x v="5"/>
    <x v="1"/>
    <x v="50"/>
    <x v="361"/>
    <x v="148"/>
    <x v="1"/>
    <x v="11"/>
    <x v="2"/>
    <x v="62"/>
    <x v="1"/>
    <x v="0"/>
  </r>
  <r>
    <x v="29"/>
    <x v="5"/>
    <x v="1"/>
    <x v="50"/>
    <x v="361"/>
    <x v="149"/>
    <x v="1"/>
    <x v="30"/>
    <x v="4"/>
    <x v="62"/>
    <x v="1"/>
    <x v="1"/>
  </r>
  <r>
    <x v="29"/>
    <x v="5"/>
    <x v="1"/>
    <x v="50"/>
    <x v="361"/>
    <x v="149"/>
    <x v="1"/>
    <x v="30"/>
    <x v="4"/>
    <x v="62"/>
    <x v="1"/>
    <x v="1"/>
  </r>
  <r>
    <x v="29"/>
    <x v="5"/>
    <x v="1"/>
    <x v="50"/>
    <x v="361"/>
    <x v="149"/>
    <x v="1"/>
    <x v="11"/>
    <x v="2"/>
    <x v="62"/>
    <x v="1"/>
    <x v="1"/>
  </r>
  <r>
    <x v="29"/>
    <x v="5"/>
    <x v="1"/>
    <x v="50"/>
    <x v="361"/>
    <x v="151"/>
    <x v="1"/>
    <x v="11"/>
    <x v="2"/>
    <x v="19"/>
    <x v="1"/>
    <x v="0"/>
  </r>
  <r>
    <x v="29"/>
    <x v="5"/>
    <x v="1"/>
    <x v="50"/>
    <x v="361"/>
    <x v="152"/>
    <x v="1"/>
    <x v="11"/>
    <x v="2"/>
    <x v="62"/>
    <x v="1"/>
    <x v="0"/>
  </r>
  <r>
    <x v="29"/>
    <x v="5"/>
    <x v="1"/>
    <x v="50"/>
    <x v="361"/>
    <x v="153"/>
    <x v="1"/>
    <x v="11"/>
    <x v="2"/>
    <x v="8"/>
    <x v="1"/>
    <x v="0"/>
  </r>
  <r>
    <x v="29"/>
    <x v="5"/>
    <x v="1"/>
    <x v="50"/>
    <x v="361"/>
    <x v="150"/>
    <x v="1"/>
    <x v="11"/>
    <x v="2"/>
    <x v="29"/>
    <x v="1"/>
    <x v="1"/>
  </r>
  <r>
    <x v="29"/>
    <x v="5"/>
    <x v="1"/>
    <x v="50"/>
    <x v="361"/>
    <x v="150"/>
    <x v="1"/>
    <x v="11"/>
    <x v="2"/>
    <x v="29"/>
    <x v="1"/>
    <x v="1"/>
  </r>
  <r>
    <x v="29"/>
    <x v="5"/>
    <x v="1"/>
    <x v="50"/>
    <x v="361"/>
    <x v="150"/>
    <x v="1"/>
    <x v="11"/>
    <x v="2"/>
    <x v="29"/>
    <x v="1"/>
    <x v="1"/>
  </r>
  <r>
    <x v="29"/>
    <x v="5"/>
    <x v="1"/>
    <x v="50"/>
    <x v="361"/>
    <x v="154"/>
    <x v="1"/>
    <x v="11"/>
    <x v="2"/>
    <x v="10"/>
    <x v="1"/>
    <x v="0"/>
  </r>
  <r>
    <x v="29"/>
    <x v="5"/>
    <x v="1"/>
    <x v="50"/>
    <x v="361"/>
    <x v="165"/>
    <x v="1"/>
    <x v="7"/>
    <x v="2"/>
    <x v="50"/>
    <x v="1"/>
    <x v="0"/>
  </r>
  <r>
    <x v="29"/>
    <x v="5"/>
    <x v="1"/>
    <x v="50"/>
    <x v="361"/>
    <x v="166"/>
    <x v="1"/>
    <x v="7"/>
    <x v="2"/>
    <x v="62"/>
    <x v="1"/>
    <x v="0"/>
  </r>
  <r>
    <x v="29"/>
    <x v="5"/>
    <x v="1"/>
    <x v="50"/>
    <x v="361"/>
    <x v="167"/>
    <x v="1"/>
    <x v="7"/>
    <x v="2"/>
    <x v="62"/>
    <x v="1"/>
    <x v="0"/>
  </r>
  <r>
    <x v="29"/>
    <x v="5"/>
    <x v="1"/>
    <x v="50"/>
    <x v="361"/>
    <x v="168"/>
    <x v="1"/>
    <x v="7"/>
    <x v="2"/>
    <x v="62"/>
    <x v="1"/>
    <x v="0"/>
  </r>
  <r>
    <x v="29"/>
    <x v="5"/>
    <x v="1"/>
    <x v="50"/>
    <x v="361"/>
    <x v="169"/>
    <x v="1"/>
    <x v="7"/>
    <x v="2"/>
    <x v="9"/>
    <x v="1"/>
    <x v="0"/>
  </r>
  <r>
    <x v="29"/>
    <x v="5"/>
    <x v="1"/>
    <x v="50"/>
    <x v="361"/>
    <x v="180"/>
    <x v="1"/>
    <x v="7"/>
    <x v="2"/>
    <x v="62"/>
    <x v="1"/>
    <x v="0"/>
  </r>
  <r>
    <x v="29"/>
    <x v="5"/>
    <x v="1"/>
    <x v="50"/>
    <x v="361"/>
    <x v="210"/>
    <x v="1"/>
    <x v="13"/>
    <x v="2"/>
    <x v="62"/>
    <x v="1"/>
    <x v="0"/>
  </r>
  <r>
    <x v="29"/>
    <x v="5"/>
    <x v="1"/>
    <x v="50"/>
    <x v="361"/>
    <x v="213"/>
    <x v="1"/>
    <x v="13"/>
    <x v="2"/>
    <x v="62"/>
    <x v="1"/>
    <x v="0"/>
  </r>
  <r>
    <x v="29"/>
    <x v="5"/>
    <x v="1"/>
    <x v="50"/>
    <x v="361"/>
    <x v="215"/>
    <x v="1"/>
    <x v="13"/>
    <x v="2"/>
    <x v="62"/>
    <x v="1"/>
    <x v="0"/>
  </r>
  <r>
    <x v="29"/>
    <x v="5"/>
    <x v="1"/>
    <x v="50"/>
    <x v="361"/>
    <x v="233"/>
    <x v="1"/>
    <x v="16"/>
    <x v="2"/>
    <x v="62"/>
    <x v="1"/>
    <x v="0"/>
  </r>
  <r>
    <x v="29"/>
    <x v="5"/>
    <x v="1"/>
    <x v="50"/>
    <x v="361"/>
    <x v="235"/>
    <x v="1"/>
    <x v="16"/>
    <x v="2"/>
    <x v="44"/>
    <x v="1"/>
    <x v="0"/>
  </r>
  <r>
    <x v="29"/>
    <x v="5"/>
    <x v="1"/>
    <x v="50"/>
    <x v="361"/>
    <x v="234"/>
    <x v="1"/>
    <x v="16"/>
    <x v="2"/>
    <x v="38"/>
    <x v="1"/>
    <x v="1"/>
  </r>
  <r>
    <x v="29"/>
    <x v="5"/>
    <x v="1"/>
    <x v="50"/>
    <x v="361"/>
    <x v="234"/>
    <x v="1"/>
    <x v="16"/>
    <x v="2"/>
    <x v="38"/>
    <x v="1"/>
    <x v="1"/>
  </r>
  <r>
    <x v="29"/>
    <x v="5"/>
    <x v="1"/>
    <x v="50"/>
    <x v="361"/>
    <x v="234"/>
    <x v="1"/>
    <x v="16"/>
    <x v="2"/>
    <x v="38"/>
    <x v="1"/>
    <x v="1"/>
  </r>
  <r>
    <x v="29"/>
    <x v="5"/>
    <x v="1"/>
    <x v="50"/>
    <x v="361"/>
    <x v="268"/>
    <x v="1"/>
    <x v="11"/>
    <x v="2"/>
    <x v="45"/>
    <x v="1"/>
    <x v="0"/>
  </r>
  <r>
    <x v="29"/>
    <x v="5"/>
    <x v="1"/>
    <x v="50"/>
    <x v="361"/>
    <x v="279"/>
    <x v="1"/>
    <x v="11"/>
    <x v="2"/>
    <x v="25"/>
    <x v="1"/>
    <x v="0"/>
  </r>
  <r>
    <x v="29"/>
    <x v="5"/>
    <x v="1"/>
    <x v="50"/>
    <x v="361"/>
    <x v="281"/>
    <x v="1"/>
    <x v="11"/>
    <x v="2"/>
    <x v="21"/>
    <x v="1"/>
    <x v="0"/>
  </r>
  <r>
    <x v="29"/>
    <x v="5"/>
    <x v="1"/>
    <x v="50"/>
    <x v="361"/>
    <x v="280"/>
    <x v="1"/>
    <x v="11"/>
    <x v="2"/>
    <x v="21"/>
    <x v="1"/>
    <x v="1"/>
  </r>
  <r>
    <x v="29"/>
    <x v="5"/>
    <x v="1"/>
    <x v="50"/>
    <x v="361"/>
    <x v="280"/>
    <x v="1"/>
    <x v="11"/>
    <x v="2"/>
    <x v="21"/>
    <x v="1"/>
    <x v="1"/>
  </r>
  <r>
    <x v="29"/>
    <x v="5"/>
    <x v="1"/>
    <x v="50"/>
    <x v="361"/>
    <x v="280"/>
    <x v="1"/>
    <x v="11"/>
    <x v="2"/>
    <x v="21"/>
    <x v="1"/>
    <x v="1"/>
  </r>
  <r>
    <x v="29"/>
    <x v="5"/>
    <x v="1"/>
    <x v="50"/>
    <x v="361"/>
    <x v="282"/>
    <x v="1"/>
    <x v="11"/>
    <x v="2"/>
    <x v="44"/>
    <x v="1"/>
    <x v="0"/>
  </r>
  <r>
    <x v="29"/>
    <x v="5"/>
    <x v="1"/>
    <x v="50"/>
    <x v="361"/>
    <x v="283"/>
    <x v="1"/>
    <x v="16"/>
    <x v="2"/>
    <x v="33"/>
    <x v="1"/>
    <x v="0"/>
  </r>
  <r>
    <x v="29"/>
    <x v="5"/>
    <x v="1"/>
    <x v="50"/>
    <x v="361"/>
    <x v="284"/>
    <x v="1"/>
    <x v="16"/>
    <x v="2"/>
    <x v="62"/>
    <x v="1"/>
    <x v="0"/>
  </r>
  <r>
    <x v="29"/>
    <x v="5"/>
    <x v="1"/>
    <x v="50"/>
    <x v="361"/>
    <x v="285"/>
    <x v="1"/>
    <x v="16"/>
    <x v="2"/>
    <x v="38"/>
    <x v="1"/>
    <x v="0"/>
  </r>
  <r>
    <x v="29"/>
    <x v="5"/>
    <x v="1"/>
    <x v="50"/>
    <x v="361"/>
    <x v="286"/>
    <x v="1"/>
    <x v="16"/>
    <x v="2"/>
    <x v="41"/>
    <x v="1"/>
    <x v="0"/>
  </r>
  <r>
    <x v="29"/>
    <x v="5"/>
    <x v="1"/>
    <x v="50"/>
    <x v="361"/>
    <x v="374"/>
    <x v="1"/>
    <x v="15"/>
    <x v="2"/>
    <x v="50"/>
    <x v="1"/>
    <x v="0"/>
  </r>
  <r>
    <x v="29"/>
    <x v="5"/>
    <x v="1"/>
    <x v="50"/>
    <x v="361"/>
    <x v="375"/>
    <x v="1"/>
    <x v="15"/>
    <x v="2"/>
    <x v="33"/>
    <x v="1"/>
    <x v="1"/>
  </r>
  <r>
    <x v="29"/>
    <x v="5"/>
    <x v="1"/>
    <x v="50"/>
    <x v="361"/>
    <x v="375"/>
    <x v="1"/>
    <x v="15"/>
    <x v="2"/>
    <x v="33"/>
    <x v="1"/>
    <x v="1"/>
  </r>
  <r>
    <x v="29"/>
    <x v="5"/>
    <x v="1"/>
    <x v="50"/>
    <x v="361"/>
    <x v="375"/>
    <x v="1"/>
    <x v="15"/>
    <x v="2"/>
    <x v="33"/>
    <x v="1"/>
    <x v="1"/>
  </r>
  <r>
    <x v="29"/>
    <x v="5"/>
    <x v="1"/>
    <x v="50"/>
    <x v="361"/>
    <x v="376"/>
    <x v="1"/>
    <x v="15"/>
    <x v="2"/>
    <x v="62"/>
    <x v="1"/>
    <x v="0"/>
  </r>
  <r>
    <x v="29"/>
    <x v="5"/>
    <x v="1"/>
    <x v="50"/>
    <x v="361"/>
    <x v="377"/>
    <x v="1"/>
    <x v="15"/>
    <x v="2"/>
    <x v="62"/>
    <x v="1"/>
    <x v="0"/>
  </r>
  <r>
    <x v="29"/>
    <x v="5"/>
    <x v="1"/>
    <x v="50"/>
    <x v="361"/>
    <x v="378"/>
    <x v="1"/>
    <x v="15"/>
    <x v="2"/>
    <x v="62"/>
    <x v="1"/>
    <x v="0"/>
  </r>
  <r>
    <x v="29"/>
    <x v="5"/>
    <x v="1"/>
    <x v="50"/>
    <x v="361"/>
    <x v="379"/>
    <x v="1"/>
    <x v="15"/>
    <x v="2"/>
    <x v="62"/>
    <x v="1"/>
    <x v="0"/>
  </r>
  <r>
    <x v="29"/>
    <x v="5"/>
    <x v="1"/>
    <x v="50"/>
    <x v="361"/>
    <x v="394"/>
    <x v="1"/>
    <x v="9"/>
    <x v="2"/>
    <x v="62"/>
    <x v="1"/>
    <x v="1"/>
  </r>
  <r>
    <x v="29"/>
    <x v="5"/>
    <x v="1"/>
    <x v="50"/>
    <x v="361"/>
    <x v="394"/>
    <x v="1"/>
    <x v="9"/>
    <x v="2"/>
    <x v="62"/>
    <x v="1"/>
    <x v="1"/>
  </r>
  <r>
    <x v="29"/>
    <x v="5"/>
    <x v="1"/>
    <x v="50"/>
    <x v="361"/>
    <x v="394"/>
    <x v="1"/>
    <x v="9"/>
    <x v="2"/>
    <x v="62"/>
    <x v="1"/>
    <x v="1"/>
  </r>
  <r>
    <x v="29"/>
    <x v="5"/>
    <x v="1"/>
    <x v="50"/>
    <x v="361"/>
    <x v="395"/>
    <x v="1"/>
    <x v="9"/>
    <x v="2"/>
    <x v="43"/>
    <x v="1"/>
    <x v="1"/>
  </r>
  <r>
    <x v="29"/>
    <x v="5"/>
    <x v="1"/>
    <x v="50"/>
    <x v="361"/>
    <x v="395"/>
    <x v="1"/>
    <x v="9"/>
    <x v="2"/>
    <x v="43"/>
    <x v="1"/>
    <x v="1"/>
  </r>
  <r>
    <x v="29"/>
    <x v="5"/>
    <x v="1"/>
    <x v="50"/>
    <x v="361"/>
    <x v="395"/>
    <x v="1"/>
    <x v="9"/>
    <x v="2"/>
    <x v="43"/>
    <x v="1"/>
    <x v="1"/>
  </r>
  <r>
    <x v="29"/>
    <x v="5"/>
    <x v="1"/>
    <x v="50"/>
    <x v="361"/>
    <x v="381"/>
    <x v="1"/>
    <x v="9"/>
    <x v="2"/>
    <x v="51"/>
    <x v="1"/>
    <x v="0"/>
  </r>
  <r>
    <x v="29"/>
    <x v="5"/>
    <x v="1"/>
    <x v="50"/>
    <x v="361"/>
    <x v="405"/>
    <x v="1"/>
    <x v="9"/>
    <x v="2"/>
    <x v="62"/>
    <x v="1"/>
    <x v="0"/>
  </r>
  <r>
    <x v="29"/>
    <x v="5"/>
    <x v="1"/>
    <x v="50"/>
    <x v="361"/>
    <x v="423"/>
    <x v="1"/>
    <x v="11"/>
    <x v="2"/>
    <x v="62"/>
    <x v="1"/>
    <x v="0"/>
  </r>
  <r>
    <x v="29"/>
    <x v="5"/>
    <x v="1"/>
    <x v="50"/>
    <x v="361"/>
    <x v="424"/>
    <x v="1"/>
    <x v="11"/>
    <x v="2"/>
    <x v="62"/>
    <x v="1"/>
    <x v="0"/>
  </r>
  <r>
    <x v="29"/>
    <x v="5"/>
    <x v="1"/>
    <x v="50"/>
    <x v="361"/>
    <x v="421"/>
    <x v="1"/>
    <x v="11"/>
    <x v="2"/>
    <x v="62"/>
    <x v="1"/>
    <x v="1"/>
  </r>
  <r>
    <x v="29"/>
    <x v="5"/>
    <x v="1"/>
    <x v="50"/>
    <x v="361"/>
    <x v="421"/>
    <x v="1"/>
    <x v="11"/>
    <x v="2"/>
    <x v="62"/>
    <x v="1"/>
    <x v="1"/>
  </r>
  <r>
    <x v="29"/>
    <x v="5"/>
    <x v="1"/>
    <x v="50"/>
    <x v="361"/>
    <x v="421"/>
    <x v="1"/>
    <x v="11"/>
    <x v="2"/>
    <x v="62"/>
    <x v="1"/>
    <x v="1"/>
  </r>
  <r>
    <x v="29"/>
    <x v="5"/>
    <x v="1"/>
    <x v="50"/>
    <x v="361"/>
    <x v="425"/>
    <x v="1"/>
    <x v="11"/>
    <x v="2"/>
    <x v="62"/>
    <x v="1"/>
    <x v="0"/>
  </r>
  <r>
    <x v="29"/>
    <x v="5"/>
    <x v="1"/>
    <x v="50"/>
    <x v="361"/>
    <x v="437"/>
    <x v="1"/>
    <x v="11"/>
    <x v="2"/>
    <x v="62"/>
    <x v="1"/>
    <x v="0"/>
  </r>
  <r>
    <x v="29"/>
    <x v="5"/>
    <x v="1"/>
    <x v="50"/>
    <x v="361"/>
    <x v="449"/>
    <x v="1"/>
    <x v="14"/>
    <x v="2"/>
    <x v="62"/>
    <x v="1"/>
    <x v="0"/>
  </r>
  <r>
    <x v="29"/>
    <x v="5"/>
    <x v="1"/>
    <x v="50"/>
    <x v="361"/>
    <x v="422"/>
    <x v="1"/>
    <x v="11"/>
    <x v="4"/>
    <x v="62"/>
    <x v="1"/>
    <x v="1"/>
  </r>
  <r>
    <x v="29"/>
    <x v="5"/>
    <x v="1"/>
    <x v="50"/>
    <x v="361"/>
    <x v="422"/>
    <x v="1"/>
    <x v="11"/>
    <x v="4"/>
    <x v="62"/>
    <x v="1"/>
    <x v="1"/>
  </r>
  <r>
    <x v="29"/>
    <x v="5"/>
    <x v="1"/>
    <x v="50"/>
    <x v="361"/>
    <x v="422"/>
    <x v="1"/>
    <x v="11"/>
    <x v="4"/>
    <x v="62"/>
    <x v="1"/>
    <x v="1"/>
  </r>
  <r>
    <x v="29"/>
    <x v="5"/>
    <x v="1"/>
    <x v="50"/>
    <x v="1"/>
    <x v="450"/>
    <x v="1"/>
    <x v="14"/>
    <x v="2"/>
    <x v="62"/>
    <x v="1"/>
    <x v="0"/>
  </r>
  <r>
    <x v="29"/>
    <x v="5"/>
    <x v="1"/>
    <x v="50"/>
    <x v="1"/>
    <x v="452"/>
    <x v="1"/>
    <x v="30"/>
    <x v="4"/>
    <x v="62"/>
    <x v="1"/>
    <x v="0"/>
  </r>
  <r>
    <x v="29"/>
    <x v="5"/>
    <x v="1"/>
    <x v="50"/>
    <x v="1"/>
    <x v="452"/>
    <x v="1"/>
    <x v="30"/>
    <x v="4"/>
    <x v="62"/>
    <x v="1"/>
    <x v="0"/>
  </r>
  <r>
    <x v="29"/>
    <x v="5"/>
    <x v="1"/>
    <x v="50"/>
    <x v="1"/>
    <x v="452"/>
    <x v="1"/>
    <x v="14"/>
    <x v="2"/>
    <x v="62"/>
    <x v="1"/>
    <x v="0"/>
  </r>
  <r>
    <x v="29"/>
    <x v="5"/>
    <x v="1"/>
    <x v="50"/>
    <x v="1"/>
    <x v="453"/>
    <x v="1"/>
    <x v="14"/>
    <x v="2"/>
    <x v="50"/>
    <x v="1"/>
    <x v="0"/>
  </r>
  <r>
    <x v="29"/>
    <x v="5"/>
    <x v="1"/>
    <x v="50"/>
    <x v="1"/>
    <x v="451"/>
    <x v="1"/>
    <x v="14"/>
    <x v="2"/>
    <x v="50"/>
    <x v="1"/>
    <x v="1"/>
  </r>
  <r>
    <x v="29"/>
    <x v="5"/>
    <x v="1"/>
    <x v="50"/>
    <x v="1"/>
    <x v="451"/>
    <x v="1"/>
    <x v="14"/>
    <x v="2"/>
    <x v="50"/>
    <x v="1"/>
    <x v="1"/>
  </r>
  <r>
    <x v="29"/>
    <x v="5"/>
    <x v="1"/>
    <x v="50"/>
    <x v="1"/>
    <x v="451"/>
    <x v="1"/>
    <x v="14"/>
    <x v="2"/>
    <x v="62"/>
    <x v="1"/>
    <x v="1"/>
  </r>
  <r>
    <x v="29"/>
    <x v="5"/>
    <x v="1"/>
    <x v="50"/>
    <x v="1"/>
    <x v="454"/>
    <x v="1"/>
    <x v="14"/>
    <x v="2"/>
    <x v="62"/>
    <x v="1"/>
    <x v="0"/>
  </r>
  <r>
    <x v="29"/>
    <x v="5"/>
    <x v="1"/>
    <x v="50"/>
    <x v="1"/>
    <x v="455"/>
    <x v="1"/>
    <x v="14"/>
    <x v="2"/>
    <x v="62"/>
    <x v="1"/>
    <x v="0"/>
  </r>
  <r>
    <x v="29"/>
    <x v="5"/>
    <x v="1"/>
    <x v="50"/>
    <x v="1"/>
    <x v="456"/>
    <x v="1"/>
    <x v="14"/>
    <x v="2"/>
    <x v="62"/>
    <x v="1"/>
    <x v="0"/>
  </r>
  <r>
    <x v="29"/>
    <x v="5"/>
    <x v="1"/>
    <x v="50"/>
    <x v="1"/>
    <x v="457"/>
    <x v="1"/>
    <x v="14"/>
    <x v="2"/>
    <x v="62"/>
    <x v="1"/>
    <x v="0"/>
  </r>
  <r>
    <x v="29"/>
    <x v="5"/>
    <x v="1"/>
    <x v="50"/>
    <x v="1"/>
    <x v="458"/>
    <x v="1"/>
    <x v="14"/>
    <x v="2"/>
    <x v="62"/>
    <x v="1"/>
    <x v="0"/>
  </r>
  <r>
    <x v="1"/>
    <x v="4"/>
    <x v="1"/>
    <x v="50"/>
    <x v="41"/>
    <x v="55"/>
    <x v="0"/>
    <x v="8"/>
    <x v="2"/>
    <x v="62"/>
    <x v="1"/>
    <x v="1"/>
  </r>
  <r>
    <x v="1"/>
    <x v="4"/>
    <x v="1"/>
    <x v="50"/>
    <x v="41"/>
    <x v="55"/>
    <x v="0"/>
    <x v="8"/>
    <x v="2"/>
    <x v="62"/>
    <x v="1"/>
    <x v="1"/>
  </r>
  <r>
    <x v="1"/>
    <x v="4"/>
    <x v="1"/>
    <x v="50"/>
    <x v="41"/>
    <x v="55"/>
    <x v="0"/>
    <x v="8"/>
    <x v="2"/>
    <x v="62"/>
    <x v="1"/>
    <x v="1"/>
  </r>
  <r>
    <x v="29"/>
    <x v="5"/>
    <x v="1"/>
    <x v="50"/>
    <x v="361"/>
    <x v="470"/>
    <x v="2"/>
    <x v="30"/>
    <x v="4"/>
    <x v="62"/>
    <x v="3"/>
    <x v="5"/>
  </r>
  <r>
    <x v="29"/>
    <x v="5"/>
    <x v="1"/>
    <x v="50"/>
    <x v="361"/>
    <x v="380"/>
    <x v="2"/>
    <x v="30"/>
    <x v="3"/>
    <x v="61"/>
    <x v="2"/>
    <x v="4"/>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Summary_DNA_progress" cacheId="1" applyNumberFormats="0" applyBorderFormats="0" applyFontFormats="0" applyPatternFormats="0" applyAlignmentFormats="0" applyWidthHeightFormats="0" dataCaption="Values" showDrill="1" useAutoFormatting="0" itemPrintTitles="1" indent="0" outline="0" outlineData="0" compact="0" compactData="0">
  <location ref="A1:B24" firstHeaderRow="1" firstDataRow="1" firstDataCol="1"/>
  <pivotFields count="12">
    <pivotField axis="axisRow" dataField="1" compact="0" showAll="0" outline="0">
      <items count="31">
        <item x="0"/>
        <item x="1"/>
        <item h="1" x="2"/>
        <item x="3"/>
        <item x="4"/>
        <item x="5"/>
        <item h="1" x="6"/>
        <item x="7"/>
        <item x="8"/>
        <item x="9"/>
        <item x="10"/>
        <item x="11"/>
        <item x="12"/>
        <item h="1" x="13"/>
        <item x="14"/>
        <item x="15"/>
        <item h="1" x="16"/>
        <item x="17"/>
        <item h="1" x="18"/>
        <item h="1" x="19"/>
        <item x="20"/>
        <item h="1" x="21"/>
        <item x="22"/>
        <item x="23"/>
        <item h="1" x="24"/>
        <item x="25"/>
        <item x="26"/>
        <item x="27"/>
        <item x="28"/>
        <item x="29"/>
        <item t="default"/>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1">
    <field x="0"/>
  </rowFields>
  <rowItems count="23">
    <i>
      <x v="0"/>
    </i>
    <i>
      <x v="1"/>
    </i>
    <i>
      <x v="2"/>
    </i>
    <i>
      <x v="3"/>
    </i>
    <i>
      <x v="4"/>
    </i>
    <i>
      <x v="5"/>
    </i>
    <i>
      <x v="6"/>
    </i>
    <i>
      <x v="7"/>
    </i>
    <i>
      <x v="8"/>
    </i>
    <i>
      <x v="9"/>
    </i>
    <i>
      <x v="10"/>
    </i>
    <i>
      <x v="11"/>
    </i>
    <i>
      <x v="12"/>
    </i>
    <i>
      <x v="13"/>
    </i>
    <i>
      <x v="14"/>
    </i>
    <i>
      <x v="15"/>
    </i>
    <i>
      <x v="16"/>
    </i>
    <i>
      <x v="17"/>
    </i>
    <i>
      <x v="18"/>
    </i>
    <i>
      <x v="19"/>
    </i>
    <i>
      <x v="20"/>
    </i>
    <i>
      <x v="21"/>
    </i>
    <i t="grand">
      <x v="22"/>
    </i>
  </rowItems>
  <colItems count="1">
    <i t="grand">
      <x v="0"/>
    </i>
  </colItems>
  <dataFields count="1">
    <dataField name="Count of Population" fld="0" subtotal="count" numFmtId="164"/>
  </dataFields>
  <pivotTableStyleInfo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17" activeCellId="0" sqref="D17"/>
    </sheetView>
  </sheetViews>
  <sheetFormatPr defaultColWidth="12.6328125" defaultRowHeight="14.25" customHeight="true" zeroHeight="false" outlineLevelRow="0" outlineLevelCol="0"/>
  <cols>
    <col collapsed="false" customWidth="true" hidden="false" outlineLevel="0" max="1" min="1" style="1" width="11.45"/>
    <col collapsed="false" customWidth="true" hidden="false" outlineLevel="0" max="26" min="2" style="1" width="8.63"/>
  </cols>
  <sheetData>
    <row r="1" customFormat="false" ht="13.5" hidden="false" customHeight="true" outlineLevel="0" collapsed="false">
      <c r="A1" s="2" t="s">
        <v>0</v>
      </c>
    </row>
    <row r="2" customFormat="false" ht="13.5" hidden="false" customHeight="true" outlineLevel="0" collapsed="false">
      <c r="A2" s="2" t="s">
        <v>1</v>
      </c>
    </row>
    <row r="3" customFormat="false" ht="13.5" hidden="false" customHeight="true" outlineLevel="0" collapsed="false">
      <c r="A3" s="2" t="s">
        <v>2</v>
      </c>
      <c r="B3" s="3" t="n">
        <f aca="true">TODAY()</f>
        <v>46040</v>
      </c>
    </row>
    <row r="4" customFormat="false" ht="13.5" hidden="false" customHeight="true" outlineLevel="0" collapsed="false"/>
    <row r="5" customFormat="false" ht="13.5" hidden="false" customHeight="true" outlineLevel="0" collapsed="false"/>
    <row r="6" customFormat="false" ht="13.5" hidden="false" customHeight="true" outlineLevel="0" collapsed="false">
      <c r="A6" s="2" t="s">
        <v>3</v>
      </c>
    </row>
    <row r="7" customFormat="false" ht="13.5" hidden="false" customHeight="true" outlineLevel="0" collapsed="false">
      <c r="A7" s="2" t="s">
        <v>4</v>
      </c>
    </row>
    <row r="8" customFormat="false" ht="13.5" hidden="false" customHeight="true" outlineLevel="0" collapsed="false">
      <c r="A8" s="1" t="s">
        <v>5</v>
      </c>
    </row>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1:AK97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5" activePane="bottomLeft" state="frozen"/>
      <selection pane="topLeft" activeCell="A1" activeCellId="0" sqref="A1"/>
      <selection pane="bottomLeft" activeCell="C395" activeCellId="0" sqref="C395"/>
    </sheetView>
  </sheetViews>
  <sheetFormatPr defaultColWidth="12.6328125" defaultRowHeight="14.25" customHeight="true" zeroHeight="false" outlineLevelRow="0" outlineLevelCol="0"/>
  <cols>
    <col collapsed="false" customWidth="true" hidden="false" outlineLevel="0" max="1" min="1" style="1" width="7.63"/>
    <col collapsed="false" customWidth="true" hidden="false" outlineLevel="0" max="2" min="2" style="1" width="11"/>
    <col collapsed="false" customWidth="true" hidden="false" outlineLevel="0" max="4" min="3" style="1" width="7.63"/>
    <col collapsed="false" customWidth="true" hidden="false" outlineLevel="0" max="5" min="5" style="1" width="13.68"/>
    <col collapsed="false" customWidth="true" hidden="false" outlineLevel="0" max="6" min="6" style="1" width="16.39"/>
    <col collapsed="false" customWidth="true" hidden="false" outlineLevel="0" max="7" min="7" style="1" width="9.97"/>
    <col collapsed="false" customWidth="true" hidden="false" outlineLevel="0" max="8" min="8" style="1" width="7.63"/>
    <col collapsed="false" customWidth="true" hidden="false" outlineLevel="0" max="9" min="9" style="1" width="15.03"/>
    <col collapsed="false" customWidth="true" hidden="true" outlineLevel="0" max="10" min="10" style="1" width="12.18"/>
    <col collapsed="false" customWidth="true" hidden="true" outlineLevel="0" max="12" min="11" style="1" width="14.45"/>
    <col collapsed="false" customWidth="true" hidden="true" outlineLevel="0" max="13" min="13" style="1" width="11.45"/>
    <col collapsed="false" customWidth="true" hidden="false" outlineLevel="0" max="14" min="14" style="1" width="13.35"/>
    <col collapsed="false" customWidth="true" hidden="false" outlineLevel="0" max="15" min="15" style="1" width="11.82"/>
    <col collapsed="false" customWidth="true" hidden="false" outlineLevel="0" max="16" min="16" style="1" width="12.46"/>
    <col collapsed="false" customWidth="true" hidden="false" outlineLevel="0" max="17" min="17" style="1" width="13.85"/>
    <col collapsed="false" customWidth="true" hidden="false" outlineLevel="0" max="19" min="19" style="4" width="12.46"/>
    <col collapsed="false" customWidth="true" hidden="false" outlineLevel="0" max="20" min="20" style="1" width="13.35"/>
    <col collapsed="false" customWidth="true" hidden="false" outlineLevel="0" max="21" min="21" style="1" width="9.91"/>
    <col collapsed="false" customWidth="true" hidden="false" outlineLevel="0" max="22" min="22" style="1" width="19.26"/>
    <col collapsed="false" customWidth="true" hidden="false" outlineLevel="0" max="23" min="23" style="1" width="18.93"/>
    <col collapsed="false" customWidth="true" hidden="true" outlineLevel="0" max="25" min="24" style="1" width="7.63"/>
    <col collapsed="false" customWidth="true" hidden="true" outlineLevel="0" max="26" min="26" style="1" width="26.63"/>
    <col collapsed="false" customWidth="true" hidden="false" outlineLevel="0" max="27" min="27" style="1" width="14.18"/>
    <col collapsed="false" customWidth="true" hidden="false" outlineLevel="0" max="28" min="28" style="1" width="12.27"/>
    <col collapsed="false" customWidth="true" hidden="false" outlineLevel="0" max="29" min="29" style="1" width="16.18"/>
    <col collapsed="false" customWidth="true" hidden="false" outlineLevel="0" max="37" min="30" style="1" width="7.63"/>
    <col collapsed="false" customWidth="true" hidden="false" outlineLevel="0" max="16384" min="16383" style="1" width="10.49"/>
  </cols>
  <sheetData>
    <row r="1" customFormat="false" ht="14.25" hidden="false" customHeight="true" outlineLevel="0" collapsed="false">
      <c r="A1" s="5" t="s">
        <v>6</v>
      </c>
      <c r="B1" s="5" t="s">
        <v>7</v>
      </c>
      <c r="C1" s="5" t="s">
        <v>8</v>
      </c>
      <c r="D1" s="5" t="s">
        <v>9</v>
      </c>
      <c r="E1" s="5" t="s">
        <v>10</v>
      </c>
      <c r="F1" s="6" t="s">
        <v>11</v>
      </c>
      <c r="G1" s="6" t="s">
        <v>12</v>
      </c>
      <c r="H1" s="5" t="s">
        <v>13</v>
      </c>
      <c r="I1" s="7" t="s">
        <v>14</v>
      </c>
      <c r="J1" s="5" t="s">
        <v>15</v>
      </c>
      <c r="K1" s="8" t="s">
        <v>16</v>
      </c>
      <c r="L1" s="9" t="s">
        <v>17</v>
      </c>
      <c r="M1" s="8" t="s">
        <v>18</v>
      </c>
      <c r="O1" s="1" t="s">
        <v>14</v>
      </c>
      <c r="P1" s="1" t="s">
        <v>15</v>
      </c>
      <c r="Q1" s="1" t="s">
        <v>16</v>
      </c>
      <c r="R1" s="1" t="s">
        <v>17</v>
      </c>
      <c r="S1" s="4" t="s">
        <v>18</v>
      </c>
      <c r="T1" s="10" t="s">
        <v>19</v>
      </c>
      <c r="U1" s="5" t="s">
        <v>20</v>
      </c>
      <c r="V1" s="10" t="s">
        <v>21</v>
      </c>
      <c r="W1" s="5" t="s">
        <v>22</v>
      </c>
      <c r="X1" s="5" t="s">
        <v>23</v>
      </c>
      <c r="Y1" s="5" t="s">
        <v>24</v>
      </c>
      <c r="Z1" s="5" t="s">
        <v>25</v>
      </c>
      <c r="AA1" s="11" t="s">
        <v>26</v>
      </c>
      <c r="AB1" s="11" t="s">
        <v>27</v>
      </c>
      <c r="AC1" s="11" t="s">
        <v>28</v>
      </c>
      <c r="AD1" s="5" t="s">
        <v>29</v>
      </c>
      <c r="AE1" s="5"/>
      <c r="AF1" s="5"/>
      <c r="AG1" s="5"/>
      <c r="AH1" s="5"/>
      <c r="AI1" s="5"/>
      <c r="AJ1" s="5"/>
      <c r="AK1" s="5"/>
    </row>
    <row r="2" customFormat="false" ht="14.25" hidden="false" customHeight="true" outlineLevel="0" collapsed="false">
      <c r="A2" s="12" t="s">
        <v>30</v>
      </c>
      <c r="B2" s="12" t="s">
        <v>30</v>
      </c>
      <c r="C2" s="13" t="s">
        <v>31</v>
      </c>
      <c r="D2" s="13"/>
      <c r="E2" s="2" t="n">
        <f aca="false">INDEX(FieldSites!F:F, MATCH(Ch2_FieldSurvey!B2,FieldSites!C:C,0))</f>
        <v>1572</v>
      </c>
      <c r="F2" s="2" t="n">
        <f aca="false">INDEX(FieldSites!G:G, MATCH(Ch2_FieldSurvey!B2,FieldSites!C:C,0))</f>
        <v>-119.710152</v>
      </c>
      <c r="G2" s="2" t="n">
        <f aca="false">INDEX(FieldSites!H:H, MATCH(Ch2_FieldSurvey!B2,FieldSites!C:C,0))</f>
        <v>37.700419</v>
      </c>
      <c r="H2" s="12" t="n">
        <v>1</v>
      </c>
      <c r="I2" s="12" t="s">
        <v>32</v>
      </c>
      <c r="J2" s="14" t="n">
        <v>44319</v>
      </c>
      <c r="K2" s="15" t="n">
        <v>0.447222222222222</v>
      </c>
      <c r="L2" s="14" t="n">
        <v>44319</v>
      </c>
      <c r="M2" s="15" t="n">
        <v>0.867361111111111</v>
      </c>
      <c r="O2" s="1" t="s">
        <v>33</v>
      </c>
      <c r="P2" s="16" t="s">
        <v>34</v>
      </c>
      <c r="Q2" s="16" t="s">
        <v>35</v>
      </c>
      <c r="R2" s="16" t="s">
        <v>34</v>
      </c>
      <c r="S2" s="4" t="s">
        <v>36</v>
      </c>
      <c r="T2" s="17" t="n">
        <v>410</v>
      </c>
      <c r="U2" s="12" t="n">
        <v>12.2</v>
      </c>
      <c r="V2" s="17" t="n">
        <v>0.29</v>
      </c>
      <c r="W2" s="2" t="n">
        <v>0.7</v>
      </c>
      <c r="Z2" s="18"/>
      <c r="AA2" s="19" t="n">
        <v>4905717</v>
      </c>
      <c r="AB2" s="19" t="n">
        <v>4908648</v>
      </c>
      <c r="AC2" s="19" t="n">
        <f aca="false">(AB2-AA2)/AB2</f>
        <v>0.000597109428095068</v>
      </c>
    </row>
    <row r="3" customFormat="false" ht="14.25" hidden="false" customHeight="true" outlineLevel="0" collapsed="false">
      <c r="A3" s="12" t="s">
        <v>30</v>
      </c>
      <c r="B3" s="12" t="s">
        <v>30</v>
      </c>
      <c r="C3" s="13" t="s">
        <v>31</v>
      </c>
      <c r="D3" s="13"/>
      <c r="E3" s="2" t="n">
        <f aca="false">INDEX(FieldSites!F:F, MATCH(Ch2_FieldSurvey!B3,FieldSites!C:C,0))</f>
        <v>1572</v>
      </c>
      <c r="F3" s="2" t="n">
        <f aca="false">INDEX(FieldSites!G:G, MATCH(Ch2_FieldSurvey!B3,FieldSites!C:C,0))</f>
        <v>-119.710152</v>
      </c>
      <c r="G3" s="2" t="n">
        <f aca="false">INDEX(FieldSites!H:H, MATCH(Ch2_FieldSurvey!B3,FieldSites!C:C,0))</f>
        <v>37.700419</v>
      </c>
      <c r="H3" s="12" t="n">
        <v>1</v>
      </c>
      <c r="I3" s="12" t="s">
        <v>32</v>
      </c>
      <c r="J3" s="14" t="n">
        <v>44319</v>
      </c>
      <c r="K3" s="15" t="n">
        <v>0.447222222222222</v>
      </c>
      <c r="L3" s="14" t="n">
        <v>44319</v>
      </c>
      <c r="M3" s="15" t="n">
        <v>0.909027777777778</v>
      </c>
      <c r="O3" s="1" t="s">
        <v>33</v>
      </c>
      <c r="P3" s="16" t="s">
        <v>34</v>
      </c>
      <c r="Q3" s="16" t="s">
        <v>35</v>
      </c>
      <c r="R3" s="16" t="s">
        <v>34</v>
      </c>
      <c r="S3" s="4" t="s">
        <v>37</v>
      </c>
      <c r="T3" s="17" t="n">
        <v>620</v>
      </c>
      <c r="U3" s="12" t="n">
        <v>12.2</v>
      </c>
      <c r="V3" s="17" t="n">
        <v>0.46</v>
      </c>
      <c r="W3" s="2" t="n">
        <v>0.4</v>
      </c>
      <c r="Z3" s="18"/>
      <c r="AA3" s="20"/>
      <c r="AB3" s="20"/>
      <c r="AC3" s="20"/>
    </row>
    <row r="4" customFormat="false" ht="14.25" hidden="false" customHeight="true" outlineLevel="0" collapsed="false">
      <c r="A4" s="12" t="s">
        <v>30</v>
      </c>
      <c r="B4" s="12" t="s">
        <v>30</v>
      </c>
      <c r="C4" s="13" t="s">
        <v>31</v>
      </c>
      <c r="D4" s="13"/>
      <c r="E4" s="2" t="n">
        <f aca="false">INDEX(FieldSites!F:F, MATCH(Ch2_FieldSurvey!B4,FieldSites!C:C,0))</f>
        <v>1572</v>
      </c>
      <c r="F4" s="2" t="n">
        <f aca="false">INDEX(FieldSites!G:G, MATCH(Ch2_FieldSurvey!B4,FieldSites!C:C,0))</f>
        <v>-119.710152</v>
      </c>
      <c r="G4" s="2" t="n">
        <f aca="false">INDEX(FieldSites!H:H, MATCH(Ch2_FieldSurvey!B4,FieldSites!C:C,0))</f>
        <v>37.700419</v>
      </c>
      <c r="H4" s="12" t="n">
        <v>1</v>
      </c>
      <c r="I4" s="12" t="s">
        <v>32</v>
      </c>
      <c r="J4" s="14" t="n">
        <v>44319</v>
      </c>
      <c r="K4" s="15" t="n">
        <v>0.447222222222222</v>
      </c>
      <c r="L4" s="14" t="n">
        <v>44319</v>
      </c>
      <c r="M4" s="15" t="n">
        <v>0.950694444444445</v>
      </c>
      <c r="O4" s="1" t="s">
        <v>33</v>
      </c>
      <c r="P4" s="16" t="s">
        <v>34</v>
      </c>
      <c r="Q4" s="16" t="s">
        <v>35</v>
      </c>
      <c r="R4" s="16" t="s">
        <v>34</v>
      </c>
      <c r="S4" s="4" t="s">
        <v>38</v>
      </c>
      <c r="T4" s="17" t="n">
        <v>705</v>
      </c>
      <c r="U4" s="12" t="n">
        <v>12.2</v>
      </c>
      <c r="V4" s="17" t="n">
        <v>0.33</v>
      </c>
      <c r="W4" s="2" t="n">
        <v>0.6</v>
      </c>
      <c r="Z4" s="18"/>
      <c r="AA4" s="20"/>
      <c r="AB4" s="20"/>
      <c r="AC4" s="20"/>
    </row>
    <row r="5" customFormat="false" ht="14.25" hidden="false" customHeight="true" outlineLevel="0" collapsed="false">
      <c r="A5" s="12" t="s">
        <v>39</v>
      </c>
      <c r="B5" s="12" t="s">
        <v>39</v>
      </c>
      <c r="C5" s="13" t="s">
        <v>40</v>
      </c>
      <c r="D5" s="13"/>
      <c r="E5" s="2" t="n">
        <f aca="false">INDEX(FieldSites!F:F, MATCH(Ch2_FieldSurvey!B5,FieldSites!C:C,0))</f>
        <v>1757</v>
      </c>
      <c r="F5" s="2" t="n">
        <f aca="false">INDEX(FieldSites!G:G, MATCH(Ch2_FieldSurvey!B5,FieldSites!C:C,0))</f>
        <v>-119.702719</v>
      </c>
      <c r="G5" s="2" t="n">
        <f aca="false">INDEX(FieldSites!H:H, MATCH(Ch2_FieldSurvey!B5,FieldSites!C:C,0))</f>
        <v>37.698587</v>
      </c>
      <c r="H5" s="12" t="n">
        <v>1</v>
      </c>
      <c r="I5" s="12" t="s">
        <v>41</v>
      </c>
      <c r="J5" s="14" t="n">
        <v>44319</v>
      </c>
      <c r="K5" s="15" t="n">
        <v>0.586111111111111</v>
      </c>
      <c r="L5" s="14" t="n">
        <v>44319</v>
      </c>
      <c r="M5" s="15" t="n">
        <v>0.992361111111111</v>
      </c>
      <c r="O5" s="1" t="s">
        <v>42</v>
      </c>
      <c r="P5" s="16" t="s">
        <v>34</v>
      </c>
      <c r="Q5" s="16" t="s">
        <v>43</v>
      </c>
      <c r="R5" s="16" t="s">
        <v>34</v>
      </c>
      <c r="S5" s="4" t="s">
        <v>44</v>
      </c>
      <c r="T5" s="17" t="n">
        <v>320</v>
      </c>
      <c r="U5" s="12" t="n">
        <v>6.1</v>
      </c>
      <c r="V5" s="17" t="n">
        <v>0.32</v>
      </c>
      <c r="W5" s="2" t="n">
        <v>0.5</v>
      </c>
      <c r="Z5" s="18"/>
      <c r="AA5" s="19" t="n">
        <v>293186</v>
      </c>
      <c r="AB5" s="19" t="n">
        <v>308689</v>
      </c>
      <c r="AC5" s="19" t="n">
        <f aca="false">(AB5-AA5)/AB5</f>
        <v>0.0502220681656943</v>
      </c>
    </row>
    <row r="6" customFormat="false" ht="14.25" hidden="false" customHeight="true" outlineLevel="0" collapsed="false">
      <c r="A6" s="12" t="s">
        <v>39</v>
      </c>
      <c r="B6" s="12" t="s">
        <v>39</v>
      </c>
      <c r="C6" s="13" t="s">
        <v>40</v>
      </c>
      <c r="D6" s="13"/>
      <c r="E6" s="2" t="n">
        <f aca="false">INDEX(FieldSites!F:F, MATCH(Ch2_FieldSurvey!B6,FieldSites!C:C,0))</f>
        <v>1757</v>
      </c>
      <c r="F6" s="2" t="n">
        <f aca="false">INDEX(FieldSites!G:G, MATCH(Ch2_FieldSurvey!B6,FieldSites!C:C,0))</f>
        <v>-119.702719</v>
      </c>
      <c r="G6" s="2" t="n">
        <f aca="false">INDEX(FieldSites!H:H, MATCH(Ch2_FieldSurvey!B6,FieldSites!C:C,0))</f>
        <v>37.698587</v>
      </c>
      <c r="H6" s="12" t="n">
        <v>1</v>
      </c>
      <c r="I6" s="12" t="s">
        <v>41</v>
      </c>
      <c r="J6" s="14" t="n">
        <v>44319</v>
      </c>
      <c r="K6" s="15" t="n">
        <v>0.586111111111111</v>
      </c>
      <c r="L6" s="14" t="n">
        <v>44319</v>
      </c>
      <c r="M6" s="15" t="n">
        <v>1.03402777777778</v>
      </c>
      <c r="O6" s="1" t="s">
        <v>42</v>
      </c>
      <c r="P6" s="16" t="s">
        <v>34</v>
      </c>
      <c r="Q6" s="16" t="s">
        <v>43</v>
      </c>
      <c r="R6" s="16" t="s">
        <v>34</v>
      </c>
      <c r="S6" s="4" t="s">
        <v>45</v>
      </c>
      <c r="T6" s="17" t="n">
        <v>315</v>
      </c>
      <c r="U6" s="12" t="n">
        <v>6.1</v>
      </c>
      <c r="V6" s="17" t="n">
        <v>0.33</v>
      </c>
      <c r="W6" s="2" t="n">
        <v>0.5</v>
      </c>
      <c r="Z6" s="18"/>
      <c r="AA6" s="20"/>
      <c r="AB6" s="20"/>
      <c r="AC6" s="20"/>
    </row>
    <row r="7" customFormat="false" ht="14.25" hidden="false" customHeight="true" outlineLevel="0" collapsed="false">
      <c r="A7" s="12" t="s">
        <v>39</v>
      </c>
      <c r="B7" s="12" t="s">
        <v>39</v>
      </c>
      <c r="C7" s="13" t="s">
        <v>40</v>
      </c>
      <c r="D7" s="13"/>
      <c r="E7" s="2" t="n">
        <f aca="false">INDEX(FieldSites!F:F, MATCH(Ch2_FieldSurvey!B7,FieldSites!C:C,0))</f>
        <v>1757</v>
      </c>
      <c r="F7" s="2" t="n">
        <f aca="false">INDEX(FieldSites!G:G, MATCH(Ch2_FieldSurvey!B7,FieldSites!C:C,0))</f>
        <v>-119.702719</v>
      </c>
      <c r="G7" s="2" t="n">
        <f aca="false">INDEX(FieldSites!H:H, MATCH(Ch2_FieldSurvey!B7,FieldSites!C:C,0))</f>
        <v>37.698587</v>
      </c>
      <c r="H7" s="12" t="n">
        <v>1</v>
      </c>
      <c r="I7" s="12" t="s">
        <v>41</v>
      </c>
      <c r="J7" s="14" t="n">
        <v>44319</v>
      </c>
      <c r="K7" s="15" t="n">
        <v>0.586111111111111</v>
      </c>
      <c r="L7" s="14" t="n">
        <v>44319</v>
      </c>
      <c r="M7" s="15" t="n">
        <v>1.07569444444444</v>
      </c>
      <c r="O7" s="1" t="s">
        <v>42</v>
      </c>
      <c r="P7" s="16" t="s">
        <v>34</v>
      </c>
      <c r="Q7" s="16" t="s">
        <v>43</v>
      </c>
      <c r="R7" s="16" t="s">
        <v>34</v>
      </c>
      <c r="S7" s="4" t="s">
        <v>46</v>
      </c>
      <c r="T7" s="17" t="n">
        <v>342</v>
      </c>
      <c r="U7" s="12" t="n">
        <v>6.1</v>
      </c>
      <c r="V7" s="17" t="n">
        <v>0.3</v>
      </c>
      <c r="W7" s="2" t="n">
        <v>0.8</v>
      </c>
      <c r="Z7" s="18"/>
      <c r="AA7" s="20"/>
      <c r="AB7" s="20"/>
      <c r="AC7" s="20"/>
    </row>
    <row r="8" customFormat="false" ht="14.25" hidden="false" customHeight="true" outlineLevel="0" collapsed="false">
      <c r="A8" s="12" t="s">
        <v>39</v>
      </c>
      <c r="B8" s="12" t="s">
        <v>39</v>
      </c>
      <c r="C8" s="12" t="s">
        <v>40</v>
      </c>
      <c r="D8" s="13"/>
      <c r="E8" s="2" t="n">
        <f aca="false">INDEX(FieldSites!F:F, MATCH(Ch2_FieldSurvey!B8,FieldSites!C:C,0))</f>
        <v>1757</v>
      </c>
      <c r="F8" s="2" t="n">
        <f aca="false">INDEX(FieldSites!G:G, MATCH(Ch2_FieldSurvey!B8,FieldSites!C:C,0))</f>
        <v>-119.702719</v>
      </c>
      <c r="G8" s="2" t="n">
        <f aca="false">INDEX(FieldSites!H:H, MATCH(Ch2_FieldSurvey!B8,FieldSites!C:C,0))</f>
        <v>37.698587</v>
      </c>
      <c r="H8" s="12"/>
      <c r="I8" s="12" t="s">
        <v>47</v>
      </c>
      <c r="J8" s="14"/>
      <c r="K8" s="15"/>
      <c r="L8" s="14"/>
      <c r="M8" s="15"/>
      <c r="O8" s="1" t="s">
        <v>48</v>
      </c>
      <c r="T8" s="17"/>
      <c r="U8" s="12"/>
      <c r="V8" s="17"/>
      <c r="Z8" s="18"/>
      <c r="AA8" s="19" t="n">
        <v>131604</v>
      </c>
      <c r="AB8" s="19" t="n">
        <v>145131</v>
      </c>
      <c r="AC8" s="19" t="n">
        <f aca="false">(AB8-AA8)/AB8</f>
        <v>0.0932054488703309</v>
      </c>
    </row>
    <row r="9" customFormat="false" ht="14.25" hidden="false" customHeight="true" outlineLevel="0" collapsed="false">
      <c r="A9" s="18" t="s">
        <v>49</v>
      </c>
      <c r="B9" s="18" t="s">
        <v>49</v>
      </c>
      <c r="C9" s="18" t="s">
        <v>40</v>
      </c>
      <c r="E9" s="2" t="n">
        <f aca="false">INDEX(FieldSites!F:F, MATCH(Ch2_FieldSurvey!B9,FieldSites!C:C,0))</f>
        <v>1730</v>
      </c>
      <c r="F9" s="2" t="n">
        <f aca="false">INDEX(FieldSites!G:G, MATCH(Ch2_FieldSurvey!B9,FieldSites!C:C,0))</f>
        <v>-119.314015</v>
      </c>
      <c r="G9" s="2" t="n">
        <f aca="false">INDEX(FieldSites!H:H, MATCH(Ch2_FieldSurvey!B9,FieldSites!C:C,0))</f>
        <v>37.090625</v>
      </c>
      <c r="H9" s="18" t="n">
        <v>1</v>
      </c>
      <c r="I9" s="21" t="s">
        <v>50</v>
      </c>
      <c r="J9" s="22" t="n">
        <v>44321</v>
      </c>
      <c r="K9" s="23" t="n">
        <v>0.48125</v>
      </c>
      <c r="L9" s="22" t="n">
        <v>44322</v>
      </c>
      <c r="M9" s="23" t="n">
        <v>0.900694444444445</v>
      </c>
      <c r="O9" s="1" t="s">
        <v>51</v>
      </c>
      <c r="P9" s="16" t="s">
        <v>52</v>
      </c>
      <c r="Q9" s="16" t="s">
        <v>53</v>
      </c>
      <c r="R9" s="16" t="s">
        <v>54</v>
      </c>
      <c r="S9" s="4" t="s">
        <v>55</v>
      </c>
      <c r="T9" s="24" t="n">
        <v>410</v>
      </c>
      <c r="U9" s="18" t="n">
        <v>5</v>
      </c>
      <c r="V9" s="24" t="n">
        <v>0.63</v>
      </c>
      <c r="W9" s="2" t="n">
        <v>0.3</v>
      </c>
      <c r="Z9" s="18" t="s">
        <v>56</v>
      </c>
      <c r="AA9" s="19" t="n">
        <v>483020</v>
      </c>
      <c r="AB9" s="19" t="n">
        <v>586252</v>
      </c>
      <c r="AC9" s="19" t="n">
        <f aca="false">(AB9-AA9)/AB9</f>
        <v>0.176088098633352</v>
      </c>
    </row>
    <row r="10" customFormat="false" ht="14.25" hidden="false" customHeight="true" outlineLevel="0" collapsed="false">
      <c r="A10" s="18" t="s">
        <v>49</v>
      </c>
      <c r="B10" s="18" t="s">
        <v>49</v>
      </c>
      <c r="C10" s="18" t="s">
        <v>40</v>
      </c>
      <c r="E10" s="2" t="n">
        <f aca="false">INDEX(FieldSites!F:F, MATCH(Ch2_FieldSurvey!B10,FieldSites!C:C,0))</f>
        <v>1730</v>
      </c>
      <c r="F10" s="2" t="n">
        <f aca="false">INDEX(FieldSites!G:G, MATCH(Ch2_FieldSurvey!B10,FieldSites!C:C,0))</f>
        <v>-119.314015</v>
      </c>
      <c r="G10" s="2" t="n">
        <f aca="false">INDEX(FieldSites!H:H, MATCH(Ch2_FieldSurvey!B10,FieldSites!C:C,0))</f>
        <v>37.090625</v>
      </c>
      <c r="H10" s="18" t="n">
        <v>1</v>
      </c>
      <c r="I10" s="21" t="s">
        <v>50</v>
      </c>
      <c r="J10" s="22" t="n">
        <v>44321</v>
      </c>
      <c r="K10" s="23" t="n">
        <v>0.48125</v>
      </c>
      <c r="L10" s="22" t="n">
        <v>44322</v>
      </c>
      <c r="M10" s="23" t="n">
        <v>0.900694444444445</v>
      </c>
      <c r="O10" s="1" t="s">
        <v>51</v>
      </c>
      <c r="P10" s="16" t="s">
        <v>52</v>
      </c>
      <c r="Q10" s="16" t="s">
        <v>53</v>
      </c>
      <c r="R10" s="16" t="s">
        <v>54</v>
      </c>
      <c r="S10" s="4" t="s">
        <v>55</v>
      </c>
      <c r="T10" s="24" t="n">
        <v>300</v>
      </c>
      <c r="U10" s="18" t="n">
        <v>4</v>
      </c>
      <c r="V10" s="24" t="n">
        <v>0.4</v>
      </c>
      <c r="W10" s="2" t="n">
        <v>0.3</v>
      </c>
      <c r="Z10" s="18" t="s">
        <v>56</v>
      </c>
      <c r="AA10" s="20"/>
      <c r="AB10" s="20"/>
      <c r="AC10" s="20"/>
    </row>
    <row r="11" customFormat="false" ht="14.25" hidden="false" customHeight="true" outlineLevel="0" collapsed="false">
      <c r="A11" s="18" t="s">
        <v>49</v>
      </c>
      <c r="B11" s="18" t="s">
        <v>49</v>
      </c>
      <c r="C11" s="18" t="s">
        <v>40</v>
      </c>
      <c r="E11" s="2" t="n">
        <f aca="false">INDEX(FieldSites!F:F, MATCH(Ch2_FieldSurvey!B11,FieldSites!C:C,0))</f>
        <v>1730</v>
      </c>
      <c r="F11" s="2" t="n">
        <f aca="false">INDEX(FieldSites!G:G, MATCH(Ch2_FieldSurvey!B11,FieldSites!C:C,0))</f>
        <v>-119.314015</v>
      </c>
      <c r="G11" s="2" t="n">
        <f aca="false">INDEX(FieldSites!H:H, MATCH(Ch2_FieldSurvey!B11,FieldSites!C:C,0))</f>
        <v>37.090625</v>
      </c>
      <c r="H11" s="18" t="n">
        <v>1</v>
      </c>
      <c r="I11" s="21" t="s">
        <v>50</v>
      </c>
      <c r="J11" s="22" t="n">
        <v>44321</v>
      </c>
      <c r="K11" s="23" t="n">
        <v>0.48125</v>
      </c>
      <c r="L11" s="22" t="n">
        <v>44322</v>
      </c>
      <c r="M11" s="23" t="n">
        <v>0.900694444444445</v>
      </c>
      <c r="O11" s="1" t="s">
        <v>51</v>
      </c>
      <c r="P11" s="16" t="s">
        <v>52</v>
      </c>
      <c r="Q11" s="16" t="s">
        <v>53</v>
      </c>
      <c r="R11" s="16" t="s">
        <v>54</v>
      </c>
      <c r="S11" s="4" t="s">
        <v>55</v>
      </c>
      <c r="T11" s="24" t="n">
        <v>355</v>
      </c>
      <c r="U11" s="18" t="n">
        <v>4.8</v>
      </c>
      <c r="V11" s="24" t="n">
        <v>0.62</v>
      </c>
      <c r="W11" s="2" t="n">
        <v>0.4</v>
      </c>
      <c r="Z11" s="18" t="s">
        <v>56</v>
      </c>
      <c r="AA11" s="20"/>
      <c r="AB11" s="20"/>
      <c r="AC11" s="20"/>
    </row>
    <row r="12" customFormat="false" ht="14.25" hidden="false" customHeight="true" outlineLevel="0" collapsed="false">
      <c r="A12" s="18" t="s">
        <v>49</v>
      </c>
      <c r="B12" s="18" t="s">
        <v>49</v>
      </c>
      <c r="C12" s="18" t="s">
        <v>40</v>
      </c>
      <c r="E12" s="2" t="n">
        <f aca="false">INDEX(FieldSites!F:F, MATCH(Ch2_FieldSurvey!B12,FieldSites!C:C,0))</f>
        <v>1730</v>
      </c>
      <c r="F12" s="2" t="n">
        <f aca="false">INDEX(FieldSites!G:G, MATCH(Ch2_FieldSurvey!B12,FieldSites!C:C,0))</f>
        <v>-119.314015</v>
      </c>
      <c r="G12" s="2" t="n">
        <f aca="false">INDEX(FieldSites!H:H, MATCH(Ch2_FieldSurvey!B12,FieldSites!C:C,0))</f>
        <v>37.090625</v>
      </c>
      <c r="H12" s="18" t="n">
        <v>2</v>
      </c>
      <c r="I12" s="21" t="s">
        <v>57</v>
      </c>
      <c r="J12" s="22" t="n">
        <v>44321</v>
      </c>
      <c r="K12" s="23" t="n">
        <v>0.482638888888889</v>
      </c>
      <c r="L12" s="22" t="n">
        <v>44322</v>
      </c>
      <c r="M12" s="23" t="n">
        <v>0.902777777777778</v>
      </c>
      <c r="O12" s="1" t="s">
        <v>58</v>
      </c>
      <c r="P12" s="16" t="s">
        <v>52</v>
      </c>
      <c r="Q12" s="16" t="s">
        <v>59</v>
      </c>
      <c r="R12" s="16" t="s">
        <v>54</v>
      </c>
      <c r="S12" s="4" t="s">
        <v>60</v>
      </c>
      <c r="T12" s="24" t="n">
        <v>420</v>
      </c>
      <c r="U12" s="18" t="n">
        <v>3.9</v>
      </c>
      <c r="V12" s="24" t="n">
        <v>0.58</v>
      </c>
      <c r="W12" s="2" t="n">
        <v>0.7</v>
      </c>
      <c r="Z12" s="18" t="s">
        <v>56</v>
      </c>
      <c r="AA12" s="19" t="n">
        <v>933840</v>
      </c>
      <c r="AB12" s="19" t="n">
        <v>1020695</v>
      </c>
      <c r="AC12" s="19" t="n">
        <f aca="false">(AB12-AA12)/AB12</f>
        <v>0.0850939800821989</v>
      </c>
    </row>
    <row r="13" customFormat="false" ht="14.25" hidden="false" customHeight="true" outlineLevel="0" collapsed="false">
      <c r="A13" s="18" t="s">
        <v>49</v>
      </c>
      <c r="B13" s="18" t="s">
        <v>49</v>
      </c>
      <c r="C13" s="18" t="s">
        <v>40</v>
      </c>
      <c r="E13" s="2" t="n">
        <f aca="false">INDEX(FieldSites!F:F, MATCH(Ch2_FieldSurvey!B13,FieldSites!C:C,0))</f>
        <v>1730</v>
      </c>
      <c r="F13" s="2" t="n">
        <f aca="false">INDEX(FieldSites!G:G, MATCH(Ch2_FieldSurvey!B13,FieldSites!C:C,0))</f>
        <v>-119.314015</v>
      </c>
      <c r="G13" s="2" t="n">
        <f aca="false">INDEX(FieldSites!H:H, MATCH(Ch2_FieldSurvey!B13,FieldSites!C:C,0))</f>
        <v>37.090625</v>
      </c>
      <c r="H13" s="18" t="n">
        <v>2</v>
      </c>
      <c r="I13" s="21" t="s">
        <v>57</v>
      </c>
      <c r="J13" s="22" t="n">
        <v>44321</v>
      </c>
      <c r="K13" s="23" t="n">
        <v>0.482638888888889</v>
      </c>
      <c r="L13" s="22" t="n">
        <v>44322</v>
      </c>
      <c r="M13" s="23" t="n">
        <v>0.902777777777778</v>
      </c>
      <c r="O13" s="1" t="s">
        <v>58</v>
      </c>
      <c r="P13" s="16" t="s">
        <v>52</v>
      </c>
      <c r="Q13" s="16" t="s">
        <v>59</v>
      </c>
      <c r="R13" s="16" t="s">
        <v>54</v>
      </c>
      <c r="S13" s="4" t="s">
        <v>60</v>
      </c>
      <c r="T13" s="24" t="n">
        <v>330</v>
      </c>
      <c r="U13" s="18" t="n">
        <v>4.4</v>
      </c>
      <c r="V13" s="24" t="n">
        <v>0.27</v>
      </c>
      <c r="W13" s="2" t="n">
        <v>1.1</v>
      </c>
      <c r="Z13" s="18" t="s">
        <v>56</v>
      </c>
      <c r="AA13" s="20"/>
      <c r="AB13" s="20"/>
      <c r="AC13" s="20"/>
    </row>
    <row r="14" customFormat="false" ht="14.25" hidden="false" customHeight="true" outlineLevel="0" collapsed="false">
      <c r="A14" s="18" t="s">
        <v>49</v>
      </c>
      <c r="B14" s="18" t="s">
        <v>49</v>
      </c>
      <c r="C14" s="18" t="s">
        <v>40</v>
      </c>
      <c r="E14" s="2" t="n">
        <f aca="false">INDEX(FieldSites!F:F, MATCH(Ch2_FieldSurvey!B14,FieldSites!C:C,0))</f>
        <v>1730</v>
      </c>
      <c r="F14" s="2" t="n">
        <f aca="false">INDEX(FieldSites!G:G, MATCH(Ch2_FieldSurvey!B14,FieldSites!C:C,0))</f>
        <v>-119.314015</v>
      </c>
      <c r="G14" s="2" t="n">
        <f aca="false">INDEX(FieldSites!H:H, MATCH(Ch2_FieldSurvey!B14,FieldSites!C:C,0))</f>
        <v>37.090625</v>
      </c>
      <c r="H14" s="18" t="n">
        <v>2</v>
      </c>
      <c r="I14" s="21" t="s">
        <v>57</v>
      </c>
      <c r="J14" s="22" t="n">
        <v>44321</v>
      </c>
      <c r="K14" s="23" t="n">
        <v>0.482638888888889</v>
      </c>
      <c r="L14" s="22" t="n">
        <v>44322</v>
      </c>
      <c r="M14" s="23" t="n">
        <v>0.902777777777778</v>
      </c>
      <c r="O14" s="1" t="s">
        <v>58</v>
      </c>
      <c r="P14" s="16" t="s">
        <v>52</v>
      </c>
      <c r="Q14" s="16" t="s">
        <v>59</v>
      </c>
      <c r="R14" s="16" t="s">
        <v>54</v>
      </c>
      <c r="S14" s="4" t="s">
        <v>60</v>
      </c>
      <c r="T14" s="24" t="n">
        <v>290</v>
      </c>
      <c r="U14" s="18" t="n">
        <v>6.6</v>
      </c>
      <c r="V14" s="24" t="n">
        <v>0.59</v>
      </c>
      <c r="W14" s="2" t="n">
        <v>0.5</v>
      </c>
      <c r="Z14" s="18" t="s">
        <v>56</v>
      </c>
      <c r="AA14" s="20"/>
      <c r="AB14" s="20"/>
      <c r="AC14" s="20"/>
    </row>
    <row r="15" customFormat="false" ht="14.25" hidden="false" customHeight="true" outlineLevel="0" collapsed="false">
      <c r="A15" s="18" t="s">
        <v>49</v>
      </c>
      <c r="B15" s="18" t="s">
        <v>49</v>
      </c>
      <c r="C15" s="18" t="s">
        <v>40</v>
      </c>
      <c r="E15" s="2" t="n">
        <f aca="false">INDEX(FieldSites!F:F, MATCH(Ch2_FieldSurvey!B15,FieldSites!C:C,0))</f>
        <v>1730</v>
      </c>
      <c r="F15" s="2" t="n">
        <f aca="false">INDEX(FieldSites!G:G, MATCH(Ch2_FieldSurvey!B15,FieldSites!C:C,0))</f>
        <v>-119.314015</v>
      </c>
      <c r="G15" s="2" t="n">
        <f aca="false">INDEX(FieldSites!H:H, MATCH(Ch2_FieldSurvey!B15,FieldSites!C:C,0))</f>
        <v>37.090625</v>
      </c>
      <c r="H15" s="18" t="n">
        <v>3</v>
      </c>
      <c r="I15" s="21" t="s">
        <v>61</v>
      </c>
      <c r="J15" s="22" t="n">
        <v>44321</v>
      </c>
      <c r="K15" s="23" t="n">
        <v>0.482638888888889</v>
      </c>
      <c r="L15" s="22" t="n">
        <v>44322</v>
      </c>
      <c r="M15" s="23" t="n">
        <v>0.905555555555556</v>
      </c>
      <c r="O15" s="1" t="s">
        <v>62</v>
      </c>
      <c r="P15" s="16" t="s">
        <v>52</v>
      </c>
      <c r="Q15" s="16" t="s">
        <v>59</v>
      </c>
      <c r="R15" s="16" t="s">
        <v>54</v>
      </c>
      <c r="S15" s="4" t="s">
        <v>63</v>
      </c>
      <c r="T15" s="24" t="n">
        <v>340</v>
      </c>
      <c r="U15" s="18" t="n">
        <v>5.1</v>
      </c>
      <c r="V15" s="24" t="n">
        <v>0.72</v>
      </c>
      <c r="W15" s="2" t="n">
        <v>0.7</v>
      </c>
      <c r="Z15" s="18" t="s">
        <v>56</v>
      </c>
      <c r="AA15" s="19" t="n">
        <v>356347</v>
      </c>
      <c r="AB15" s="19" t="n">
        <v>381527</v>
      </c>
      <c r="AC15" s="19" t="n">
        <f aca="false">(AB15-AA15)/AB15</f>
        <v>0.0659979503416534</v>
      </c>
    </row>
    <row r="16" customFormat="false" ht="14.25" hidden="false" customHeight="true" outlineLevel="0" collapsed="false">
      <c r="A16" s="18" t="s">
        <v>49</v>
      </c>
      <c r="B16" s="18" t="s">
        <v>49</v>
      </c>
      <c r="C16" s="18" t="s">
        <v>40</v>
      </c>
      <c r="E16" s="2" t="n">
        <f aca="false">INDEX(FieldSites!F:F, MATCH(Ch2_FieldSurvey!B16,FieldSites!C:C,0))</f>
        <v>1730</v>
      </c>
      <c r="F16" s="2" t="n">
        <f aca="false">INDEX(FieldSites!G:G, MATCH(Ch2_FieldSurvey!B16,FieldSites!C:C,0))</f>
        <v>-119.314015</v>
      </c>
      <c r="G16" s="2" t="n">
        <f aca="false">INDEX(FieldSites!H:H, MATCH(Ch2_FieldSurvey!B16,FieldSites!C:C,0))</f>
        <v>37.090625</v>
      </c>
      <c r="H16" s="18" t="n">
        <v>3</v>
      </c>
      <c r="I16" s="21" t="s">
        <v>61</v>
      </c>
      <c r="J16" s="22" t="n">
        <v>44321</v>
      </c>
      <c r="K16" s="23" t="n">
        <v>0.482638888888889</v>
      </c>
      <c r="L16" s="22" t="n">
        <v>44322</v>
      </c>
      <c r="M16" s="23" t="n">
        <v>0.905555555555556</v>
      </c>
      <c r="O16" s="1" t="s">
        <v>62</v>
      </c>
      <c r="P16" s="16" t="s">
        <v>52</v>
      </c>
      <c r="Q16" s="16" t="s">
        <v>59</v>
      </c>
      <c r="R16" s="16" t="s">
        <v>54</v>
      </c>
      <c r="S16" s="4" t="s">
        <v>63</v>
      </c>
      <c r="T16" s="24" t="n">
        <v>380</v>
      </c>
      <c r="U16" s="18" t="n">
        <v>5.3</v>
      </c>
      <c r="V16" s="24" t="n">
        <v>0.46</v>
      </c>
      <c r="W16" s="2" t="n">
        <v>0.7</v>
      </c>
      <c r="Z16" s="18" t="s">
        <v>56</v>
      </c>
      <c r="AA16" s="20"/>
      <c r="AB16" s="20"/>
      <c r="AC16" s="20"/>
    </row>
    <row r="17" customFormat="false" ht="14.25" hidden="false" customHeight="true" outlineLevel="0" collapsed="false">
      <c r="A17" s="18" t="s">
        <v>49</v>
      </c>
      <c r="B17" s="18" t="s">
        <v>49</v>
      </c>
      <c r="C17" s="18" t="s">
        <v>40</v>
      </c>
      <c r="E17" s="2" t="n">
        <f aca="false">INDEX(FieldSites!F:F, MATCH(Ch2_FieldSurvey!B17,FieldSites!C:C,0))</f>
        <v>1730</v>
      </c>
      <c r="F17" s="2" t="n">
        <f aca="false">INDEX(FieldSites!G:G, MATCH(Ch2_FieldSurvey!B17,FieldSites!C:C,0))</f>
        <v>-119.314015</v>
      </c>
      <c r="G17" s="2" t="n">
        <f aca="false">INDEX(FieldSites!H:H, MATCH(Ch2_FieldSurvey!B17,FieldSites!C:C,0))</f>
        <v>37.090625</v>
      </c>
      <c r="H17" s="18" t="n">
        <v>3</v>
      </c>
      <c r="I17" s="21" t="s">
        <v>61</v>
      </c>
      <c r="J17" s="22" t="n">
        <v>44321</v>
      </c>
      <c r="K17" s="23" t="n">
        <v>0.482638888888889</v>
      </c>
      <c r="L17" s="22" t="n">
        <v>44322</v>
      </c>
      <c r="M17" s="23" t="n">
        <v>0.905555555555556</v>
      </c>
      <c r="O17" s="1" t="s">
        <v>62</v>
      </c>
      <c r="P17" s="16" t="s">
        <v>52</v>
      </c>
      <c r="Q17" s="16" t="s">
        <v>59</v>
      </c>
      <c r="R17" s="16" t="s">
        <v>54</v>
      </c>
      <c r="S17" s="4" t="s">
        <v>63</v>
      </c>
      <c r="T17" s="24" t="n">
        <v>270</v>
      </c>
      <c r="U17" s="18" t="n">
        <v>5.3</v>
      </c>
      <c r="V17" s="24" t="n">
        <v>0.58</v>
      </c>
      <c r="W17" s="2" t="n">
        <v>0.5</v>
      </c>
      <c r="Z17" s="18" t="s">
        <v>56</v>
      </c>
      <c r="AA17" s="20"/>
      <c r="AB17" s="20"/>
      <c r="AC17" s="20"/>
    </row>
    <row r="18" customFormat="false" ht="14.25" hidden="false" customHeight="true" outlineLevel="0" collapsed="false">
      <c r="A18" s="18" t="s">
        <v>49</v>
      </c>
      <c r="B18" s="18" t="s">
        <v>49</v>
      </c>
      <c r="C18" s="18" t="s">
        <v>40</v>
      </c>
      <c r="E18" s="2" t="n">
        <f aca="false">INDEX(FieldSites!F:F, MATCH(Ch2_FieldSurvey!B18,FieldSites!C:C,0))</f>
        <v>1730</v>
      </c>
      <c r="F18" s="2" t="n">
        <f aca="false">INDEX(FieldSites!G:G, MATCH(Ch2_FieldSurvey!B18,FieldSites!C:C,0))</f>
        <v>-119.314015</v>
      </c>
      <c r="G18" s="2" t="n">
        <f aca="false">INDEX(FieldSites!H:H, MATCH(Ch2_FieldSurvey!B18,FieldSites!C:C,0))</f>
        <v>37.090625</v>
      </c>
      <c r="H18" s="18" t="n">
        <v>4</v>
      </c>
      <c r="I18" s="21" t="s">
        <v>64</v>
      </c>
      <c r="J18" s="22" t="n">
        <v>44321</v>
      </c>
      <c r="K18" s="23" t="n">
        <v>0.486111111111111</v>
      </c>
      <c r="L18" s="22" t="n">
        <v>44322</v>
      </c>
      <c r="M18" s="23" t="n">
        <v>0.907638888888889</v>
      </c>
      <c r="O18" s="1" t="s">
        <v>65</v>
      </c>
      <c r="P18" s="16" t="s">
        <v>52</v>
      </c>
      <c r="Q18" s="16" t="s">
        <v>66</v>
      </c>
      <c r="R18" s="16" t="s">
        <v>54</v>
      </c>
      <c r="S18" s="4" t="s">
        <v>67</v>
      </c>
      <c r="T18" s="24" t="n">
        <v>355</v>
      </c>
      <c r="U18" s="18" t="n">
        <v>4.6</v>
      </c>
      <c r="V18" s="24" t="n">
        <v>0.32</v>
      </c>
      <c r="W18" s="2" t="n">
        <v>0.7</v>
      </c>
      <c r="Z18" s="18" t="s">
        <v>56</v>
      </c>
      <c r="AA18" s="19" t="n">
        <v>1498054</v>
      </c>
      <c r="AB18" s="19" t="n">
        <v>1629691</v>
      </c>
      <c r="AC18" s="19" t="n">
        <f aca="false">(AB18-AA18)/AB18</f>
        <v>0.0807742081167534</v>
      </c>
    </row>
    <row r="19" customFormat="false" ht="14.25" hidden="false" customHeight="true" outlineLevel="0" collapsed="false">
      <c r="A19" s="18" t="s">
        <v>49</v>
      </c>
      <c r="B19" s="18" t="s">
        <v>49</v>
      </c>
      <c r="C19" s="18" t="s">
        <v>40</v>
      </c>
      <c r="E19" s="2" t="n">
        <f aca="false">INDEX(FieldSites!F:F, MATCH(Ch2_FieldSurvey!B19,FieldSites!C:C,0))</f>
        <v>1730</v>
      </c>
      <c r="F19" s="2" t="n">
        <f aca="false">INDEX(FieldSites!G:G, MATCH(Ch2_FieldSurvey!B19,FieldSites!C:C,0))</f>
        <v>-119.314015</v>
      </c>
      <c r="G19" s="2" t="n">
        <f aca="false">INDEX(FieldSites!H:H, MATCH(Ch2_FieldSurvey!B19,FieldSites!C:C,0))</f>
        <v>37.090625</v>
      </c>
      <c r="H19" s="18" t="n">
        <v>4</v>
      </c>
      <c r="I19" s="21" t="s">
        <v>64</v>
      </c>
      <c r="J19" s="22" t="n">
        <v>44321</v>
      </c>
      <c r="K19" s="23" t="n">
        <v>0.486111111111111</v>
      </c>
      <c r="L19" s="22" t="n">
        <v>44322</v>
      </c>
      <c r="M19" s="23" t="n">
        <v>0.907638888888889</v>
      </c>
      <c r="O19" s="1" t="s">
        <v>65</v>
      </c>
      <c r="P19" s="16" t="s">
        <v>52</v>
      </c>
      <c r="Q19" s="16" t="s">
        <v>66</v>
      </c>
      <c r="R19" s="16" t="s">
        <v>54</v>
      </c>
      <c r="S19" s="4" t="s">
        <v>67</v>
      </c>
      <c r="T19" s="24" t="n">
        <v>340</v>
      </c>
      <c r="U19" s="18" t="n">
        <v>4.4</v>
      </c>
      <c r="V19" s="24" t="n">
        <v>0.48</v>
      </c>
      <c r="W19" s="2" t="n">
        <v>0.5</v>
      </c>
      <c r="Z19" s="18" t="s">
        <v>56</v>
      </c>
      <c r="AA19" s="20"/>
      <c r="AB19" s="20"/>
      <c r="AC19" s="20"/>
    </row>
    <row r="20" customFormat="false" ht="14.25" hidden="false" customHeight="true" outlineLevel="0" collapsed="false">
      <c r="A20" s="18" t="s">
        <v>49</v>
      </c>
      <c r="B20" s="18" t="s">
        <v>49</v>
      </c>
      <c r="C20" s="18" t="s">
        <v>40</v>
      </c>
      <c r="E20" s="2" t="n">
        <f aca="false">INDEX(FieldSites!F:F, MATCH(Ch2_FieldSurvey!B20,FieldSites!C:C,0))</f>
        <v>1730</v>
      </c>
      <c r="F20" s="2" t="n">
        <f aca="false">INDEX(FieldSites!G:G, MATCH(Ch2_FieldSurvey!B20,FieldSites!C:C,0))</f>
        <v>-119.314015</v>
      </c>
      <c r="G20" s="2" t="n">
        <f aca="false">INDEX(FieldSites!H:H, MATCH(Ch2_FieldSurvey!B20,FieldSites!C:C,0))</f>
        <v>37.090625</v>
      </c>
      <c r="H20" s="18" t="n">
        <v>4</v>
      </c>
      <c r="I20" s="21" t="s">
        <v>64</v>
      </c>
      <c r="J20" s="22" t="n">
        <v>44321</v>
      </c>
      <c r="K20" s="23" t="n">
        <v>0.486111111111111</v>
      </c>
      <c r="L20" s="22" t="n">
        <v>44322</v>
      </c>
      <c r="M20" s="23" t="n">
        <v>0.907638888888889</v>
      </c>
      <c r="O20" s="1" t="s">
        <v>65</v>
      </c>
      <c r="P20" s="16" t="s">
        <v>52</v>
      </c>
      <c r="Q20" s="16" t="s">
        <v>66</v>
      </c>
      <c r="R20" s="16" t="s">
        <v>54</v>
      </c>
      <c r="S20" s="4" t="s">
        <v>67</v>
      </c>
      <c r="T20" s="24" t="n">
        <v>405</v>
      </c>
      <c r="U20" s="18" t="n">
        <v>4.3</v>
      </c>
      <c r="V20" s="24" t="n">
        <v>0.37</v>
      </c>
      <c r="W20" s="2" t="n">
        <v>0.7</v>
      </c>
      <c r="Z20" s="18" t="s">
        <v>56</v>
      </c>
      <c r="AA20" s="20"/>
      <c r="AB20" s="20"/>
      <c r="AC20" s="20"/>
    </row>
    <row r="21" customFormat="false" ht="14.25" hidden="false" customHeight="true" outlineLevel="0" collapsed="false">
      <c r="A21" s="18" t="s">
        <v>49</v>
      </c>
      <c r="B21" s="18" t="s">
        <v>49</v>
      </c>
      <c r="C21" s="18" t="s">
        <v>40</v>
      </c>
      <c r="E21" s="2" t="n">
        <f aca="false">INDEX(FieldSites!F:F, MATCH(Ch2_FieldSurvey!B21,FieldSites!C:C,0))</f>
        <v>1730</v>
      </c>
      <c r="F21" s="2" t="n">
        <f aca="false">INDEX(FieldSites!G:G, MATCH(Ch2_FieldSurvey!B21,FieldSites!C:C,0))</f>
        <v>-119.314015</v>
      </c>
      <c r="G21" s="2" t="n">
        <f aca="false">INDEX(FieldSites!H:H, MATCH(Ch2_FieldSurvey!B21,FieldSites!C:C,0))</f>
        <v>37.090625</v>
      </c>
      <c r="H21" s="18" t="n">
        <v>5</v>
      </c>
      <c r="I21" s="21" t="s">
        <v>68</v>
      </c>
      <c r="J21" s="22" t="n">
        <v>44321</v>
      </c>
      <c r="K21" s="23" t="n">
        <v>0.489583333333333</v>
      </c>
      <c r="L21" s="22" t="n">
        <v>44322</v>
      </c>
      <c r="M21" s="23" t="n">
        <v>0.909027777777778</v>
      </c>
      <c r="O21" s="1" t="s">
        <v>69</v>
      </c>
      <c r="P21" s="16" t="s">
        <v>52</v>
      </c>
      <c r="Q21" s="16" t="s">
        <v>70</v>
      </c>
      <c r="R21" s="16" t="s">
        <v>54</v>
      </c>
      <c r="S21" s="4" t="s">
        <v>37</v>
      </c>
      <c r="T21" s="24" t="n">
        <v>460</v>
      </c>
      <c r="U21" s="18" t="n">
        <v>4</v>
      </c>
      <c r="V21" s="24" t="n">
        <v>0.62</v>
      </c>
      <c r="W21" s="2" t="n">
        <v>0.8</v>
      </c>
      <c r="Z21" s="18" t="s">
        <v>56</v>
      </c>
      <c r="AA21" s="19" t="n">
        <v>456220</v>
      </c>
      <c r="AB21" s="19" t="n">
        <v>506858</v>
      </c>
      <c r="AC21" s="19" t="n">
        <f aca="false">(AB21-AA21)/AB21</f>
        <v>0.0999056935078464</v>
      </c>
    </row>
    <row r="22" customFormat="false" ht="14.25" hidden="false" customHeight="true" outlineLevel="0" collapsed="false">
      <c r="A22" s="18" t="s">
        <v>49</v>
      </c>
      <c r="B22" s="18" t="s">
        <v>49</v>
      </c>
      <c r="C22" s="18" t="s">
        <v>40</v>
      </c>
      <c r="E22" s="2" t="n">
        <f aca="false">INDEX(FieldSites!F:F, MATCH(Ch2_FieldSurvey!B22,FieldSites!C:C,0))</f>
        <v>1730</v>
      </c>
      <c r="F22" s="2" t="n">
        <f aca="false">INDEX(FieldSites!G:G, MATCH(Ch2_FieldSurvey!B22,FieldSites!C:C,0))</f>
        <v>-119.314015</v>
      </c>
      <c r="G22" s="2" t="n">
        <f aca="false">INDEX(FieldSites!H:H, MATCH(Ch2_FieldSurvey!B22,FieldSites!C:C,0))</f>
        <v>37.090625</v>
      </c>
      <c r="H22" s="18" t="n">
        <v>5</v>
      </c>
      <c r="I22" s="21" t="s">
        <v>68</v>
      </c>
      <c r="J22" s="22" t="n">
        <v>44321</v>
      </c>
      <c r="K22" s="23" t="n">
        <v>0.489583333333333</v>
      </c>
      <c r="L22" s="22" t="n">
        <v>44322</v>
      </c>
      <c r="M22" s="23" t="n">
        <v>0.909027777777778</v>
      </c>
      <c r="O22" s="1" t="s">
        <v>69</v>
      </c>
      <c r="P22" s="16" t="s">
        <v>52</v>
      </c>
      <c r="Q22" s="16" t="s">
        <v>70</v>
      </c>
      <c r="R22" s="16" t="s">
        <v>54</v>
      </c>
      <c r="S22" s="4" t="s">
        <v>37</v>
      </c>
      <c r="T22" s="24" t="n">
        <v>340</v>
      </c>
      <c r="U22" s="18" t="n">
        <v>4.2</v>
      </c>
      <c r="V22" s="24" t="n">
        <v>0.74</v>
      </c>
      <c r="W22" s="2" t="n">
        <v>1</v>
      </c>
      <c r="Z22" s="18" t="s">
        <v>56</v>
      </c>
      <c r="AA22" s="20"/>
      <c r="AB22" s="20"/>
      <c r="AC22" s="20"/>
    </row>
    <row r="23" customFormat="false" ht="14.25" hidden="false" customHeight="true" outlineLevel="0" collapsed="false">
      <c r="A23" s="18" t="s">
        <v>49</v>
      </c>
      <c r="B23" s="18" t="s">
        <v>49</v>
      </c>
      <c r="C23" s="18" t="s">
        <v>40</v>
      </c>
      <c r="E23" s="2" t="n">
        <f aca="false">INDEX(FieldSites!F:F, MATCH(Ch2_FieldSurvey!B23,FieldSites!C:C,0))</f>
        <v>1730</v>
      </c>
      <c r="F23" s="2" t="n">
        <f aca="false">INDEX(FieldSites!G:G, MATCH(Ch2_FieldSurvey!B23,FieldSites!C:C,0))</f>
        <v>-119.314015</v>
      </c>
      <c r="G23" s="2" t="n">
        <f aca="false">INDEX(FieldSites!H:H, MATCH(Ch2_FieldSurvey!B23,FieldSites!C:C,0))</f>
        <v>37.090625</v>
      </c>
      <c r="H23" s="18" t="n">
        <v>5</v>
      </c>
      <c r="I23" s="21" t="s">
        <v>68</v>
      </c>
      <c r="J23" s="22" t="n">
        <v>44321</v>
      </c>
      <c r="K23" s="23" t="n">
        <v>0.489583333333333</v>
      </c>
      <c r="L23" s="22" t="n">
        <v>44322</v>
      </c>
      <c r="M23" s="23" t="n">
        <v>0.909027777777778</v>
      </c>
      <c r="O23" s="1" t="s">
        <v>69</v>
      </c>
      <c r="P23" s="16" t="s">
        <v>52</v>
      </c>
      <c r="Q23" s="16" t="s">
        <v>70</v>
      </c>
      <c r="R23" s="16" t="s">
        <v>54</v>
      </c>
      <c r="S23" s="4" t="s">
        <v>37</v>
      </c>
      <c r="T23" s="24" t="n">
        <v>520</v>
      </c>
      <c r="U23" s="18" t="n">
        <v>4.5</v>
      </c>
      <c r="V23" s="24" t="n">
        <v>0.63</v>
      </c>
      <c r="W23" s="2" t="n">
        <v>0.9</v>
      </c>
      <c r="Z23" s="18" t="s">
        <v>56</v>
      </c>
      <c r="AA23" s="20"/>
      <c r="AB23" s="20"/>
      <c r="AC23" s="20"/>
    </row>
    <row r="24" customFormat="false" ht="14.25" hidden="false" customHeight="true" outlineLevel="0" collapsed="false">
      <c r="A24" s="18" t="s">
        <v>71</v>
      </c>
      <c r="B24" s="18" t="s">
        <v>71</v>
      </c>
      <c r="C24" s="18" t="s">
        <v>40</v>
      </c>
      <c r="E24" s="2" t="n">
        <f aca="false">INDEX(FieldSites!F:F, MATCH(Ch2_FieldSurvey!B24,FieldSites!C:C,0))</f>
        <v>1595</v>
      </c>
      <c r="F24" s="2" t="n">
        <f aca="false">INDEX(FieldSites!G:G, MATCH(Ch2_FieldSurvey!B24,FieldSites!C:C,0))</f>
        <v>-119.307426</v>
      </c>
      <c r="G24" s="2" t="n">
        <f aca="false">INDEX(FieldSites!H:H, MATCH(Ch2_FieldSurvey!B24,FieldSites!C:C,0))</f>
        <v>37.145131</v>
      </c>
      <c r="H24" s="18" t="n">
        <v>1</v>
      </c>
      <c r="I24" s="21" t="s">
        <v>72</v>
      </c>
      <c r="J24" s="22" t="n">
        <v>44321</v>
      </c>
      <c r="K24" s="23" t="n">
        <v>0.527083333333333</v>
      </c>
      <c r="L24" s="22" t="n">
        <v>44322</v>
      </c>
      <c r="M24" s="23" t="n">
        <v>0.9125</v>
      </c>
      <c r="O24" s="1" t="s">
        <v>73</v>
      </c>
      <c r="P24" s="16" t="s">
        <v>52</v>
      </c>
      <c r="Q24" s="16" t="s">
        <v>74</v>
      </c>
      <c r="R24" s="16" t="s">
        <v>54</v>
      </c>
      <c r="S24" s="4" t="s">
        <v>75</v>
      </c>
      <c r="T24" s="24" t="n">
        <v>264</v>
      </c>
      <c r="U24" s="18" t="n">
        <v>4.2</v>
      </c>
      <c r="V24" s="24" t="n">
        <v>0.63</v>
      </c>
      <c r="W24" s="2" t="n">
        <v>1.1</v>
      </c>
      <c r="Z24" s="18" t="s">
        <v>56</v>
      </c>
      <c r="AA24" s="19" t="n">
        <v>582646</v>
      </c>
      <c r="AB24" s="19" t="n">
        <v>621722</v>
      </c>
      <c r="AC24" s="19" t="n">
        <f aca="false">(AB24-AA24)/AB24</f>
        <v>0.0628512421950647</v>
      </c>
    </row>
    <row r="25" customFormat="false" ht="14.25" hidden="false" customHeight="true" outlineLevel="0" collapsed="false">
      <c r="A25" s="18" t="s">
        <v>71</v>
      </c>
      <c r="B25" s="18" t="s">
        <v>71</v>
      </c>
      <c r="C25" s="18" t="s">
        <v>40</v>
      </c>
      <c r="E25" s="2" t="n">
        <f aca="false">INDEX(FieldSites!F:F, MATCH(Ch2_FieldSurvey!B25,FieldSites!C:C,0))</f>
        <v>1595</v>
      </c>
      <c r="F25" s="2" t="n">
        <f aca="false">INDEX(FieldSites!G:G, MATCH(Ch2_FieldSurvey!B25,FieldSites!C:C,0))</f>
        <v>-119.307426</v>
      </c>
      <c r="G25" s="2" t="n">
        <f aca="false">INDEX(FieldSites!H:H, MATCH(Ch2_FieldSurvey!B25,FieldSites!C:C,0))</f>
        <v>37.145131</v>
      </c>
      <c r="H25" s="18" t="n">
        <v>1</v>
      </c>
      <c r="I25" s="21" t="s">
        <v>72</v>
      </c>
      <c r="J25" s="22" t="n">
        <v>44321</v>
      </c>
      <c r="K25" s="23" t="n">
        <v>0.527083333333333</v>
      </c>
      <c r="L25" s="22" t="n">
        <v>44322</v>
      </c>
      <c r="M25" s="23" t="n">
        <v>0.9125</v>
      </c>
      <c r="O25" s="1" t="s">
        <v>73</v>
      </c>
      <c r="P25" s="16" t="s">
        <v>52</v>
      </c>
      <c r="Q25" s="16" t="s">
        <v>74</v>
      </c>
      <c r="R25" s="16" t="s">
        <v>54</v>
      </c>
      <c r="S25" s="4" t="s">
        <v>75</v>
      </c>
      <c r="T25" s="24" t="n">
        <v>265</v>
      </c>
      <c r="U25" s="18" t="n">
        <v>4.3</v>
      </c>
      <c r="V25" s="24" t="n">
        <v>0.52</v>
      </c>
      <c r="W25" s="2" t="n">
        <v>1.1</v>
      </c>
      <c r="Z25" s="18" t="s">
        <v>56</v>
      </c>
      <c r="AA25" s="20"/>
      <c r="AB25" s="20"/>
      <c r="AC25" s="20"/>
    </row>
    <row r="26" customFormat="false" ht="14.25" hidden="false" customHeight="true" outlineLevel="0" collapsed="false">
      <c r="A26" s="18" t="s">
        <v>71</v>
      </c>
      <c r="B26" s="18" t="s">
        <v>71</v>
      </c>
      <c r="C26" s="18" t="s">
        <v>40</v>
      </c>
      <c r="E26" s="2" t="n">
        <f aca="false">INDEX(FieldSites!F:F, MATCH(Ch2_FieldSurvey!B26,FieldSites!C:C,0))</f>
        <v>1595</v>
      </c>
      <c r="F26" s="2" t="n">
        <f aca="false">INDEX(FieldSites!G:G, MATCH(Ch2_FieldSurvey!B26,FieldSites!C:C,0))</f>
        <v>-119.307426</v>
      </c>
      <c r="G26" s="2" t="n">
        <f aca="false">INDEX(FieldSites!H:H, MATCH(Ch2_FieldSurvey!B26,FieldSites!C:C,0))</f>
        <v>37.145131</v>
      </c>
      <c r="H26" s="18" t="n">
        <v>1</v>
      </c>
      <c r="I26" s="21" t="s">
        <v>72</v>
      </c>
      <c r="J26" s="22" t="n">
        <v>44321</v>
      </c>
      <c r="K26" s="23" t="n">
        <v>0.527083333333333</v>
      </c>
      <c r="L26" s="22" t="n">
        <v>44322</v>
      </c>
      <c r="M26" s="23" t="n">
        <v>0.9125</v>
      </c>
      <c r="O26" s="1" t="s">
        <v>73</v>
      </c>
      <c r="P26" s="16" t="s">
        <v>52</v>
      </c>
      <c r="Q26" s="16" t="s">
        <v>74</v>
      </c>
      <c r="R26" s="16" t="s">
        <v>54</v>
      </c>
      <c r="S26" s="4" t="s">
        <v>75</v>
      </c>
      <c r="T26" s="24" t="n">
        <v>355</v>
      </c>
      <c r="U26" s="18" t="n">
        <v>3.8</v>
      </c>
      <c r="V26" s="24" t="n">
        <v>0.44</v>
      </c>
      <c r="W26" s="2" t="n">
        <v>1.1</v>
      </c>
      <c r="Z26" s="18" t="s">
        <v>56</v>
      </c>
      <c r="AA26" s="20"/>
      <c r="AB26" s="20"/>
      <c r="AC26" s="20"/>
    </row>
    <row r="27" customFormat="false" ht="14.25" hidden="false" customHeight="true" outlineLevel="0" collapsed="false">
      <c r="A27" s="18" t="s">
        <v>71</v>
      </c>
      <c r="B27" s="18" t="s">
        <v>71</v>
      </c>
      <c r="C27" s="18" t="s">
        <v>40</v>
      </c>
      <c r="E27" s="2" t="n">
        <f aca="false">INDEX(FieldSites!F:F, MATCH(Ch2_FieldSurvey!B27,FieldSites!C:C,0))</f>
        <v>1595</v>
      </c>
      <c r="F27" s="2" t="n">
        <f aca="false">INDEX(FieldSites!G:G, MATCH(Ch2_FieldSurvey!B27,FieldSites!C:C,0))</f>
        <v>-119.307426</v>
      </c>
      <c r="G27" s="2" t="n">
        <f aca="false">INDEX(FieldSites!H:H, MATCH(Ch2_FieldSurvey!B27,FieldSites!C:C,0))</f>
        <v>37.145131</v>
      </c>
      <c r="H27" s="18" t="n">
        <v>2</v>
      </c>
      <c r="I27" s="21" t="s">
        <v>76</v>
      </c>
      <c r="J27" s="22" t="n">
        <v>44321</v>
      </c>
      <c r="K27" s="23" t="n">
        <v>0.527777777777778</v>
      </c>
      <c r="L27" s="22" t="n">
        <v>44322</v>
      </c>
      <c r="M27" s="23" t="n">
        <v>0.914583333333333</v>
      </c>
      <c r="O27" s="1" t="s">
        <v>77</v>
      </c>
      <c r="P27" s="16" t="s">
        <v>52</v>
      </c>
      <c r="Q27" s="16" t="s">
        <v>78</v>
      </c>
      <c r="R27" s="16" t="s">
        <v>54</v>
      </c>
      <c r="S27" s="4" t="s">
        <v>79</v>
      </c>
      <c r="T27" s="24" t="n">
        <v>520</v>
      </c>
      <c r="U27" s="18" t="n">
        <v>5.6</v>
      </c>
      <c r="V27" s="24" t="n">
        <v>0.51</v>
      </c>
      <c r="W27" s="2" t="n">
        <v>0.5</v>
      </c>
      <c r="Z27" s="18" t="s">
        <v>56</v>
      </c>
      <c r="AA27" s="19" t="n">
        <v>1298732</v>
      </c>
      <c r="AB27" s="19" t="n">
        <v>1407504</v>
      </c>
      <c r="AC27" s="19" t="n">
        <f aca="false">(AB27-AA27)/AB27</f>
        <v>0.0772800645682002</v>
      </c>
    </row>
    <row r="28" customFormat="false" ht="14.25" hidden="false" customHeight="true" outlineLevel="0" collapsed="false">
      <c r="A28" s="18" t="s">
        <v>71</v>
      </c>
      <c r="B28" s="18" t="s">
        <v>71</v>
      </c>
      <c r="C28" s="18" t="s">
        <v>40</v>
      </c>
      <c r="E28" s="2" t="n">
        <f aca="false">INDEX(FieldSites!F:F, MATCH(Ch2_FieldSurvey!B28,FieldSites!C:C,0))</f>
        <v>1595</v>
      </c>
      <c r="F28" s="2" t="n">
        <f aca="false">INDEX(FieldSites!G:G, MATCH(Ch2_FieldSurvey!B28,FieldSites!C:C,0))</f>
        <v>-119.307426</v>
      </c>
      <c r="G28" s="2" t="n">
        <f aca="false">INDEX(FieldSites!H:H, MATCH(Ch2_FieldSurvey!B28,FieldSites!C:C,0))</f>
        <v>37.145131</v>
      </c>
      <c r="H28" s="18" t="n">
        <v>2</v>
      </c>
      <c r="I28" s="21" t="s">
        <v>76</v>
      </c>
      <c r="J28" s="22" t="n">
        <v>44321</v>
      </c>
      <c r="K28" s="23" t="n">
        <v>0.527777777777778</v>
      </c>
      <c r="L28" s="22" t="n">
        <v>44322</v>
      </c>
      <c r="M28" s="23" t="n">
        <v>0.914583333333333</v>
      </c>
      <c r="O28" s="1" t="s">
        <v>77</v>
      </c>
      <c r="P28" s="16" t="s">
        <v>52</v>
      </c>
      <c r="Q28" s="16" t="s">
        <v>78</v>
      </c>
      <c r="R28" s="16" t="s">
        <v>54</v>
      </c>
      <c r="S28" s="4" t="s">
        <v>79</v>
      </c>
      <c r="T28" s="24" t="n">
        <v>530</v>
      </c>
      <c r="U28" s="18" t="n">
        <v>4.4</v>
      </c>
      <c r="V28" s="24" t="n">
        <v>0.54</v>
      </c>
      <c r="W28" s="2" t="n">
        <v>0.4</v>
      </c>
      <c r="Z28" s="18" t="s">
        <v>56</v>
      </c>
      <c r="AA28" s="20"/>
      <c r="AB28" s="20"/>
      <c r="AC28" s="20"/>
    </row>
    <row r="29" customFormat="false" ht="14.25" hidden="false" customHeight="true" outlineLevel="0" collapsed="false">
      <c r="A29" s="18" t="s">
        <v>71</v>
      </c>
      <c r="B29" s="18" t="s">
        <v>71</v>
      </c>
      <c r="C29" s="18" t="s">
        <v>40</v>
      </c>
      <c r="E29" s="2" t="n">
        <f aca="false">INDEX(FieldSites!F:F, MATCH(Ch2_FieldSurvey!B29,FieldSites!C:C,0))</f>
        <v>1595</v>
      </c>
      <c r="F29" s="2" t="n">
        <f aca="false">INDEX(FieldSites!G:G, MATCH(Ch2_FieldSurvey!B29,FieldSites!C:C,0))</f>
        <v>-119.307426</v>
      </c>
      <c r="G29" s="2" t="n">
        <f aca="false">INDEX(FieldSites!H:H, MATCH(Ch2_FieldSurvey!B29,FieldSites!C:C,0))</f>
        <v>37.145131</v>
      </c>
      <c r="H29" s="18" t="n">
        <v>2</v>
      </c>
      <c r="I29" s="21" t="s">
        <v>76</v>
      </c>
      <c r="J29" s="22" t="n">
        <v>44321</v>
      </c>
      <c r="K29" s="23" t="n">
        <v>0.527777777777778</v>
      </c>
      <c r="L29" s="22" t="n">
        <v>44322</v>
      </c>
      <c r="M29" s="23" t="n">
        <v>0.914583333333333</v>
      </c>
      <c r="O29" s="1" t="s">
        <v>77</v>
      </c>
      <c r="P29" s="16" t="s">
        <v>52</v>
      </c>
      <c r="Q29" s="16" t="s">
        <v>78</v>
      </c>
      <c r="R29" s="16" t="s">
        <v>54</v>
      </c>
      <c r="S29" s="4" t="s">
        <v>79</v>
      </c>
      <c r="T29" s="24" t="n">
        <v>430</v>
      </c>
      <c r="U29" s="18" t="n">
        <v>4.4</v>
      </c>
      <c r="V29" s="24" t="n">
        <v>0.55</v>
      </c>
      <c r="W29" s="2" t="n">
        <v>0.3</v>
      </c>
      <c r="Z29" s="18" t="s">
        <v>56</v>
      </c>
      <c r="AA29" s="20"/>
      <c r="AB29" s="20"/>
      <c r="AC29" s="20"/>
    </row>
    <row r="30" customFormat="false" ht="14.25" hidden="false" customHeight="true" outlineLevel="0" collapsed="false">
      <c r="A30" s="18" t="s">
        <v>71</v>
      </c>
      <c r="B30" s="18" t="s">
        <v>71</v>
      </c>
      <c r="C30" s="18" t="s">
        <v>40</v>
      </c>
      <c r="E30" s="2" t="n">
        <f aca="false">INDEX(FieldSites!F:F, MATCH(Ch2_FieldSurvey!B30,FieldSites!C:C,0))</f>
        <v>1595</v>
      </c>
      <c r="F30" s="2" t="n">
        <f aca="false">INDEX(FieldSites!G:G, MATCH(Ch2_FieldSurvey!B30,FieldSites!C:C,0))</f>
        <v>-119.307426</v>
      </c>
      <c r="G30" s="2" t="n">
        <f aca="false">INDEX(FieldSites!H:H, MATCH(Ch2_FieldSurvey!B30,FieldSites!C:C,0))</f>
        <v>37.145131</v>
      </c>
      <c r="H30" s="18" t="n">
        <v>3</v>
      </c>
      <c r="I30" s="21" t="s">
        <v>80</v>
      </c>
      <c r="J30" s="22" t="n">
        <v>44321</v>
      </c>
      <c r="K30" s="23" t="n">
        <v>0.53125</v>
      </c>
      <c r="L30" s="22" t="n">
        <v>44322</v>
      </c>
      <c r="M30" s="23" t="n">
        <v>0.916666666666667</v>
      </c>
      <c r="O30" s="1" t="s">
        <v>81</v>
      </c>
      <c r="P30" s="16" t="s">
        <v>52</v>
      </c>
      <c r="Q30" s="16" t="s">
        <v>82</v>
      </c>
      <c r="R30" s="16" t="s">
        <v>54</v>
      </c>
      <c r="S30" s="4" t="s">
        <v>83</v>
      </c>
      <c r="T30" s="24" t="n">
        <v>240</v>
      </c>
      <c r="U30" s="18" t="n">
        <v>3</v>
      </c>
      <c r="V30" s="24" t="n">
        <v>0.38</v>
      </c>
      <c r="W30" s="2" t="n">
        <v>0.5</v>
      </c>
      <c r="Z30" s="18" t="s">
        <v>56</v>
      </c>
      <c r="AA30" s="19" t="n">
        <v>1703397</v>
      </c>
      <c r="AB30" s="19" t="n">
        <v>1808854</v>
      </c>
      <c r="AC30" s="19" t="n">
        <f aca="false">(AB30-AA30)/AB30</f>
        <v>0.0583004487924399</v>
      </c>
    </row>
    <row r="31" customFormat="false" ht="14.25" hidden="false" customHeight="true" outlineLevel="0" collapsed="false">
      <c r="A31" s="18" t="s">
        <v>71</v>
      </c>
      <c r="B31" s="18" t="s">
        <v>71</v>
      </c>
      <c r="C31" s="18" t="s">
        <v>40</v>
      </c>
      <c r="E31" s="2" t="n">
        <f aca="false">INDEX(FieldSites!F:F, MATCH(Ch2_FieldSurvey!B31,FieldSites!C:C,0))</f>
        <v>1595</v>
      </c>
      <c r="F31" s="2" t="n">
        <f aca="false">INDEX(FieldSites!G:G, MATCH(Ch2_FieldSurvey!B31,FieldSites!C:C,0))</f>
        <v>-119.307426</v>
      </c>
      <c r="G31" s="2" t="n">
        <f aca="false">INDEX(FieldSites!H:H, MATCH(Ch2_FieldSurvey!B31,FieldSites!C:C,0))</f>
        <v>37.145131</v>
      </c>
      <c r="H31" s="18" t="n">
        <v>3</v>
      </c>
      <c r="I31" s="21" t="s">
        <v>80</v>
      </c>
      <c r="J31" s="22" t="n">
        <v>44321</v>
      </c>
      <c r="K31" s="23" t="n">
        <v>0.53125</v>
      </c>
      <c r="L31" s="22" t="n">
        <v>44322</v>
      </c>
      <c r="M31" s="23" t="n">
        <v>0.916666666666667</v>
      </c>
      <c r="O31" s="1" t="s">
        <v>81</v>
      </c>
      <c r="P31" s="16" t="s">
        <v>52</v>
      </c>
      <c r="Q31" s="16" t="s">
        <v>82</v>
      </c>
      <c r="R31" s="16" t="s">
        <v>54</v>
      </c>
      <c r="S31" s="4" t="s">
        <v>83</v>
      </c>
      <c r="T31" s="24" t="n">
        <v>335</v>
      </c>
      <c r="U31" s="18" t="n">
        <v>3</v>
      </c>
      <c r="V31" s="24" t="n">
        <v>0.34</v>
      </c>
      <c r="W31" s="2" t="n">
        <v>0.5</v>
      </c>
      <c r="Z31" s="18" t="s">
        <v>56</v>
      </c>
      <c r="AA31" s="20"/>
      <c r="AB31" s="20"/>
      <c r="AC31" s="20"/>
    </row>
    <row r="32" customFormat="false" ht="14.25" hidden="false" customHeight="true" outlineLevel="0" collapsed="false">
      <c r="A32" s="18" t="s">
        <v>71</v>
      </c>
      <c r="B32" s="18" t="s">
        <v>71</v>
      </c>
      <c r="C32" s="18" t="s">
        <v>40</v>
      </c>
      <c r="E32" s="2" t="n">
        <f aca="false">INDEX(FieldSites!F:F, MATCH(Ch2_FieldSurvey!B32,FieldSites!C:C,0))</f>
        <v>1595</v>
      </c>
      <c r="F32" s="2" t="n">
        <f aca="false">INDEX(FieldSites!G:G, MATCH(Ch2_FieldSurvey!B32,FieldSites!C:C,0))</f>
        <v>-119.307426</v>
      </c>
      <c r="G32" s="2" t="n">
        <f aca="false">INDEX(FieldSites!H:H, MATCH(Ch2_FieldSurvey!B32,FieldSites!C:C,0))</f>
        <v>37.145131</v>
      </c>
      <c r="H32" s="18" t="n">
        <v>3</v>
      </c>
      <c r="I32" s="21" t="s">
        <v>80</v>
      </c>
      <c r="J32" s="22" t="n">
        <v>44321</v>
      </c>
      <c r="K32" s="23" t="n">
        <v>0.53125</v>
      </c>
      <c r="L32" s="22" t="n">
        <v>44322</v>
      </c>
      <c r="M32" s="23" t="n">
        <v>0.916666666666667</v>
      </c>
      <c r="O32" s="1" t="s">
        <v>81</v>
      </c>
      <c r="P32" s="16" t="s">
        <v>52</v>
      </c>
      <c r="Q32" s="16" t="s">
        <v>82</v>
      </c>
      <c r="R32" s="16" t="s">
        <v>54</v>
      </c>
      <c r="S32" s="4" t="s">
        <v>83</v>
      </c>
      <c r="T32" s="24" t="n">
        <v>400</v>
      </c>
      <c r="U32" s="18" t="n">
        <v>3.4</v>
      </c>
      <c r="V32" s="24" t="n">
        <v>0.38</v>
      </c>
      <c r="W32" s="2" t="n">
        <v>0.7</v>
      </c>
      <c r="Z32" s="18" t="s">
        <v>56</v>
      </c>
      <c r="AA32" s="20"/>
      <c r="AB32" s="20"/>
      <c r="AC32" s="20"/>
    </row>
    <row r="33" customFormat="false" ht="14.25" hidden="false" customHeight="true" outlineLevel="0" collapsed="false">
      <c r="A33" s="18" t="s">
        <v>71</v>
      </c>
      <c r="B33" s="18" t="s">
        <v>71</v>
      </c>
      <c r="C33" s="18" t="s">
        <v>40</v>
      </c>
      <c r="E33" s="2" t="n">
        <f aca="false">INDEX(FieldSites!F:F, MATCH(Ch2_FieldSurvey!B33,FieldSites!C:C,0))</f>
        <v>1595</v>
      </c>
      <c r="F33" s="2" t="n">
        <f aca="false">INDEX(FieldSites!G:G, MATCH(Ch2_FieldSurvey!B33,FieldSites!C:C,0))</f>
        <v>-119.307426</v>
      </c>
      <c r="G33" s="2" t="n">
        <f aca="false">INDEX(FieldSites!H:H, MATCH(Ch2_FieldSurvey!B33,FieldSites!C:C,0))</f>
        <v>37.145131</v>
      </c>
      <c r="H33" s="18" t="n">
        <v>4</v>
      </c>
      <c r="I33" s="21" t="s">
        <v>84</v>
      </c>
      <c r="J33" s="22" t="n">
        <v>44321</v>
      </c>
      <c r="K33" s="23" t="n">
        <v>0.534722222222222</v>
      </c>
      <c r="L33" s="22" t="n">
        <v>44322</v>
      </c>
      <c r="M33" s="23" t="n">
        <v>0.91875</v>
      </c>
      <c r="O33" s="1" t="s">
        <v>85</v>
      </c>
      <c r="P33" s="16" t="s">
        <v>52</v>
      </c>
      <c r="Q33" s="16" t="s">
        <v>86</v>
      </c>
      <c r="R33" s="16" t="s">
        <v>54</v>
      </c>
      <c r="S33" s="4" t="s">
        <v>87</v>
      </c>
      <c r="T33" s="24" t="n">
        <v>324</v>
      </c>
      <c r="U33" s="18" t="n">
        <v>3.6</v>
      </c>
      <c r="V33" s="24" t="n">
        <v>0.38</v>
      </c>
      <c r="W33" s="2" t="n">
        <v>0.6</v>
      </c>
      <c r="Z33" s="18" t="s">
        <v>56</v>
      </c>
      <c r="AA33" s="19" t="n">
        <v>682923</v>
      </c>
      <c r="AB33" s="19" t="n">
        <v>720876</v>
      </c>
      <c r="AC33" s="19" t="n">
        <f aca="false">(AB33-AA33)/AB33</f>
        <v>0.0526484443926556</v>
      </c>
    </row>
    <row r="34" customFormat="false" ht="14.25" hidden="false" customHeight="true" outlineLevel="0" collapsed="false">
      <c r="A34" s="18" t="s">
        <v>71</v>
      </c>
      <c r="B34" s="18" t="s">
        <v>71</v>
      </c>
      <c r="C34" s="18" t="s">
        <v>40</v>
      </c>
      <c r="E34" s="2" t="n">
        <f aca="false">INDEX(FieldSites!F:F, MATCH(Ch2_FieldSurvey!B34,FieldSites!C:C,0))</f>
        <v>1595</v>
      </c>
      <c r="F34" s="2" t="n">
        <f aca="false">INDEX(FieldSites!G:G, MATCH(Ch2_FieldSurvey!B34,FieldSites!C:C,0))</f>
        <v>-119.307426</v>
      </c>
      <c r="G34" s="2" t="n">
        <f aca="false">INDEX(FieldSites!H:H, MATCH(Ch2_FieldSurvey!B34,FieldSites!C:C,0))</f>
        <v>37.145131</v>
      </c>
      <c r="H34" s="18" t="n">
        <v>4</v>
      </c>
      <c r="I34" s="21" t="s">
        <v>84</v>
      </c>
      <c r="J34" s="22" t="n">
        <v>44321</v>
      </c>
      <c r="K34" s="23" t="n">
        <v>0.534722222222222</v>
      </c>
      <c r="L34" s="22" t="n">
        <v>44322</v>
      </c>
      <c r="M34" s="23" t="n">
        <v>0.91875</v>
      </c>
      <c r="O34" s="1" t="s">
        <v>85</v>
      </c>
      <c r="P34" s="16" t="s">
        <v>52</v>
      </c>
      <c r="Q34" s="16" t="s">
        <v>86</v>
      </c>
      <c r="R34" s="16" t="s">
        <v>54</v>
      </c>
      <c r="S34" s="4" t="s">
        <v>87</v>
      </c>
      <c r="T34" s="24" t="n">
        <v>395</v>
      </c>
      <c r="U34" s="18" t="n">
        <v>4.1</v>
      </c>
      <c r="V34" s="24" t="n">
        <v>0.38</v>
      </c>
      <c r="W34" s="2" t="n">
        <v>0.6</v>
      </c>
      <c r="Z34" s="18" t="s">
        <v>56</v>
      </c>
      <c r="AA34" s="20"/>
      <c r="AB34" s="20"/>
      <c r="AC34" s="20"/>
    </row>
    <row r="35" customFormat="false" ht="14.25" hidden="false" customHeight="true" outlineLevel="0" collapsed="false">
      <c r="A35" s="18" t="s">
        <v>71</v>
      </c>
      <c r="B35" s="18" t="s">
        <v>71</v>
      </c>
      <c r="C35" s="18" t="s">
        <v>40</v>
      </c>
      <c r="E35" s="2" t="n">
        <f aca="false">INDEX(FieldSites!F:F, MATCH(Ch2_FieldSurvey!B35,FieldSites!C:C,0))</f>
        <v>1595</v>
      </c>
      <c r="F35" s="2" t="n">
        <f aca="false">INDEX(FieldSites!G:G, MATCH(Ch2_FieldSurvey!B35,FieldSites!C:C,0))</f>
        <v>-119.307426</v>
      </c>
      <c r="G35" s="2" t="n">
        <f aca="false">INDEX(FieldSites!H:H, MATCH(Ch2_FieldSurvey!B35,FieldSites!C:C,0))</f>
        <v>37.145131</v>
      </c>
      <c r="H35" s="18" t="n">
        <v>4</v>
      </c>
      <c r="I35" s="21" t="s">
        <v>84</v>
      </c>
      <c r="J35" s="22" t="n">
        <v>44321</v>
      </c>
      <c r="K35" s="23" t="n">
        <v>0.534722222222222</v>
      </c>
      <c r="L35" s="22" t="n">
        <v>44322</v>
      </c>
      <c r="M35" s="23" t="n">
        <v>0.91875</v>
      </c>
      <c r="O35" s="1" t="s">
        <v>85</v>
      </c>
      <c r="P35" s="16" t="s">
        <v>52</v>
      </c>
      <c r="Q35" s="16" t="s">
        <v>86</v>
      </c>
      <c r="R35" s="16" t="s">
        <v>54</v>
      </c>
      <c r="S35" s="4" t="s">
        <v>87</v>
      </c>
      <c r="T35" s="24" t="n">
        <v>510</v>
      </c>
      <c r="U35" s="18" t="n">
        <v>4</v>
      </c>
      <c r="V35" s="24" t="n">
        <v>0.39</v>
      </c>
      <c r="W35" s="2" t="n">
        <v>0.8</v>
      </c>
      <c r="Z35" s="18" t="s">
        <v>56</v>
      </c>
      <c r="AA35" s="20"/>
      <c r="AB35" s="20"/>
      <c r="AC35" s="20"/>
    </row>
    <row r="36" customFormat="false" ht="14.25" hidden="false" customHeight="true" outlineLevel="0" collapsed="false">
      <c r="A36" s="18" t="s">
        <v>71</v>
      </c>
      <c r="B36" s="18" t="s">
        <v>71</v>
      </c>
      <c r="C36" s="18" t="s">
        <v>40</v>
      </c>
      <c r="D36" s="18" t="s">
        <v>88</v>
      </c>
      <c r="E36" s="2" t="n">
        <f aca="false">INDEX(FieldSites!F:F, MATCH(Ch2_FieldSurvey!B36,FieldSites!C:C,0))</f>
        <v>1595</v>
      </c>
      <c r="F36" s="2" t="n">
        <f aca="false">INDEX(FieldSites!G:G, MATCH(Ch2_FieldSurvey!B36,FieldSites!C:C,0))</f>
        <v>-119.307426</v>
      </c>
      <c r="G36" s="2" t="n">
        <f aca="false">INDEX(FieldSites!H:H, MATCH(Ch2_FieldSurvey!B36,FieldSites!C:C,0))</f>
        <v>37.145131</v>
      </c>
      <c r="H36" s="18" t="n">
        <v>5</v>
      </c>
      <c r="I36" s="21" t="s">
        <v>89</v>
      </c>
      <c r="J36" s="22" t="n">
        <v>44321</v>
      </c>
      <c r="K36" s="23" t="n">
        <v>0.541666666666667</v>
      </c>
      <c r="L36" s="22" t="n">
        <v>44322</v>
      </c>
      <c r="M36" s="23" t="n">
        <v>0.921527777777778</v>
      </c>
      <c r="O36" s="1" t="s">
        <v>90</v>
      </c>
      <c r="P36" s="16" t="s">
        <v>52</v>
      </c>
      <c r="Q36" s="16" t="s">
        <v>91</v>
      </c>
      <c r="R36" s="16" t="s">
        <v>54</v>
      </c>
      <c r="S36" s="4" t="s">
        <v>92</v>
      </c>
      <c r="T36" s="24" t="n">
        <v>510</v>
      </c>
      <c r="U36" s="18" t="n">
        <v>4.6</v>
      </c>
      <c r="V36" s="24" t="n">
        <v>0.43</v>
      </c>
      <c r="W36" s="2" t="n">
        <v>0.6</v>
      </c>
      <c r="Z36" s="18" t="s">
        <v>56</v>
      </c>
      <c r="AA36" s="19" t="n">
        <v>829159</v>
      </c>
      <c r="AB36" s="19" t="n">
        <v>1023402</v>
      </c>
      <c r="AC36" s="19" t="n">
        <f aca="false">(AB36-AA36)/AB36</f>
        <v>0.189801270663923</v>
      </c>
    </row>
    <row r="37" customFormat="false" ht="14.25" hidden="false" customHeight="true" outlineLevel="0" collapsed="false">
      <c r="A37" s="18" t="s">
        <v>71</v>
      </c>
      <c r="B37" s="18" t="s">
        <v>71</v>
      </c>
      <c r="C37" s="18" t="s">
        <v>40</v>
      </c>
      <c r="D37" s="18" t="s">
        <v>88</v>
      </c>
      <c r="E37" s="2" t="n">
        <f aca="false">INDEX(FieldSites!F:F, MATCH(Ch2_FieldSurvey!B37,FieldSites!C:C,0))</f>
        <v>1595</v>
      </c>
      <c r="F37" s="2" t="n">
        <f aca="false">INDEX(FieldSites!G:G, MATCH(Ch2_FieldSurvey!B37,FieldSites!C:C,0))</f>
        <v>-119.307426</v>
      </c>
      <c r="G37" s="2" t="n">
        <f aca="false">INDEX(FieldSites!H:H, MATCH(Ch2_FieldSurvey!B37,FieldSites!C:C,0))</f>
        <v>37.145131</v>
      </c>
      <c r="H37" s="18" t="n">
        <v>5</v>
      </c>
      <c r="I37" s="21" t="s">
        <v>89</v>
      </c>
      <c r="J37" s="22" t="n">
        <v>44321</v>
      </c>
      <c r="K37" s="23" t="n">
        <v>0.541666666666667</v>
      </c>
      <c r="L37" s="22" t="n">
        <v>44322</v>
      </c>
      <c r="M37" s="23" t="n">
        <v>0.921527777777778</v>
      </c>
      <c r="O37" s="1" t="s">
        <v>90</v>
      </c>
      <c r="P37" s="16" t="s">
        <v>52</v>
      </c>
      <c r="Q37" s="16" t="s">
        <v>91</v>
      </c>
      <c r="R37" s="16" t="s">
        <v>54</v>
      </c>
      <c r="S37" s="4" t="s">
        <v>92</v>
      </c>
      <c r="T37" s="24" t="n">
        <v>430</v>
      </c>
      <c r="U37" s="18" t="n">
        <v>4.6</v>
      </c>
      <c r="V37" s="24" t="n">
        <v>0.46</v>
      </c>
      <c r="W37" s="2" t="n">
        <v>0.5</v>
      </c>
      <c r="Z37" s="18" t="s">
        <v>56</v>
      </c>
      <c r="AA37" s="20"/>
      <c r="AB37" s="20"/>
      <c r="AC37" s="20"/>
    </row>
    <row r="38" customFormat="false" ht="14.25" hidden="false" customHeight="true" outlineLevel="0" collapsed="false">
      <c r="A38" s="18" t="s">
        <v>71</v>
      </c>
      <c r="B38" s="18" t="s">
        <v>71</v>
      </c>
      <c r="C38" s="18" t="s">
        <v>40</v>
      </c>
      <c r="D38" s="18" t="s">
        <v>88</v>
      </c>
      <c r="E38" s="2" t="n">
        <f aca="false">INDEX(FieldSites!F:F, MATCH(Ch2_FieldSurvey!B38,FieldSites!C:C,0))</f>
        <v>1595</v>
      </c>
      <c r="F38" s="2" t="n">
        <f aca="false">INDEX(FieldSites!G:G, MATCH(Ch2_FieldSurvey!B38,FieldSites!C:C,0))</f>
        <v>-119.307426</v>
      </c>
      <c r="G38" s="2" t="n">
        <f aca="false">INDEX(FieldSites!H:H, MATCH(Ch2_FieldSurvey!B38,FieldSites!C:C,0))</f>
        <v>37.145131</v>
      </c>
      <c r="H38" s="18" t="n">
        <v>5</v>
      </c>
      <c r="I38" s="21" t="s">
        <v>89</v>
      </c>
      <c r="J38" s="22" t="n">
        <v>44321</v>
      </c>
      <c r="K38" s="23" t="n">
        <v>0.541666666666667</v>
      </c>
      <c r="L38" s="22" t="n">
        <v>44322</v>
      </c>
      <c r="M38" s="23" t="n">
        <v>0.921527777777778</v>
      </c>
      <c r="O38" s="1" t="s">
        <v>90</v>
      </c>
      <c r="P38" s="16" t="s">
        <v>52</v>
      </c>
      <c r="Q38" s="16" t="s">
        <v>91</v>
      </c>
      <c r="R38" s="16" t="s">
        <v>54</v>
      </c>
      <c r="S38" s="4" t="s">
        <v>92</v>
      </c>
      <c r="T38" s="24" t="n">
        <v>505</v>
      </c>
      <c r="U38" s="18" t="n">
        <v>4.7</v>
      </c>
      <c r="V38" s="24" t="n">
        <v>0.55</v>
      </c>
      <c r="W38" s="2" t="n">
        <v>0.8</v>
      </c>
      <c r="Z38" s="18" t="s">
        <v>56</v>
      </c>
      <c r="AA38" s="20"/>
      <c r="AB38" s="20"/>
      <c r="AC38" s="20"/>
    </row>
    <row r="39" customFormat="false" ht="14.25" hidden="false" customHeight="true" outlineLevel="0" collapsed="false">
      <c r="A39" s="18" t="s">
        <v>71</v>
      </c>
      <c r="B39" s="18" t="s">
        <v>71</v>
      </c>
      <c r="C39" s="18" t="s">
        <v>31</v>
      </c>
      <c r="E39" s="2" t="n">
        <f aca="false">INDEX(FieldSites!F:F, MATCH(Ch2_FieldSurvey!B39,FieldSites!C:C,0))</f>
        <v>1595</v>
      </c>
      <c r="F39" s="2" t="n">
        <f aca="false">INDEX(FieldSites!G:G, MATCH(Ch2_FieldSurvey!B39,FieldSites!C:C,0))</f>
        <v>-119.307426</v>
      </c>
      <c r="G39" s="2" t="n">
        <f aca="false">INDEX(FieldSites!H:H, MATCH(Ch2_FieldSurvey!B39,FieldSites!C:C,0))</f>
        <v>37.145131</v>
      </c>
      <c r="H39" s="18" t="n">
        <v>1</v>
      </c>
      <c r="I39" s="21" t="s">
        <v>93</v>
      </c>
      <c r="J39" s="22" t="n">
        <v>44321</v>
      </c>
      <c r="K39" s="23" t="n">
        <v>0.541666666666667</v>
      </c>
      <c r="L39" s="22" t="n">
        <v>44322</v>
      </c>
      <c r="M39" s="23" t="n">
        <v>0.938194444444444</v>
      </c>
      <c r="O39" s="1" t="s">
        <v>94</v>
      </c>
      <c r="P39" s="16" t="s">
        <v>52</v>
      </c>
      <c r="Q39" s="16" t="s">
        <v>91</v>
      </c>
      <c r="R39" s="16" t="s">
        <v>54</v>
      </c>
      <c r="S39" s="4" t="s">
        <v>95</v>
      </c>
      <c r="T39" s="24" t="n">
        <v>415</v>
      </c>
      <c r="U39" s="18" t="n">
        <v>3.1</v>
      </c>
      <c r="V39" s="24" t="n">
        <v>0.41</v>
      </c>
      <c r="W39" s="2" t="n">
        <v>0.4</v>
      </c>
      <c r="Z39" s="18" t="s">
        <v>56</v>
      </c>
      <c r="AA39" s="19" t="n">
        <v>135431</v>
      </c>
      <c r="AB39" s="19" t="n">
        <v>181589</v>
      </c>
      <c r="AC39" s="19" t="n">
        <f aca="false">(AB39-AA39)/AB39</f>
        <v>0.254189405745943</v>
      </c>
    </row>
    <row r="40" customFormat="false" ht="14.25" hidden="false" customHeight="true" outlineLevel="0" collapsed="false">
      <c r="A40" s="18" t="s">
        <v>71</v>
      </c>
      <c r="B40" s="18" t="s">
        <v>71</v>
      </c>
      <c r="C40" s="18" t="s">
        <v>31</v>
      </c>
      <c r="E40" s="2" t="n">
        <f aca="false">INDEX(FieldSites!F:F, MATCH(Ch2_FieldSurvey!B40,FieldSites!C:C,0))</f>
        <v>1595</v>
      </c>
      <c r="F40" s="2" t="n">
        <f aca="false">INDEX(FieldSites!G:G, MATCH(Ch2_FieldSurvey!B40,FieldSites!C:C,0))</f>
        <v>-119.307426</v>
      </c>
      <c r="G40" s="2" t="n">
        <f aca="false">INDEX(FieldSites!H:H, MATCH(Ch2_FieldSurvey!B40,FieldSites!C:C,0))</f>
        <v>37.145131</v>
      </c>
      <c r="H40" s="18" t="n">
        <v>1</v>
      </c>
      <c r="I40" s="21" t="s">
        <v>93</v>
      </c>
      <c r="J40" s="22" t="n">
        <v>44321</v>
      </c>
      <c r="K40" s="23" t="n">
        <v>0.541666666666667</v>
      </c>
      <c r="L40" s="22" t="n">
        <v>44322</v>
      </c>
      <c r="M40" s="23" t="n">
        <v>0.938194444444444</v>
      </c>
      <c r="O40" s="1" t="s">
        <v>94</v>
      </c>
      <c r="P40" s="16" t="s">
        <v>52</v>
      </c>
      <c r="Q40" s="16" t="s">
        <v>91</v>
      </c>
      <c r="R40" s="16" t="s">
        <v>54</v>
      </c>
      <c r="S40" s="4" t="s">
        <v>95</v>
      </c>
      <c r="T40" s="24" t="n">
        <v>415</v>
      </c>
      <c r="U40" s="18" t="n">
        <v>2.4</v>
      </c>
      <c r="V40" s="24" t="n">
        <v>0.34</v>
      </c>
      <c r="Z40" s="18" t="s">
        <v>56</v>
      </c>
      <c r="AA40" s="20"/>
      <c r="AB40" s="20"/>
      <c r="AC40" s="20"/>
    </row>
    <row r="41" customFormat="false" ht="14.25" hidden="false" customHeight="true" outlineLevel="0" collapsed="false">
      <c r="A41" s="18" t="s">
        <v>71</v>
      </c>
      <c r="B41" s="18" t="s">
        <v>71</v>
      </c>
      <c r="C41" s="18" t="s">
        <v>31</v>
      </c>
      <c r="E41" s="2" t="n">
        <f aca="false">INDEX(FieldSites!F:F, MATCH(Ch2_FieldSurvey!B41,FieldSites!C:C,0))</f>
        <v>1595</v>
      </c>
      <c r="F41" s="2" t="n">
        <f aca="false">INDEX(FieldSites!G:G, MATCH(Ch2_FieldSurvey!B41,FieldSites!C:C,0))</f>
        <v>-119.307426</v>
      </c>
      <c r="G41" s="2" t="n">
        <f aca="false">INDEX(FieldSites!H:H, MATCH(Ch2_FieldSurvey!B41,FieldSites!C:C,0))</f>
        <v>37.145131</v>
      </c>
      <c r="H41" s="18" t="n">
        <v>1</v>
      </c>
      <c r="I41" s="21" t="s">
        <v>93</v>
      </c>
      <c r="J41" s="22" t="n">
        <v>44321</v>
      </c>
      <c r="K41" s="23" t="n">
        <v>0.541666666666667</v>
      </c>
      <c r="L41" s="22" t="n">
        <v>44322</v>
      </c>
      <c r="M41" s="23" t="n">
        <v>0.938194444444444</v>
      </c>
      <c r="O41" s="1" t="s">
        <v>94</v>
      </c>
      <c r="P41" s="16" t="s">
        <v>52</v>
      </c>
      <c r="Q41" s="16" t="s">
        <v>91</v>
      </c>
      <c r="R41" s="16" t="s">
        <v>54</v>
      </c>
      <c r="S41" s="4" t="s">
        <v>95</v>
      </c>
      <c r="T41" s="24" t="n">
        <v>520</v>
      </c>
      <c r="U41" s="18" t="n">
        <v>1.9</v>
      </c>
      <c r="V41" s="24" t="n">
        <v>0.42</v>
      </c>
      <c r="Z41" s="18" t="s">
        <v>96</v>
      </c>
      <c r="AA41" s="20"/>
      <c r="AB41" s="20"/>
      <c r="AC41" s="20"/>
    </row>
    <row r="42" customFormat="false" ht="14.25" hidden="false" customHeight="true" outlineLevel="0" collapsed="false">
      <c r="A42" s="18" t="s">
        <v>71</v>
      </c>
      <c r="B42" s="18" t="s">
        <v>71</v>
      </c>
      <c r="C42" s="18" t="s">
        <v>31</v>
      </c>
      <c r="E42" s="2" t="n">
        <f aca="false">INDEX(FieldSites!F:F, MATCH(Ch2_FieldSurvey!B42,FieldSites!C:C,0))</f>
        <v>1595</v>
      </c>
      <c r="F42" s="2" t="n">
        <f aca="false">INDEX(FieldSites!G:G, MATCH(Ch2_FieldSurvey!B42,FieldSites!C:C,0))</f>
        <v>-119.307426</v>
      </c>
      <c r="G42" s="2" t="n">
        <f aca="false">INDEX(FieldSites!H:H, MATCH(Ch2_FieldSurvey!B42,FieldSites!C:C,0))</f>
        <v>37.145131</v>
      </c>
      <c r="H42" s="18" t="n">
        <v>2</v>
      </c>
      <c r="I42" s="21" t="s">
        <v>97</v>
      </c>
      <c r="J42" s="22" t="n">
        <v>44321</v>
      </c>
      <c r="K42" s="23" t="n">
        <v>0.545138888888889</v>
      </c>
      <c r="L42" s="22" t="n">
        <v>44322</v>
      </c>
      <c r="M42" s="23" t="n">
        <v>0.940277777777778</v>
      </c>
      <c r="O42" s="1" t="s">
        <v>98</v>
      </c>
      <c r="P42" s="16" t="s">
        <v>52</v>
      </c>
      <c r="Q42" s="16" t="s">
        <v>99</v>
      </c>
      <c r="R42" s="16" t="s">
        <v>54</v>
      </c>
      <c r="S42" s="4" t="s">
        <v>100</v>
      </c>
      <c r="T42" s="24" t="n">
        <v>440</v>
      </c>
      <c r="U42" s="18" t="n">
        <v>4.1</v>
      </c>
      <c r="V42" s="24" t="n">
        <v>0.34</v>
      </c>
      <c r="W42" s="2" t="n">
        <v>0.8</v>
      </c>
      <c r="Z42" s="18" t="s">
        <v>96</v>
      </c>
      <c r="AA42" s="19" t="n">
        <v>1475924</v>
      </c>
      <c r="AB42" s="19" t="n">
        <v>4291857</v>
      </c>
      <c r="AC42" s="19" t="n">
        <f aca="false">(AB42-AA42)/AB42</f>
        <v>0.656110629967401</v>
      </c>
    </row>
    <row r="43" customFormat="false" ht="14.25" hidden="false" customHeight="true" outlineLevel="0" collapsed="false">
      <c r="A43" s="18" t="s">
        <v>71</v>
      </c>
      <c r="B43" s="18" t="s">
        <v>71</v>
      </c>
      <c r="C43" s="18" t="s">
        <v>31</v>
      </c>
      <c r="E43" s="2" t="n">
        <f aca="false">INDEX(FieldSites!F:F, MATCH(Ch2_FieldSurvey!B43,FieldSites!C:C,0))</f>
        <v>1595</v>
      </c>
      <c r="F43" s="2" t="n">
        <f aca="false">INDEX(FieldSites!G:G, MATCH(Ch2_FieldSurvey!B43,FieldSites!C:C,0))</f>
        <v>-119.307426</v>
      </c>
      <c r="G43" s="2" t="n">
        <f aca="false">INDEX(FieldSites!H:H, MATCH(Ch2_FieldSurvey!B43,FieldSites!C:C,0))</f>
        <v>37.145131</v>
      </c>
      <c r="H43" s="18" t="n">
        <v>2</v>
      </c>
      <c r="I43" s="21" t="s">
        <v>97</v>
      </c>
      <c r="J43" s="22" t="n">
        <v>44321</v>
      </c>
      <c r="K43" s="23" t="n">
        <v>0.545138888888889</v>
      </c>
      <c r="L43" s="22" t="n">
        <v>44322</v>
      </c>
      <c r="M43" s="23" t="n">
        <v>0.940277777777778</v>
      </c>
      <c r="O43" s="1" t="s">
        <v>98</v>
      </c>
      <c r="P43" s="16" t="s">
        <v>52</v>
      </c>
      <c r="Q43" s="16" t="s">
        <v>99</v>
      </c>
      <c r="R43" s="16" t="s">
        <v>54</v>
      </c>
      <c r="S43" s="4" t="s">
        <v>100</v>
      </c>
      <c r="T43" s="24" t="n">
        <v>348</v>
      </c>
      <c r="U43" s="18" t="n">
        <v>5.5</v>
      </c>
      <c r="V43" s="24" t="n">
        <v>0.32</v>
      </c>
      <c r="W43" s="2" t="n">
        <v>0.6</v>
      </c>
      <c r="Z43" s="18" t="s">
        <v>96</v>
      </c>
      <c r="AA43" s="20"/>
      <c r="AB43" s="20"/>
      <c r="AC43" s="20"/>
    </row>
    <row r="44" customFormat="false" ht="14.25" hidden="false" customHeight="true" outlineLevel="0" collapsed="false">
      <c r="A44" s="18" t="s">
        <v>71</v>
      </c>
      <c r="B44" s="18" t="s">
        <v>71</v>
      </c>
      <c r="C44" s="18" t="s">
        <v>31</v>
      </c>
      <c r="E44" s="2" t="n">
        <f aca="false">INDEX(FieldSites!F:F, MATCH(Ch2_FieldSurvey!B44,FieldSites!C:C,0))</f>
        <v>1595</v>
      </c>
      <c r="F44" s="2" t="n">
        <f aca="false">INDEX(FieldSites!G:G, MATCH(Ch2_FieldSurvey!B44,FieldSites!C:C,0))</f>
        <v>-119.307426</v>
      </c>
      <c r="G44" s="2" t="n">
        <f aca="false">INDEX(FieldSites!H:H, MATCH(Ch2_FieldSurvey!B44,FieldSites!C:C,0))</f>
        <v>37.145131</v>
      </c>
      <c r="H44" s="18" t="n">
        <v>2</v>
      </c>
      <c r="I44" s="21" t="s">
        <v>97</v>
      </c>
      <c r="J44" s="22" t="n">
        <v>44321</v>
      </c>
      <c r="K44" s="23" t="n">
        <v>0.545138888888889</v>
      </c>
      <c r="L44" s="22" t="n">
        <v>44322</v>
      </c>
      <c r="M44" s="23" t="n">
        <v>0.940277777777778</v>
      </c>
      <c r="O44" s="1" t="s">
        <v>98</v>
      </c>
      <c r="P44" s="16" t="s">
        <v>52</v>
      </c>
      <c r="Q44" s="16" t="s">
        <v>99</v>
      </c>
      <c r="R44" s="16" t="s">
        <v>54</v>
      </c>
      <c r="S44" s="4" t="s">
        <v>100</v>
      </c>
      <c r="T44" s="24" t="n">
        <v>380</v>
      </c>
      <c r="U44" s="18" t="n">
        <v>1.5</v>
      </c>
      <c r="V44" s="24" t="n">
        <v>0.35</v>
      </c>
      <c r="Z44" s="18" t="s">
        <v>96</v>
      </c>
      <c r="AA44" s="20"/>
      <c r="AB44" s="20"/>
      <c r="AC44" s="20"/>
    </row>
    <row r="45" customFormat="false" ht="14.25" hidden="false" customHeight="true" outlineLevel="0" collapsed="false">
      <c r="A45" s="18" t="s">
        <v>71</v>
      </c>
      <c r="B45" s="18" t="s">
        <v>71</v>
      </c>
      <c r="C45" s="18" t="s">
        <v>31</v>
      </c>
      <c r="E45" s="2" t="n">
        <f aca="false">INDEX(FieldSites!F:F, MATCH(Ch2_FieldSurvey!B45,FieldSites!C:C,0))</f>
        <v>1595</v>
      </c>
      <c r="F45" s="2" t="n">
        <f aca="false">INDEX(FieldSites!G:G, MATCH(Ch2_FieldSurvey!B45,FieldSites!C:C,0))</f>
        <v>-119.307426</v>
      </c>
      <c r="G45" s="2" t="n">
        <f aca="false">INDEX(FieldSites!H:H, MATCH(Ch2_FieldSurvey!B45,FieldSites!C:C,0))</f>
        <v>37.145131</v>
      </c>
      <c r="H45" s="18" t="n">
        <v>3</v>
      </c>
      <c r="I45" s="21" t="s">
        <v>101</v>
      </c>
      <c r="J45" s="22" t="n">
        <v>44321</v>
      </c>
      <c r="K45" s="23" t="n">
        <v>0.545138888888889</v>
      </c>
      <c r="L45" s="22" t="n">
        <v>44322</v>
      </c>
      <c r="M45" s="23" t="n">
        <v>0.941666666666667</v>
      </c>
      <c r="O45" s="1" t="s">
        <v>102</v>
      </c>
      <c r="P45" s="16" t="s">
        <v>52</v>
      </c>
      <c r="Q45" s="16" t="s">
        <v>99</v>
      </c>
      <c r="R45" s="16" t="s">
        <v>54</v>
      </c>
      <c r="S45" s="4" t="s">
        <v>103</v>
      </c>
      <c r="T45" s="24" t="n">
        <v>607</v>
      </c>
      <c r="U45" s="18" t="n">
        <v>9</v>
      </c>
      <c r="V45" s="24" t="n">
        <v>0.21</v>
      </c>
      <c r="W45" s="2" t="n">
        <v>0.3</v>
      </c>
      <c r="Z45" s="18" t="s">
        <v>96</v>
      </c>
      <c r="AA45" s="19" t="n">
        <v>1301924</v>
      </c>
      <c r="AB45" s="19" t="n">
        <v>1720524</v>
      </c>
      <c r="AC45" s="19" t="n">
        <f aca="false">(AB45-AA45)/AB45</f>
        <v>0.243297972013177</v>
      </c>
    </row>
    <row r="46" customFormat="false" ht="14.25" hidden="false" customHeight="true" outlineLevel="0" collapsed="false">
      <c r="A46" s="18" t="s">
        <v>71</v>
      </c>
      <c r="B46" s="18" t="s">
        <v>71</v>
      </c>
      <c r="C46" s="18" t="s">
        <v>31</v>
      </c>
      <c r="E46" s="2" t="n">
        <f aca="false">INDEX(FieldSites!F:F, MATCH(Ch2_FieldSurvey!B46,FieldSites!C:C,0))</f>
        <v>1595</v>
      </c>
      <c r="F46" s="2" t="n">
        <f aca="false">INDEX(FieldSites!G:G, MATCH(Ch2_FieldSurvey!B46,FieldSites!C:C,0))</f>
        <v>-119.307426</v>
      </c>
      <c r="G46" s="2" t="n">
        <f aca="false">INDEX(FieldSites!H:H, MATCH(Ch2_FieldSurvey!B46,FieldSites!C:C,0))</f>
        <v>37.145131</v>
      </c>
      <c r="H46" s="18" t="n">
        <v>3</v>
      </c>
      <c r="I46" s="21" t="s">
        <v>101</v>
      </c>
      <c r="J46" s="22" t="n">
        <v>44321</v>
      </c>
      <c r="K46" s="23" t="n">
        <v>0.545138888888889</v>
      </c>
      <c r="L46" s="22" t="n">
        <v>44322</v>
      </c>
      <c r="M46" s="23" t="n">
        <v>0.941666666666667</v>
      </c>
      <c r="O46" s="1" t="s">
        <v>102</v>
      </c>
      <c r="P46" s="16" t="s">
        <v>52</v>
      </c>
      <c r="Q46" s="16" t="s">
        <v>99</v>
      </c>
      <c r="R46" s="16" t="s">
        <v>54</v>
      </c>
      <c r="S46" s="4" t="s">
        <v>103</v>
      </c>
      <c r="T46" s="24" t="n">
        <v>710</v>
      </c>
      <c r="U46" s="18" t="n">
        <v>7.1</v>
      </c>
      <c r="V46" s="24" t="n">
        <v>0.25</v>
      </c>
      <c r="W46" s="2" t="n">
        <v>0.6</v>
      </c>
      <c r="Z46" s="18" t="s">
        <v>96</v>
      </c>
      <c r="AA46" s="20"/>
      <c r="AB46" s="20"/>
      <c r="AC46" s="20"/>
    </row>
    <row r="47" customFormat="false" ht="14.25" hidden="false" customHeight="true" outlineLevel="0" collapsed="false">
      <c r="A47" s="18" t="s">
        <v>71</v>
      </c>
      <c r="B47" s="18" t="s">
        <v>71</v>
      </c>
      <c r="C47" s="18" t="s">
        <v>31</v>
      </c>
      <c r="E47" s="2" t="n">
        <f aca="false">INDEX(FieldSites!F:F, MATCH(Ch2_FieldSurvey!B47,FieldSites!C:C,0))</f>
        <v>1595</v>
      </c>
      <c r="F47" s="2" t="n">
        <f aca="false">INDEX(FieldSites!G:G, MATCH(Ch2_FieldSurvey!B47,FieldSites!C:C,0))</f>
        <v>-119.307426</v>
      </c>
      <c r="G47" s="2" t="n">
        <f aca="false">INDEX(FieldSites!H:H, MATCH(Ch2_FieldSurvey!B47,FieldSites!C:C,0))</f>
        <v>37.145131</v>
      </c>
      <c r="H47" s="18" t="n">
        <v>3</v>
      </c>
      <c r="I47" s="21" t="s">
        <v>101</v>
      </c>
      <c r="J47" s="22" t="n">
        <v>44321</v>
      </c>
      <c r="K47" s="23" t="n">
        <v>0.545138888888889</v>
      </c>
      <c r="L47" s="22" t="n">
        <v>44322</v>
      </c>
      <c r="M47" s="23" t="n">
        <v>0.941666666666667</v>
      </c>
      <c r="O47" s="1" t="s">
        <v>102</v>
      </c>
      <c r="P47" s="16" t="s">
        <v>52</v>
      </c>
      <c r="Q47" s="16" t="s">
        <v>99</v>
      </c>
      <c r="R47" s="16" t="s">
        <v>54</v>
      </c>
      <c r="S47" s="4" t="s">
        <v>103</v>
      </c>
      <c r="T47" s="24" t="n">
        <v>625</v>
      </c>
      <c r="U47" s="18" t="n">
        <v>6.2</v>
      </c>
      <c r="V47" s="24" t="n">
        <v>0.24</v>
      </c>
      <c r="W47" s="2" t="n">
        <v>0.6</v>
      </c>
      <c r="Z47" s="18" t="s">
        <v>96</v>
      </c>
      <c r="AA47" s="20"/>
      <c r="AB47" s="20"/>
      <c r="AC47" s="20"/>
    </row>
    <row r="48" customFormat="false" ht="14.25" hidden="false" customHeight="true" outlineLevel="0" collapsed="false">
      <c r="A48" s="18" t="s">
        <v>71</v>
      </c>
      <c r="B48" s="18" t="s">
        <v>71</v>
      </c>
      <c r="C48" s="18" t="s">
        <v>31</v>
      </c>
      <c r="E48" s="2" t="n">
        <f aca="false">INDEX(FieldSites!F:F, MATCH(Ch2_FieldSurvey!B48,FieldSites!C:C,0))</f>
        <v>1595</v>
      </c>
      <c r="F48" s="2" t="n">
        <f aca="false">INDEX(FieldSites!G:G, MATCH(Ch2_FieldSurvey!B48,FieldSites!C:C,0))</f>
        <v>-119.307426</v>
      </c>
      <c r="G48" s="2" t="n">
        <f aca="false">INDEX(FieldSites!H:H, MATCH(Ch2_FieldSurvey!B48,FieldSites!C:C,0))</f>
        <v>37.145131</v>
      </c>
      <c r="H48" s="18" t="n">
        <v>4</v>
      </c>
      <c r="I48" s="21" t="s">
        <v>104</v>
      </c>
      <c r="J48" s="22" t="n">
        <v>44321</v>
      </c>
      <c r="K48" s="23" t="n">
        <v>0.548611111111111</v>
      </c>
      <c r="L48" s="22" t="n">
        <v>44322</v>
      </c>
      <c r="M48" s="23" t="n">
        <v>0.944444444444445</v>
      </c>
      <c r="O48" s="1" t="s">
        <v>105</v>
      </c>
      <c r="P48" s="16" t="s">
        <v>52</v>
      </c>
      <c r="Q48" s="16" t="s">
        <v>106</v>
      </c>
      <c r="R48" s="16" t="s">
        <v>54</v>
      </c>
      <c r="S48" s="4" t="s">
        <v>107</v>
      </c>
      <c r="T48" s="24" t="n">
        <v>565</v>
      </c>
      <c r="U48" s="18" t="n">
        <v>4.2</v>
      </c>
      <c r="V48" s="24" t="n">
        <v>0.28</v>
      </c>
      <c r="W48" s="2" t="n">
        <v>0.7</v>
      </c>
      <c r="Z48" s="18" t="s">
        <v>96</v>
      </c>
      <c r="AA48" s="19" t="n">
        <v>179113</v>
      </c>
      <c r="AB48" s="19" t="n">
        <v>200536</v>
      </c>
      <c r="AC48" s="19" t="n">
        <f aca="false">(AB48-AA48)/AB48</f>
        <v>0.106828699086448</v>
      </c>
    </row>
    <row r="49" customFormat="false" ht="14.25" hidden="false" customHeight="true" outlineLevel="0" collapsed="false">
      <c r="A49" s="18" t="s">
        <v>71</v>
      </c>
      <c r="B49" s="18" t="s">
        <v>71</v>
      </c>
      <c r="C49" s="18" t="s">
        <v>31</v>
      </c>
      <c r="E49" s="2" t="n">
        <f aca="false">INDEX(FieldSites!F:F, MATCH(Ch2_FieldSurvey!B49,FieldSites!C:C,0))</f>
        <v>1595</v>
      </c>
      <c r="F49" s="2" t="n">
        <f aca="false">INDEX(FieldSites!G:G, MATCH(Ch2_FieldSurvey!B49,FieldSites!C:C,0))</f>
        <v>-119.307426</v>
      </c>
      <c r="G49" s="2" t="n">
        <f aca="false">INDEX(FieldSites!H:H, MATCH(Ch2_FieldSurvey!B49,FieldSites!C:C,0))</f>
        <v>37.145131</v>
      </c>
      <c r="H49" s="18" t="n">
        <v>4</v>
      </c>
      <c r="I49" s="21" t="s">
        <v>104</v>
      </c>
      <c r="J49" s="22" t="n">
        <v>44321</v>
      </c>
      <c r="K49" s="23" t="n">
        <v>0.548611111111111</v>
      </c>
      <c r="L49" s="22" t="n">
        <v>44322</v>
      </c>
      <c r="M49" s="23" t="n">
        <v>0.944444444444445</v>
      </c>
      <c r="O49" s="1" t="s">
        <v>105</v>
      </c>
      <c r="P49" s="16" t="s">
        <v>52</v>
      </c>
      <c r="Q49" s="16" t="s">
        <v>106</v>
      </c>
      <c r="R49" s="16" t="s">
        <v>54</v>
      </c>
      <c r="S49" s="4" t="s">
        <v>107</v>
      </c>
      <c r="T49" s="24" t="n">
        <v>700</v>
      </c>
      <c r="U49" s="18" t="n">
        <v>4.1</v>
      </c>
      <c r="V49" s="24" t="n">
        <v>0.28</v>
      </c>
      <c r="W49" s="2" t="n">
        <v>0.8</v>
      </c>
      <c r="Z49" s="18" t="s">
        <v>96</v>
      </c>
      <c r="AA49" s="20"/>
      <c r="AB49" s="20"/>
      <c r="AC49" s="20"/>
    </row>
    <row r="50" customFormat="false" ht="14.25" hidden="false" customHeight="true" outlineLevel="0" collapsed="false">
      <c r="A50" s="18" t="s">
        <v>71</v>
      </c>
      <c r="B50" s="18" t="s">
        <v>71</v>
      </c>
      <c r="C50" s="18" t="s">
        <v>31</v>
      </c>
      <c r="E50" s="2" t="n">
        <f aca="false">INDEX(FieldSites!F:F, MATCH(Ch2_FieldSurvey!B50,FieldSites!C:C,0))</f>
        <v>1595</v>
      </c>
      <c r="F50" s="2" t="n">
        <f aca="false">INDEX(FieldSites!G:G, MATCH(Ch2_FieldSurvey!B50,FieldSites!C:C,0))</f>
        <v>-119.307426</v>
      </c>
      <c r="G50" s="2" t="n">
        <f aca="false">INDEX(FieldSites!H:H, MATCH(Ch2_FieldSurvey!B50,FieldSites!C:C,0))</f>
        <v>37.145131</v>
      </c>
      <c r="H50" s="18" t="n">
        <v>4</v>
      </c>
      <c r="I50" s="21" t="s">
        <v>104</v>
      </c>
      <c r="J50" s="22" t="n">
        <v>44321</v>
      </c>
      <c r="K50" s="23" t="n">
        <v>0.548611111111111</v>
      </c>
      <c r="L50" s="22" t="n">
        <v>44322</v>
      </c>
      <c r="M50" s="23" t="n">
        <v>0.944444444444445</v>
      </c>
      <c r="O50" s="1" t="s">
        <v>105</v>
      </c>
      <c r="P50" s="16" t="s">
        <v>52</v>
      </c>
      <c r="Q50" s="16" t="s">
        <v>106</v>
      </c>
      <c r="R50" s="16" t="s">
        <v>54</v>
      </c>
      <c r="S50" s="4" t="s">
        <v>107</v>
      </c>
      <c r="T50" s="24" t="n">
        <v>524</v>
      </c>
      <c r="U50" s="18" t="n">
        <v>4.4</v>
      </c>
      <c r="V50" s="24" t="n">
        <v>0.26</v>
      </c>
      <c r="W50" s="2" t="n">
        <v>0.7</v>
      </c>
      <c r="Z50" s="18" t="s">
        <v>96</v>
      </c>
      <c r="AA50" s="20"/>
      <c r="AB50" s="20"/>
      <c r="AC50" s="20"/>
    </row>
    <row r="51" customFormat="false" ht="14.25" hidden="false" customHeight="true" outlineLevel="0" collapsed="false">
      <c r="A51" s="18" t="s">
        <v>71</v>
      </c>
      <c r="B51" s="18" t="s">
        <v>71</v>
      </c>
      <c r="C51" s="18" t="s">
        <v>31</v>
      </c>
      <c r="E51" s="2" t="n">
        <f aca="false">INDEX(FieldSites!F:F, MATCH(Ch2_FieldSurvey!B51,FieldSites!C:C,0))</f>
        <v>1595</v>
      </c>
      <c r="F51" s="2" t="n">
        <f aca="false">INDEX(FieldSites!G:G, MATCH(Ch2_FieldSurvey!B51,FieldSites!C:C,0))</f>
        <v>-119.307426</v>
      </c>
      <c r="G51" s="2" t="n">
        <f aca="false">INDEX(FieldSites!H:H, MATCH(Ch2_FieldSurvey!B51,FieldSites!C:C,0))</f>
        <v>37.145131</v>
      </c>
      <c r="H51" s="18" t="n">
        <v>5</v>
      </c>
      <c r="I51" s="21" t="s">
        <v>108</v>
      </c>
      <c r="J51" s="22" t="n">
        <v>44321</v>
      </c>
      <c r="K51" s="23" t="n">
        <v>0.552083333333333</v>
      </c>
      <c r="L51" s="22" t="n">
        <v>44322</v>
      </c>
      <c r="M51" s="23" t="n">
        <v>0.946527777777778</v>
      </c>
      <c r="O51" s="1" t="s">
        <v>109</v>
      </c>
      <c r="P51" s="16" t="s">
        <v>52</v>
      </c>
      <c r="Q51" s="16" t="s">
        <v>110</v>
      </c>
      <c r="R51" s="16" t="s">
        <v>54</v>
      </c>
      <c r="S51" s="4" t="s">
        <v>111</v>
      </c>
      <c r="T51" s="24" t="n">
        <v>405</v>
      </c>
      <c r="U51" s="18" t="n">
        <v>4.4</v>
      </c>
      <c r="V51" s="24" t="n">
        <v>0.33</v>
      </c>
      <c r="W51" s="2" t="n">
        <v>0.2</v>
      </c>
      <c r="Z51" s="18" t="s">
        <v>96</v>
      </c>
      <c r="AA51" s="19" t="n">
        <v>239689</v>
      </c>
      <c r="AB51" s="19" t="n">
        <v>275489</v>
      </c>
      <c r="AC51" s="19" t="n">
        <f aca="false">(AB51-AA51)/AB51</f>
        <v>0.129950742134895</v>
      </c>
    </row>
    <row r="52" customFormat="false" ht="14.25" hidden="false" customHeight="true" outlineLevel="0" collapsed="false">
      <c r="A52" s="18" t="s">
        <v>71</v>
      </c>
      <c r="B52" s="18" t="s">
        <v>71</v>
      </c>
      <c r="C52" s="18" t="s">
        <v>31</v>
      </c>
      <c r="E52" s="2" t="n">
        <f aca="false">INDEX(FieldSites!F:F, MATCH(Ch2_FieldSurvey!B52,FieldSites!C:C,0))</f>
        <v>1595</v>
      </c>
      <c r="F52" s="2" t="n">
        <f aca="false">INDEX(FieldSites!G:G, MATCH(Ch2_FieldSurvey!B52,FieldSites!C:C,0))</f>
        <v>-119.307426</v>
      </c>
      <c r="G52" s="2" t="n">
        <f aca="false">INDEX(FieldSites!H:H, MATCH(Ch2_FieldSurvey!B52,FieldSites!C:C,0))</f>
        <v>37.145131</v>
      </c>
      <c r="H52" s="18" t="n">
        <v>5</v>
      </c>
      <c r="I52" s="21" t="s">
        <v>108</v>
      </c>
      <c r="J52" s="22" t="n">
        <v>44321</v>
      </c>
      <c r="K52" s="23" t="n">
        <v>0.552083333333333</v>
      </c>
      <c r="L52" s="22" t="n">
        <v>44322</v>
      </c>
      <c r="M52" s="23" t="n">
        <v>0.946527777777778</v>
      </c>
      <c r="O52" s="1" t="s">
        <v>109</v>
      </c>
      <c r="P52" s="16" t="s">
        <v>52</v>
      </c>
      <c r="Q52" s="16" t="s">
        <v>110</v>
      </c>
      <c r="R52" s="16" t="s">
        <v>54</v>
      </c>
      <c r="S52" s="4" t="s">
        <v>111</v>
      </c>
      <c r="T52" s="24" t="n">
        <v>435</v>
      </c>
      <c r="U52" s="18" t="n">
        <v>3.7</v>
      </c>
      <c r="V52" s="24" t="n">
        <v>0.33</v>
      </c>
      <c r="W52" s="2" t="n">
        <v>0.3</v>
      </c>
      <c r="Z52" s="18" t="s">
        <v>96</v>
      </c>
      <c r="AA52" s="20"/>
      <c r="AB52" s="20"/>
      <c r="AC52" s="20"/>
    </row>
    <row r="53" customFormat="false" ht="14.25" hidden="false" customHeight="true" outlineLevel="0" collapsed="false">
      <c r="A53" s="18" t="s">
        <v>71</v>
      </c>
      <c r="B53" s="18" t="s">
        <v>71</v>
      </c>
      <c r="C53" s="18" t="s">
        <v>31</v>
      </c>
      <c r="E53" s="2" t="n">
        <f aca="false">INDEX(FieldSites!F:F, MATCH(Ch2_FieldSurvey!B53,FieldSites!C:C,0))</f>
        <v>1595</v>
      </c>
      <c r="F53" s="2" t="n">
        <f aca="false">INDEX(FieldSites!G:G, MATCH(Ch2_FieldSurvey!B53,FieldSites!C:C,0))</f>
        <v>-119.307426</v>
      </c>
      <c r="G53" s="2" t="n">
        <f aca="false">INDEX(FieldSites!H:H, MATCH(Ch2_FieldSurvey!B53,FieldSites!C:C,0))</f>
        <v>37.145131</v>
      </c>
      <c r="H53" s="18" t="n">
        <v>5</v>
      </c>
      <c r="I53" s="21" t="s">
        <v>108</v>
      </c>
      <c r="J53" s="22" t="n">
        <v>44321</v>
      </c>
      <c r="K53" s="23" t="n">
        <v>0.552083333333333</v>
      </c>
      <c r="L53" s="22" t="n">
        <v>44322</v>
      </c>
      <c r="M53" s="23" t="n">
        <v>0.946527777777778</v>
      </c>
      <c r="O53" s="1" t="s">
        <v>109</v>
      </c>
      <c r="P53" s="16" t="s">
        <v>52</v>
      </c>
      <c r="Q53" s="16" t="s">
        <v>110</v>
      </c>
      <c r="R53" s="16" t="s">
        <v>54</v>
      </c>
      <c r="S53" s="4" t="s">
        <v>111</v>
      </c>
      <c r="T53" s="24" t="n">
        <v>462</v>
      </c>
      <c r="U53" s="18" t="n">
        <v>2.4</v>
      </c>
      <c r="V53" s="24" t="n">
        <v>0.21</v>
      </c>
      <c r="W53" s="2" t="n">
        <v>0.6</v>
      </c>
      <c r="Z53" s="18" t="s">
        <v>96</v>
      </c>
      <c r="AA53" s="20"/>
      <c r="AB53" s="20"/>
      <c r="AC53" s="20"/>
    </row>
    <row r="54" customFormat="false" ht="14.25" hidden="false" customHeight="true" outlineLevel="0" collapsed="false">
      <c r="A54" s="18" t="s">
        <v>49</v>
      </c>
      <c r="B54" s="18" t="s">
        <v>49</v>
      </c>
      <c r="C54" s="18" t="s">
        <v>31</v>
      </c>
      <c r="E54" s="2" t="n">
        <f aca="false">INDEX(FieldSites!F:F, MATCH(Ch2_FieldSurvey!B54,FieldSites!C:C,0))</f>
        <v>1730</v>
      </c>
      <c r="F54" s="2" t="n">
        <f aca="false">INDEX(FieldSites!G:G, MATCH(Ch2_FieldSurvey!B54,FieldSites!C:C,0))</f>
        <v>-119.314015</v>
      </c>
      <c r="G54" s="2" t="n">
        <f aca="false">INDEX(FieldSites!H:H, MATCH(Ch2_FieldSurvey!B54,FieldSites!C:C,0))</f>
        <v>37.090625</v>
      </c>
      <c r="H54" s="18" t="n">
        <v>1</v>
      </c>
      <c r="I54" s="21" t="s">
        <v>112</v>
      </c>
      <c r="J54" s="22" t="n">
        <v>44321</v>
      </c>
      <c r="K54" s="23" t="n">
        <v>0.465277777777778</v>
      </c>
      <c r="L54" s="22" t="n">
        <v>44322</v>
      </c>
      <c r="M54" s="23" t="n">
        <v>0.948611111111111</v>
      </c>
      <c r="O54" s="1" t="s">
        <v>113</v>
      </c>
      <c r="P54" s="16" t="s">
        <v>52</v>
      </c>
      <c r="Q54" s="16" t="s">
        <v>114</v>
      </c>
      <c r="R54" s="16" t="s">
        <v>54</v>
      </c>
      <c r="S54" s="4" t="s">
        <v>115</v>
      </c>
      <c r="T54" s="24" t="n">
        <v>258</v>
      </c>
      <c r="U54" s="18" t="n">
        <v>3.2</v>
      </c>
      <c r="V54" s="24" t="n">
        <v>0.32</v>
      </c>
      <c r="W54" s="2" t="n">
        <v>0.5</v>
      </c>
      <c r="Z54" s="18" t="s">
        <v>96</v>
      </c>
      <c r="AA54" s="19" t="n">
        <v>291407</v>
      </c>
      <c r="AB54" s="19" t="n">
        <v>399990</v>
      </c>
      <c r="AC54" s="19" t="n">
        <f aca="false">(AB54-AA54)/AB54</f>
        <v>0.271464286607165</v>
      </c>
    </row>
    <row r="55" customFormat="false" ht="14.25" hidden="false" customHeight="true" outlineLevel="0" collapsed="false">
      <c r="A55" s="18" t="s">
        <v>49</v>
      </c>
      <c r="B55" s="18" t="s">
        <v>49</v>
      </c>
      <c r="C55" s="18" t="s">
        <v>31</v>
      </c>
      <c r="E55" s="2" t="n">
        <f aca="false">INDEX(FieldSites!F:F, MATCH(Ch2_FieldSurvey!B55,FieldSites!C:C,0))</f>
        <v>1730</v>
      </c>
      <c r="F55" s="2" t="n">
        <f aca="false">INDEX(FieldSites!G:G, MATCH(Ch2_FieldSurvey!B55,FieldSites!C:C,0))</f>
        <v>-119.314015</v>
      </c>
      <c r="G55" s="2" t="n">
        <f aca="false">INDEX(FieldSites!H:H, MATCH(Ch2_FieldSurvey!B55,FieldSites!C:C,0))</f>
        <v>37.090625</v>
      </c>
      <c r="H55" s="18" t="n">
        <v>1</v>
      </c>
      <c r="I55" s="21" t="s">
        <v>112</v>
      </c>
      <c r="J55" s="22" t="n">
        <v>44321</v>
      </c>
      <c r="K55" s="23" t="n">
        <v>0.465277777777778</v>
      </c>
      <c r="L55" s="22" t="n">
        <v>44322</v>
      </c>
      <c r="M55" s="23" t="n">
        <v>0.948611111111111</v>
      </c>
      <c r="O55" s="1" t="s">
        <v>113</v>
      </c>
      <c r="P55" s="16" t="s">
        <v>52</v>
      </c>
      <c r="Q55" s="16" t="s">
        <v>114</v>
      </c>
      <c r="R55" s="16" t="s">
        <v>54</v>
      </c>
      <c r="S55" s="4" t="s">
        <v>115</v>
      </c>
      <c r="T55" s="24" t="n">
        <v>279</v>
      </c>
      <c r="U55" s="18" t="n">
        <v>3.2</v>
      </c>
      <c r="V55" s="24" t="n">
        <v>0.25</v>
      </c>
      <c r="W55" s="2" t="n">
        <v>1</v>
      </c>
      <c r="Z55" s="18" t="s">
        <v>96</v>
      </c>
      <c r="AA55" s="20"/>
      <c r="AB55" s="20"/>
      <c r="AC55" s="20"/>
    </row>
    <row r="56" customFormat="false" ht="14.25" hidden="false" customHeight="true" outlineLevel="0" collapsed="false">
      <c r="A56" s="18" t="s">
        <v>49</v>
      </c>
      <c r="B56" s="18" t="s">
        <v>49</v>
      </c>
      <c r="C56" s="18" t="s">
        <v>31</v>
      </c>
      <c r="E56" s="2" t="n">
        <f aca="false">INDEX(FieldSites!F:F, MATCH(Ch2_FieldSurvey!B56,FieldSites!C:C,0))</f>
        <v>1730</v>
      </c>
      <c r="F56" s="2" t="n">
        <f aca="false">INDEX(FieldSites!G:G, MATCH(Ch2_FieldSurvey!B56,FieldSites!C:C,0))</f>
        <v>-119.314015</v>
      </c>
      <c r="G56" s="2" t="n">
        <f aca="false">INDEX(FieldSites!H:H, MATCH(Ch2_FieldSurvey!B56,FieldSites!C:C,0))</f>
        <v>37.090625</v>
      </c>
      <c r="H56" s="18" t="n">
        <v>1</v>
      </c>
      <c r="I56" s="21" t="s">
        <v>112</v>
      </c>
      <c r="J56" s="22" t="n">
        <v>44321</v>
      </c>
      <c r="K56" s="23" t="n">
        <v>0.465277777777778</v>
      </c>
      <c r="L56" s="22" t="n">
        <v>44322</v>
      </c>
      <c r="M56" s="23" t="n">
        <v>0.948611111111111</v>
      </c>
      <c r="O56" s="1" t="s">
        <v>113</v>
      </c>
      <c r="P56" s="16" t="s">
        <v>52</v>
      </c>
      <c r="Q56" s="16" t="s">
        <v>114</v>
      </c>
      <c r="R56" s="16" t="s">
        <v>54</v>
      </c>
      <c r="S56" s="4" t="s">
        <v>115</v>
      </c>
      <c r="T56" s="24" t="n">
        <v>247</v>
      </c>
      <c r="U56" s="18" t="n">
        <v>2.9</v>
      </c>
      <c r="V56" s="24" t="n">
        <v>0.3</v>
      </c>
      <c r="W56" s="2" t="n">
        <v>0.8</v>
      </c>
      <c r="Z56" s="18" t="s">
        <v>96</v>
      </c>
      <c r="AA56" s="20"/>
      <c r="AB56" s="20"/>
      <c r="AC56" s="20"/>
    </row>
    <row r="57" customFormat="false" ht="14.25" hidden="false" customHeight="true" outlineLevel="0" collapsed="false">
      <c r="A57" s="18" t="s">
        <v>49</v>
      </c>
      <c r="B57" s="18" t="s">
        <v>49</v>
      </c>
      <c r="C57" s="18" t="s">
        <v>31</v>
      </c>
      <c r="E57" s="2" t="n">
        <f aca="false">INDEX(FieldSites!F:F, MATCH(Ch2_FieldSurvey!B57,FieldSites!C:C,0))</f>
        <v>1730</v>
      </c>
      <c r="F57" s="2" t="n">
        <f aca="false">INDEX(FieldSites!G:G, MATCH(Ch2_FieldSurvey!B57,FieldSites!C:C,0))</f>
        <v>-119.314015</v>
      </c>
      <c r="G57" s="2" t="n">
        <f aca="false">INDEX(FieldSites!H:H, MATCH(Ch2_FieldSurvey!B57,FieldSites!C:C,0))</f>
        <v>37.090625</v>
      </c>
      <c r="H57" s="18" t="n">
        <v>2</v>
      </c>
      <c r="I57" s="21" t="s">
        <v>116</v>
      </c>
      <c r="J57" s="22" t="n">
        <v>44321</v>
      </c>
      <c r="K57" s="23" t="n">
        <v>0.465972222222222</v>
      </c>
      <c r="L57" s="22" t="n">
        <v>44322</v>
      </c>
      <c r="M57" s="23" t="n">
        <v>0.951388888888889</v>
      </c>
      <c r="O57" s="1" t="s">
        <v>117</v>
      </c>
      <c r="P57" s="16" t="s">
        <v>52</v>
      </c>
      <c r="Q57" s="16" t="s">
        <v>118</v>
      </c>
      <c r="R57" s="16" t="s">
        <v>54</v>
      </c>
      <c r="S57" s="4" t="s">
        <v>119</v>
      </c>
      <c r="T57" s="24" t="n">
        <v>290</v>
      </c>
      <c r="U57" s="18" t="n">
        <v>4.3</v>
      </c>
      <c r="V57" s="24" t="n">
        <v>0.34</v>
      </c>
      <c r="W57" s="2" t="n">
        <v>0.6</v>
      </c>
      <c r="Z57" s="18" t="s">
        <v>96</v>
      </c>
      <c r="AA57" s="19" t="n">
        <v>147308</v>
      </c>
      <c r="AB57" s="19" t="n">
        <v>167372</v>
      </c>
      <c r="AC57" s="19" t="n">
        <f aca="false">(AB57-AA57)/AB57</f>
        <v>0.119876681882274</v>
      </c>
    </row>
    <row r="58" customFormat="false" ht="14.25" hidden="false" customHeight="true" outlineLevel="0" collapsed="false">
      <c r="A58" s="18" t="s">
        <v>49</v>
      </c>
      <c r="B58" s="18" t="s">
        <v>49</v>
      </c>
      <c r="C58" s="18" t="s">
        <v>31</v>
      </c>
      <c r="E58" s="2" t="n">
        <f aca="false">INDEX(FieldSites!F:F, MATCH(Ch2_FieldSurvey!B58,FieldSites!C:C,0))</f>
        <v>1730</v>
      </c>
      <c r="F58" s="2" t="n">
        <f aca="false">INDEX(FieldSites!G:G, MATCH(Ch2_FieldSurvey!B58,FieldSites!C:C,0))</f>
        <v>-119.314015</v>
      </c>
      <c r="G58" s="2" t="n">
        <f aca="false">INDEX(FieldSites!H:H, MATCH(Ch2_FieldSurvey!B58,FieldSites!C:C,0))</f>
        <v>37.090625</v>
      </c>
      <c r="H58" s="18" t="n">
        <v>2</v>
      </c>
      <c r="I58" s="21" t="s">
        <v>116</v>
      </c>
      <c r="J58" s="22" t="n">
        <v>44321</v>
      </c>
      <c r="K58" s="23" t="n">
        <v>0.465972222222222</v>
      </c>
      <c r="L58" s="22" t="n">
        <v>44322</v>
      </c>
      <c r="M58" s="23" t="n">
        <v>0.951388888888889</v>
      </c>
      <c r="O58" s="1" t="s">
        <v>117</v>
      </c>
      <c r="P58" s="16" t="s">
        <v>52</v>
      </c>
      <c r="Q58" s="16" t="s">
        <v>118</v>
      </c>
      <c r="R58" s="16" t="s">
        <v>54</v>
      </c>
      <c r="S58" s="4" t="s">
        <v>119</v>
      </c>
      <c r="T58" s="24" t="n">
        <v>305</v>
      </c>
      <c r="U58" s="18" t="n">
        <v>3.1</v>
      </c>
      <c r="V58" s="24" t="n">
        <v>0.3</v>
      </c>
      <c r="Z58" s="18" t="s">
        <v>96</v>
      </c>
      <c r="AA58" s="20"/>
      <c r="AB58" s="20"/>
      <c r="AC58" s="20"/>
    </row>
    <row r="59" customFormat="false" ht="14.25" hidden="false" customHeight="true" outlineLevel="0" collapsed="false">
      <c r="A59" s="18" t="s">
        <v>49</v>
      </c>
      <c r="B59" s="18" t="s">
        <v>49</v>
      </c>
      <c r="C59" s="18" t="s">
        <v>31</v>
      </c>
      <c r="E59" s="2" t="n">
        <f aca="false">INDEX(FieldSites!F:F, MATCH(Ch2_FieldSurvey!B59,FieldSites!C:C,0))</f>
        <v>1730</v>
      </c>
      <c r="F59" s="2" t="n">
        <f aca="false">INDEX(FieldSites!G:G, MATCH(Ch2_FieldSurvey!B59,FieldSites!C:C,0))</f>
        <v>-119.314015</v>
      </c>
      <c r="G59" s="2" t="n">
        <f aca="false">INDEX(FieldSites!H:H, MATCH(Ch2_FieldSurvey!B59,FieldSites!C:C,0))</f>
        <v>37.090625</v>
      </c>
      <c r="H59" s="18" t="n">
        <v>2</v>
      </c>
      <c r="I59" s="21" t="s">
        <v>116</v>
      </c>
      <c r="J59" s="22" t="n">
        <v>44321</v>
      </c>
      <c r="K59" s="23" t="n">
        <v>0.465972222222222</v>
      </c>
      <c r="L59" s="22" t="n">
        <v>44322</v>
      </c>
      <c r="M59" s="23" t="n">
        <v>0.951388888888889</v>
      </c>
      <c r="O59" s="1" t="s">
        <v>117</v>
      </c>
      <c r="P59" s="16" t="s">
        <v>52</v>
      </c>
      <c r="Q59" s="16" t="s">
        <v>118</v>
      </c>
      <c r="R59" s="16" t="s">
        <v>54</v>
      </c>
      <c r="S59" s="4" t="s">
        <v>119</v>
      </c>
      <c r="T59" s="24" t="n">
        <v>260</v>
      </c>
      <c r="U59" s="18" t="n">
        <v>2.2</v>
      </c>
      <c r="V59" s="24" t="n">
        <v>0.32</v>
      </c>
      <c r="Z59" s="18" t="s">
        <v>96</v>
      </c>
      <c r="AA59" s="20"/>
      <c r="AB59" s="20"/>
      <c r="AC59" s="20"/>
    </row>
    <row r="60" customFormat="false" ht="14.25" hidden="false" customHeight="true" outlineLevel="0" collapsed="false">
      <c r="A60" s="18" t="s">
        <v>49</v>
      </c>
      <c r="B60" s="18" t="s">
        <v>49</v>
      </c>
      <c r="C60" s="18" t="s">
        <v>31</v>
      </c>
      <c r="E60" s="2" t="n">
        <f aca="false">INDEX(FieldSites!F:F, MATCH(Ch2_FieldSurvey!B60,FieldSites!C:C,0))</f>
        <v>1730</v>
      </c>
      <c r="F60" s="2" t="n">
        <f aca="false">INDEX(FieldSites!G:G, MATCH(Ch2_FieldSurvey!B60,FieldSites!C:C,0))</f>
        <v>-119.314015</v>
      </c>
      <c r="G60" s="2" t="n">
        <f aca="false">INDEX(FieldSites!H:H, MATCH(Ch2_FieldSurvey!B60,FieldSites!C:C,0))</f>
        <v>37.090625</v>
      </c>
      <c r="H60" s="18" t="n">
        <v>3</v>
      </c>
      <c r="I60" s="21" t="s">
        <v>120</v>
      </c>
      <c r="J60" s="22" t="n">
        <v>44321</v>
      </c>
      <c r="K60" s="23" t="n">
        <v>0.468055555555556</v>
      </c>
      <c r="L60" s="22" t="n">
        <v>44322</v>
      </c>
      <c r="M60" s="23" t="n">
        <v>0.952777777777778</v>
      </c>
      <c r="O60" s="1" t="s">
        <v>121</v>
      </c>
      <c r="P60" s="16" t="s">
        <v>52</v>
      </c>
      <c r="Q60" s="16" t="s">
        <v>122</v>
      </c>
      <c r="R60" s="16" t="s">
        <v>54</v>
      </c>
      <c r="S60" s="4" t="s">
        <v>123</v>
      </c>
      <c r="T60" s="24" t="n">
        <v>255</v>
      </c>
      <c r="U60" s="18" t="n">
        <v>2.2</v>
      </c>
      <c r="V60" s="24" t="n">
        <v>0.25</v>
      </c>
      <c r="W60" s="2" t="n">
        <v>0.4</v>
      </c>
      <c r="Z60" s="18" t="s">
        <v>96</v>
      </c>
      <c r="AA60" s="19" t="n">
        <v>128616</v>
      </c>
      <c r="AB60" s="19" t="n">
        <v>198566</v>
      </c>
      <c r="AC60" s="19" t="n">
        <f aca="false">(AB60-AA60)/AB60</f>
        <v>0.35227581761228</v>
      </c>
    </row>
    <row r="61" customFormat="false" ht="14.25" hidden="false" customHeight="true" outlineLevel="0" collapsed="false">
      <c r="A61" s="18" t="s">
        <v>49</v>
      </c>
      <c r="B61" s="18" t="s">
        <v>49</v>
      </c>
      <c r="C61" s="18" t="s">
        <v>31</v>
      </c>
      <c r="E61" s="2" t="n">
        <f aca="false">INDEX(FieldSites!F:F, MATCH(Ch2_FieldSurvey!B61,FieldSites!C:C,0))</f>
        <v>1730</v>
      </c>
      <c r="F61" s="2" t="n">
        <f aca="false">INDEX(FieldSites!G:G, MATCH(Ch2_FieldSurvey!B61,FieldSites!C:C,0))</f>
        <v>-119.314015</v>
      </c>
      <c r="G61" s="2" t="n">
        <f aca="false">INDEX(FieldSites!H:H, MATCH(Ch2_FieldSurvey!B61,FieldSites!C:C,0))</f>
        <v>37.090625</v>
      </c>
      <c r="H61" s="18" t="n">
        <v>3</v>
      </c>
      <c r="I61" s="21" t="s">
        <v>120</v>
      </c>
      <c r="J61" s="22" t="n">
        <v>44321</v>
      </c>
      <c r="K61" s="23" t="n">
        <v>0.468055555555556</v>
      </c>
      <c r="L61" s="22" t="n">
        <v>44322</v>
      </c>
      <c r="M61" s="23" t="n">
        <v>0.952777777777778</v>
      </c>
      <c r="O61" s="1" t="s">
        <v>121</v>
      </c>
      <c r="P61" s="16" t="s">
        <v>52</v>
      </c>
      <c r="Q61" s="16" t="s">
        <v>122</v>
      </c>
      <c r="R61" s="16" t="s">
        <v>54</v>
      </c>
      <c r="S61" s="4" t="s">
        <v>123</v>
      </c>
      <c r="T61" s="24" t="n">
        <v>220</v>
      </c>
      <c r="U61" s="18" t="n">
        <v>1.8</v>
      </c>
      <c r="V61" s="24" t="n">
        <v>0.34</v>
      </c>
      <c r="Z61" s="18" t="s">
        <v>96</v>
      </c>
      <c r="AA61" s="20"/>
      <c r="AB61" s="20"/>
      <c r="AC61" s="20"/>
    </row>
    <row r="62" customFormat="false" ht="14.25" hidden="false" customHeight="true" outlineLevel="0" collapsed="false">
      <c r="A62" s="18" t="s">
        <v>49</v>
      </c>
      <c r="B62" s="18" t="s">
        <v>49</v>
      </c>
      <c r="C62" s="18" t="s">
        <v>31</v>
      </c>
      <c r="E62" s="2" t="n">
        <f aca="false">INDEX(FieldSites!F:F, MATCH(Ch2_FieldSurvey!B62,FieldSites!C:C,0))</f>
        <v>1730</v>
      </c>
      <c r="F62" s="2" t="n">
        <f aca="false">INDEX(FieldSites!G:G, MATCH(Ch2_FieldSurvey!B62,FieldSites!C:C,0))</f>
        <v>-119.314015</v>
      </c>
      <c r="G62" s="2" t="n">
        <f aca="false">INDEX(FieldSites!H:H, MATCH(Ch2_FieldSurvey!B62,FieldSites!C:C,0))</f>
        <v>37.090625</v>
      </c>
      <c r="H62" s="18" t="n">
        <v>3</v>
      </c>
      <c r="I62" s="21" t="s">
        <v>120</v>
      </c>
      <c r="J62" s="22" t="n">
        <v>44321</v>
      </c>
      <c r="K62" s="23" t="n">
        <v>0.468055555555556</v>
      </c>
      <c r="L62" s="22" t="n">
        <v>44322</v>
      </c>
      <c r="M62" s="23" t="n">
        <v>0.952777777777778</v>
      </c>
      <c r="O62" s="1" t="s">
        <v>121</v>
      </c>
      <c r="P62" s="16" t="s">
        <v>52</v>
      </c>
      <c r="Q62" s="16" t="s">
        <v>122</v>
      </c>
      <c r="R62" s="16" t="s">
        <v>54</v>
      </c>
      <c r="S62" s="4" t="s">
        <v>123</v>
      </c>
      <c r="T62" s="24" t="n">
        <v>225</v>
      </c>
      <c r="U62" s="18" t="n">
        <v>2.3</v>
      </c>
      <c r="V62" s="24" t="n">
        <v>0.35</v>
      </c>
      <c r="Z62" s="18" t="s">
        <v>96</v>
      </c>
      <c r="AA62" s="20"/>
      <c r="AB62" s="20"/>
      <c r="AC62" s="20"/>
    </row>
    <row r="63" customFormat="false" ht="14.25" hidden="false" customHeight="true" outlineLevel="0" collapsed="false">
      <c r="A63" s="18" t="s">
        <v>49</v>
      </c>
      <c r="B63" s="18" t="s">
        <v>49</v>
      </c>
      <c r="C63" s="18" t="s">
        <v>31</v>
      </c>
      <c r="E63" s="2" t="n">
        <f aca="false">INDEX(FieldSites!F:F, MATCH(Ch2_FieldSurvey!B63,FieldSites!C:C,0))</f>
        <v>1730</v>
      </c>
      <c r="F63" s="2" t="n">
        <f aca="false">INDEX(FieldSites!G:G, MATCH(Ch2_FieldSurvey!B63,FieldSites!C:C,0))</f>
        <v>-119.314015</v>
      </c>
      <c r="G63" s="2" t="n">
        <f aca="false">INDEX(FieldSites!H:H, MATCH(Ch2_FieldSurvey!B63,FieldSites!C:C,0))</f>
        <v>37.090625</v>
      </c>
      <c r="H63" s="18" t="n">
        <v>4</v>
      </c>
      <c r="I63" s="21" t="s">
        <v>124</v>
      </c>
      <c r="J63" s="22" t="n">
        <v>44321</v>
      </c>
      <c r="K63" s="23" t="n">
        <v>0.46875</v>
      </c>
      <c r="L63" s="22" t="n">
        <v>44322</v>
      </c>
      <c r="M63" s="23" t="n">
        <v>0.954861111111111</v>
      </c>
      <c r="O63" s="1" t="s">
        <v>125</v>
      </c>
      <c r="P63" s="16" t="s">
        <v>52</v>
      </c>
      <c r="Q63" s="16" t="s">
        <v>126</v>
      </c>
      <c r="R63" s="16" t="s">
        <v>54</v>
      </c>
      <c r="S63" s="4" t="s">
        <v>127</v>
      </c>
      <c r="T63" s="24" t="n">
        <v>385</v>
      </c>
      <c r="U63" s="18" t="n">
        <v>5.1</v>
      </c>
      <c r="V63" s="24" t="n">
        <v>0.23</v>
      </c>
      <c r="W63" s="2" t="n">
        <v>0.5</v>
      </c>
      <c r="Z63" s="18" t="s">
        <v>96</v>
      </c>
      <c r="AA63" s="19" t="n">
        <v>135531</v>
      </c>
      <c r="AB63" s="19" t="n">
        <v>147598</v>
      </c>
      <c r="AC63" s="19" t="n">
        <f aca="false">(AB63-AA63)/AB63</f>
        <v>0.0817558503502757</v>
      </c>
      <c r="AD63" s="18" t="s">
        <v>128</v>
      </c>
    </row>
    <row r="64" customFormat="false" ht="14.25" hidden="false" customHeight="true" outlineLevel="0" collapsed="false">
      <c r="A64" s="18" t="s">
        <v>49</v>
      </c>
      <c r="B64" s="18" t="s">
        <v>49</v>
      </c>
      <c r="C64" s="18" t="s">
        <v>31</v>
      </c>
      <c r="E64" s="2" t="n">
        <f aca="false">INDEX(FieldSites!F:F, MATCH(Ch2_FieldSurvey!B64,FieldSites!C:C,0))</f>
        <v>1730</v>
      </c>
      <c r="F64" s="2" t="n">
        <f aca="false">INDEX(FieldSites!G:G, MATCH(Ch2_FieldSurvey!B64,FieldSites!C:C,0))</f>
        <v>-119.314015</v>
      </c>
      <c r="G64" s="2" t="n">
        <f aca="false">INDEX(FieldSites!H:H, MATCH(Ch2_FieldSurvey!B64,FieldSites!C:C,0))</f>
        <v>37.090625</v>
      </c>
      <c r="H64" s="18" t="n">
        <v>4</v>
      </c>
      <c r="I64" s="21" t="s">
        <v>124</v>
      </c>
      <c r="J64" s="22" t="n">
        <v>44321</v>
      </c>
      <c r="K64" s="23" t="n">
        <v>0.46875</v>
      </c>
      <c r="L64" s="22" t="n">
        <v>44322</v>
      </c>
      <c r="M64" s="23" t="n">
        <v>0.954861111111111</v>
      </c>
      <c r="O64" s="1" t="s">
        <v>125</v>
      </c>
      <c r="P64" s="16" t="s">
        <v>52</v>
      </c>
      <c r="Q64" s="16" t="s">
        <v>126</v>
      </c>
      <c r="R64" s="16" t="s">
        <v>54</v>
      </c>
      <c r="S64" s="4" t="s">
        <v>127</v>
      </c>
      <c r="T64" s="24" t="n">
        <v>375</v>
      </c>
      <c r="U64" s="18" t="n">
        <v>4</v>
      </c>
      <c r="V64" s="24" t="n">
        <v>0.23</v>
      </c>
      <c r="W64" s="2" t="n">
        <v>0.4</v>
      </c>
      <c r="Z64" s="18" t="s">
        <v>96</v>
      </c>
      <c r="AA64" s="20"/>
      <c r="AB64" s="20"/>
      <c r="AC64" s="20"/>
    </row>
    <row r="65" customFormat="false" ht="14.25" hidden="false" customHeight="true" outlineLevel="0" collapsed="false">
      <c r="A65" s="18" t="s">
        <v>49</v>
      </c>
      <c r="B65" s="18" t="s">
        <v>49</v>
      </c>
      <c r="C65" s="18" t="s">
        <v>31</v>
      </c>
      <c r="E65" s="2" t="n">
        <f aca="false">INDEX(FieldSites!F:F, MATCH(Ch2_FieldSurvey!B65,FieldSites!C:C,0))</f>
        <v>1730</v>
      </c>
      <c r="F65" s="2" t="n">
        <f aca="false">INDEX(FieldSites!G:G, MATCH(Ch2_FieldSurvey!B65,FieldSites!C:C,0))</f>
        <v>-119.314015</v>
      </c>
      <c r="G65" s="2" t="n">
        <f aca="false">INDEX(FieldSites!H:H, MATCH(Ch2_FieldSurvey!B65,FieldSites!C:C,0))</f>
        <v>37.090625</v>
      </c>
      <c r="H65" s="18" t="n">
        <v>4</v>
      </c>
      <c r="I65" s="21" t="s">
        <v>124</v>
      </c>
      <c r="J65" s="22" t="n">
        <v>44321</v>
      </c>
      <c r="K65" s="23" t="n">
        <v>0.46875</v>
      </c>
      <c r="L65" s="22" t="n">
        <v>44322</v>
      </c>
      <c r="M65" s="23" t="n">
        <v>0.954861111111111</v>
      </c>
      <c r="O65" s="1" t="s">
        <v>125</v>
      </c>
      <c r="P65" s="16" t="s">
        <v>52</v>
      </c>
      <c r="Q65" s="16" t="s">
        <v>126</v>
      </c>
      <c r="R65" s="16" t="s">
        <v>54</v>
      </c>
      <c r="S65" s="4" t="s">
        <v>127</v>
      </c>
      <c r="T65" s="24" t="n">
        <v>240</v>
      </c>
      <c r="U65" s="18" t="n">
        <v>2.9</v>
      </c>
      <c r="V65" s="24" t="n">
        <v>0.28</v>
      </c>
      <c r="Z65" s="18" t="s">
        <v>96</v>
      </c>
      <c r="AA65" s="20"/>
      <c r="AB65" s="20"/>
      <c r="AC65" s="20"/>
    </row>
    <row r="66" customFormat="false" ht="14.25" hidden="false" customHeight="true" outlineLevel="0" collapsed="false">
      <c r="A66" s="18" t="s">
        <v>49</v>
      </c>
      <c r="B66" s="18" t="s">
        <v>49</v>
      </c>
      <c r="C66" s="18" t="s">
        <v>31</v>
      </c>
      <c r="D66" s="18" t="s">
        <v>88</v>
      </c>
      <c r="E66" s="2" t="n">
        <f aca="false">INDEX(FieldSites!F:F, MATCH(Ch2_FieldSurvey!B66,FieldSites!C:C,0))</f>
        <v>1730</v>
      </c>
      <c r="F66" s="2" t="n">
        <f aca="false">INDEX(FieldSites!G:G, MATCH(Ch2_FieldSurvey!B66,FieldSites!C:C,0))</f>
        <v>-119.314015</v>
      </c>
      <c r="G66" s="2" t="n">
        <f aca="false">INDEX(FieldSites!H:H, MATCH(Ch2_FieldSurvey!B66,FieldSites!C:C,0))</f>
        <v>37.090625</v>
      </c>
      <c r="H66" s="18" t="n">
        <v>5</v>
      </c>
      <c r="I66" s="21" t="s">
        <v>129</v>
      </c>
      <c r="J66" s="22" t="n">
        <v>44321</v>
      </c>
      <c r="K66" s="23" t="n">
        <v>0.471527777777778</v>
      </c>
      <c r="L66" s="22" t="n">
        <v>44322</v>
      </c>
      <c r="M66" s="23" t="n">
        <v>0.95625</v>
      </c>
      <c r="O66" s="1" t="s">
        <v>130</v>
      </c>
      <c r="P66" s="16" t="s">
        <v>52</v>
      </c>
      <c r="Q66" s="16" t="s">
        <v>131</v>
      </c>
      <c r="R66" s="16" t="s">
        <v>54</v>
      </c>
      <c r="S66" s="4" t="s">
        <v>132</v>
      </c>
      <c r="T66" s="24" t="n">
        <v>240</v>
      </c>
      <c r="U66" s="18" t="n">
        <v>4.7</v>
      </c>
      <c r="V66" s="24" t="n">
        <v>0.25</v>
      </c>
      <c r="W66" s="2" t="n">
        <v>0.6</v>
      </c>
      <c r="Z66" s="18" t="s">
        <v>96</v>
      </c>
      <c r="AA66" s="19" t="n">
        <v>241503</v>
      </c>
      <c r="AB66" s="19" t="n">
        <v>277180</v>
      </c>
      <c r="AC66" s="19" t="n">
        <f aca="false">(AB66-AA66)/AB66</f>
        <v>0.128714192943214</v>
      </c>
    </row>
    <row r="67" customFormat="false" ht="14.25" hidden="false" customHeight="true" outlineLevel="0" collapsed="false">
      <c r="A67" s="18" t="s">
        <v>49</v>
      </c>
      <c r="B67" s="18" t="s">
        <v>49</v>
      </c>
      <c r="C67" s="18" t="s">
        <v>31</v>
      </c>
      <c r="D67" s="18" t="s">
        <v>88</v>
      </c>
      <c r="E67" s="2" t="n">
        <f aca="false">INDEX(FieldSites!F:F, MATCH(Ch2_FieldSurvey!B67,FieldSites!C:C,0))</f>
        <v>1730</v>
      </c>
      <c r="F67" s="2" t="n">
        <f aca="false">INDEX(FieldSites!G:G, MATCH(Ch2_FieldSurvey!B67,FieldSites!C:C,0))</f>
        <v>-119.314015</v>
      </c>
      <c r="G67" s="2" t="n">
        <f aca="false">INDEX(FieldSites!H:H, MATCH(Ch2_FieldSurvey!B67,FieldSites!C:C,0))</f>
        <v>37.090625</v>
      </c>
      <c r="H67" s="18" t="n">
        <v>5</v>
      </c>
      <c r="I67" s="21" t="s">
        <v>129</v>
      </c>
      <c r="J67" s="22" t="n">
        <v>44321</v>
      </c>
      <c r="K67" s="23" t="n">
        <v>0.471527777777778</v>
      </c>
      <c r="L67" s="22" t="n">
        <v>44322</v>
      </c>
      <c r="M67" s="23" t="n">
        <v>0.95625</v>
      </c>
      <c r="O67" s="1" t="s">
        <v>130</v>
      </c>
      <c r="P67" s="16" t="s">
        <v>52</v>
      </c>
      <c r="Q67" s="16" t="s">
        <v>131</v>
      </c>
      <c r="R67" s="16" t="s">
        <v>54</v>
      </c>
      <c r="S67" s="4" t="s">
        <v>132</v>
      </c>
      <c r="T67" s="24" t="n">
        <v>340</v>
      </c>
      <c r="U67" s="18" t="n">
        <v>4.9</v>
      </c>
      <c r="V67" s="24" t="n">
        <v>0.22</v>
      </c>
      <c r="W67" s="2" t="n">
        <v>0.8</v>
      </c>
      <c r="Z67" s="18" t="s">
        <v>96</v>
      </c>
      <c r="AA67" s="20"/>
      <c r="AB67" s="20"/>
      <c r="AC67" s="20"/>
    </row>
    <row r="68" customFormat="false" ht="14.25" hidden="false" customHeight="true" outlineLevel="0" collapsed="false">
      <c r="A68" s="18" t="s">
        <v>49</v>
      </c>
      <c r="B68" s="18" t="s">
        <v>49</v>
      </c>
      <c r="C68" s="18" t="s">
        <v>31</v>
      </c>
      <c r="D68" s="18" t="s">
        <v>88</v>
      </c>
      <c r="E68" s="2" t="n">
        <f aca="false">INDEX(FieldSites!F:F, MATCH(Ch2_FieldSurvey!B68,FieldSites!C:C,0))</f>
        <v>1730</v>
      </c>
      <c r="F68" s="2" t="n">
        <f aca="false">INDEX(FieldSites!G:G, MATCH(Ch2_FieldSurvey!B68,FieldSites!C:C,0))</f>
        <v>-119.314015</v>
      </c>
      <c r="G68" s="2" t="n">
        <f aca="false">INDEX(FieldSites!H:H, MATCH(Ch2_FieldSurvey!B68,FieldSites!C:C,0))</f>
        <v>37.090625</v>
      </c>
      <c r="H68" s="18" t="n">
        <v>5</v>
      </c>
      <c r="I68" s="21" t="s">
        <v>129</v>
      </c>
      <c r="J68" s="22" t="n">
        <v>44321</v>
      </c>
      <c r="K68" s="23" t="n">
        <v>0.471527777777778</v>
      </c>
      <c r="L68" s="22" t="n">
        <v>44322</v>
      </c>
      <c r="M68" s="23" t="n">
        <v>0.95625</v>
      </c>
      <c r="O68" s="1" t="s">
        <v>130</v>
      </c>
      <c r="P68" s="16" t="s">
        <v>52</v>
      </c>
      <c r="Q68" s="16" t="s">
        <v>131</v>
      </c>
      <c r="R68" s="16" t="s">
        <v>54</v>
      </c>
      <c r="S68" s="4" t="s">
        <v>132</v>
      </c>
      <c r="T68" s="24" t="n">
        <v>310</v>
      </c>
      <c r="U68" s="18" t="n">
        <v>4.5</v>
      </c>
      <c r="V68" s="24" t="n">
        <v>0.3</v>
      </c>
      <c r="Z68" s="18" t="s">
        <v>96</v>
      </c>
      <c r="AA68" s="20"/>
      <c r="AB68" s="20"/>
      <c r="AC68" s="20"/>
    </row>
    <row r="69" customFormat="false" ht="14.25" hidden="false" customHeight="true" outlineLevel="0" collapsed="false">
      <c r="A69" s="18" t="s">
        <v>133</v>
      </c>
      <c r="B69" s="18" t="s">
        <v>133</v>
      </c>
      <c r="C69" s="18" t="s">
        <v>40</v>
      </c>
      <c r="E69" s="2" t="n">
        <f aca="false">INDEX(FieldSites!F:F, MATCH(Ch2_FieldSurvey!B69,FieldSites!C:C,0))</f>
        <v>1565</v>
      </c>
      <c r="F69" s="2" t="n">
        <f aca="false">INDEX(FieldSites!G:G, MATCH(Ch2_FieldSurvey!B69,FieldSites!C:C,0))</f>
        <v>-119.601395</v>
      </c>
      <c r="G69" s="2" t="n">
        <f aca="false">INDEX(FieldSites!H:H, MATCH(Ch2_FieldSurvey!B69,FieldSites!C:C,0))</f>
        <v>37.748823</v>
      </c>
      <c r="H69" s="18" t="n">
        <v>1</v>
      </c>
      <c r="I69" s="21" t="s">
        <v>134</v>
      </c>
      <c r="J69" s="22" t="n">
        <v>44323</v>
      </c>
      <c r="K69" s="23" t="n">
        <v>0.694444444444445</v>
      </c>
      <c r="L69" s="22" t="n">
        <v>44324</v>
      </c>
      <c r="M69" s="23" t="n">
        <v>0.46875</v>
      </c>
      <c r="O69" s="1" t="s">
        <v>135</v>
      </c>
      <c r="P69" s="16" t="s">
        <v>136</v>
      </c>
      <c r="Q69" s="16" t="s">
        <v>137</v>
      </c>
      <c r="R69" s="16" t="s">
        <v>138</v>
      </c>
      <c r="S69" s="4" t="s">
        <v>126</v>
      </c>
      <c r="T69" s="24" t="n">
        <v>335</v>
      </c>
      <c r="U69" s="18" t="n">
        <v>5.7</v>
      </c>
      <c r="V69" s="24" t="n">
        <v>0.39</v>
      </c>
      <c r="W69" s="2" t="n">
        <v>0.3</v>
      </c>
      <c r="Z69" s="18"/>
      <c r="AA69" s="19" t="n">
        <v>660262</v>
      </c>
      <c r="AB69" s="19" t="n">
        <v>683865</v>
      </c>
      <c r="AC69" s="19" t="n">
        <f aca="false">(AB69-AA69)/AB69</f>
        <v>0.0345141219392716</v>
      </c>
    </row>
    <row r="70" customFormat="false" ht="14.25" hidden="false" customHeight="true" outlineLevel="0" collapsed="false">
      <c r="A70" s="18" t="s">
        <v>133</v>
      </c>
      <c r="B70" s="18" t="s">
        <v>133</v>
      </c>
      <c r="C70" s="18" t="s">
        <v>40</v>
      </c>
      <c r="E70" s="2" t="n">
        <f aca="false">INDEX(FieldSites!F:F, MATCH(Ch2_FieldSurvey!B70,FieldSites!C:C,0))</f>
        <v>1565</v>
      </c>
      <c r="F70" s="2" t="n">
        <f aca="false">INDEX(FieldSites!G:G, MATCH(Ch2_FieldSurvey!B70,FieldSites!C:C,0))</f>
        <v>-119.601395</v>
      </c>
      <c r="G70" s="2" t="n">
        <f aca="false">INDEX(FieldSites!H:H, MATCH(Ch2_FieldSurvey!B70,FieldSites!C:C,0))</f>
        <v>37.748823</v>
      </c>
      <c r="H70" s="18" t="n">
        <v>1</v>
      </c>
      <c r="I70" s="21" t="s">
        <v>134</v>
      </c>
      <c r="J70" s="22" t="n">
        <v>44323</v>
      </c>
      <c r="K70" s="23" t="n">
        <v>0.694444444444445</v>
      </c>
      <c r="L70" s="22" t="n">
        <v>44324</v>
      </c>
      <c r="M70" s="23" t="n">
        <v>0.46875</v>
      </c>
      <c r="O70" s="1" t="s">
        <v>135</v>
      </c>
      <c r="P70" s="16" t="s">
        <v>136</v>
      </c>
      <c r="Q70" s="16" t="s">
        <v>137</v>
      </c>
      <c r="R70" s="16" t="s">
        <v>138</v>
      </c>
      <c r="S70" s="4" t="s">
        <v>126</v>
      </c>
      <c r="T70" s="24" t="n">
        <v>305</v>
      </c>
      <c r="U70" s="18" t="n">
        <v>6.6</v>
      </c>
      <c r="V70" s="24" t="n">
        <v>0.35</v>
      </c>
      <c r="W70" s="2" t="n">
        <v>0.1</v>
      </c>
      <c r="Z70" s="18"/>
      <c r="AA70" s="20"/>
      <c r="AB70" s="20"/>
      <c r="AC70" s="20"/>
    </row>
    <row r="71" customFormat="false" ht="14.25" hidden="false" customHeight="true" outlineLevel="0" collapsed="false">
      <c r="A71" s="18" t="s">
        <v>133</v>
      </c>
      <c r="B71" s="18" t="s">
        <v>133</v>
      </c>
      <c r="C71" s="18" t="s">
        <v>40</v>
      </c>
      <c r="E71" s="2" t="n">
        <f aca="false">INDEX(FieldSites!F:F, MATCH(Ch2_FieldSurvey!B71,FieldSites!C:C,0))</f>
        <v>1565</v>
      </c>
      <c r="F71" s="2" t="n">
        <f aca="false">INDEX(FieldSites!G:G, MATCH(Ch2_FieldSurvey!B71,FieldSites!C:C,0))</f>
        <v>-119.601395</v>
      </c>
      <c r="G71" s="2" t="n">
        <f aca="false">INDEX(FieldSites!H:H, MATCH(Ch2_FieldSurvey!B71,FieldSites!C:C,0))</f>
        <v>37.748823</v>
      </c>
      <c r="H71" s="18" t="n">
        <v>1</v>
      </c>
      <c r="I71" s="21" t="s">
        <v>134</v>
      </c>
      <c r="J71" s="22" t="n">
        <v>44323</v>
      </c>
      <c r="K71" s="23" t="n">
        <v>0.694444444444445</v>
      </c>
      <c r="L71" s="22" t="n">
        <v>44324</v>
      </c>
      <c r="M71" s="23" t="n">
        <v>0.46875</v>
      </c>
      <c r="O71" s="1" t="s">
        <v>135</v>
      </c>
      <c r="P71" s="16" t="s">
        <v>136</v>
      </c>
      <c r="Q71" s="16" t="s">
        <v>137</v>
      </c>
      <c r="R71" s="16" t="s">
        <v>138</v>
      </c>
      <c r="S71" s="4" t="s">
        <v>126</v>
      </c>
      <c r="T71" s="24" t="n">
        <v>437</v>
      </c>
      <c r="U71" s="24" t="n">
        <v>6</v>
      </c>
      <c r="V71" s="24" t="n">
        <v>0.39</v>
      </c>
      <c r="W71" s="2" t="n">
        <v>0.2</v>
      </c>
      <c r="Z71" s="18"/>
      <c r="AA71" s="20"/>
      <c r="AB71" s="20"/>
      <c r="AC71" s="20"/>
    </row>
    <row r="72" customFormat="false" ht="14.25" hidden="false" customHeight="true" outlineLevel="0" collapsed="false">
      <c r="A72" s="18" t="s">
        <v>133</v>
      </c>
      <c r="B72" s="18" t="s">
        <v>133</v>
      </c>
      <c r="C72" s="18" t="s">
        <v>40</v>
      </c>
      <c r="E72" s="2" t="n">
        <f aca="false">INDEX(FieldSites!F:F, MATCH(Ch2_FieldSurvey!B72,FieldSites!C:C,0))</f>
        <v>1565</v>
      </c>
      <c r="F72" s="2" t="n">
        <f aca="false">INDEX(FieldSites!G:G, MATCH(Ch2_FieldSurvey!B72,FieldSites!C:C,0))</f>
        <v>-119.601395</v>
      </c>
      <c r="G72" s="2" t="n">
        <f aca="false">INDEX(FieldSites!H:H, MATCH(Ch2_FieldSurvey!B72,FieldSites!C:C,0))</f>
        <v>37.748823</v>
      </c>
      <c r="H72" s="18" t="n">
        <v>2</v>
      </c>
      <c r="I72" s="21" t="str">
        <f aca="false">CONCATENATE(B72,"_",C72,H72)</f>
        <v>LYFB_M. guttatus2</v>
      </c>
      <c r="J72" s="22" t="n">
        <v>44323</v>
      </c>
      <c r="K72" s="23" t="n">
        <v>0.694444444444445</v>
      </c>
      <c r="L72" s="22" t="n">
        <v>44324</v>
      </c>
      <c r="M72" s="23" t="n">
        <v>0.472222222222222</v>
      </c>
      <c r="O72" s="1" t="s">
        <v>139</v>
      </c>
      <c r="P72" s="16" t="s">
        <v>136</v>
      </c>
      <c r="Q72" s="16" t="s">
        <v>137</v>
      </c>
      <c r="R72" s="16" t="s">
        <v>138</v>
      </c>
      <c r="S72" s="4" t="s">
        <v>140</v>
      </c>
      <c r="T72" s="24" t="n">
        <v>520</v>
      </c>
      <c r="U72" s="24" t="n">
        <v>4.2</v>
      </c>
      <c r="V72" s="24" t="n">
        <v>0.54</v>
      </c>
      <c r="W72" s="2" t="n">
        <v>0.2</v>
      </c>
      <c r="Z72" s="18"/>
      <c r="AA72" s="19" t="n">
        <v>988841</v>
      </c>
      <c r="AB72" s="19" t="n">
        <v>1044844</v>
      </c>
      <c r="AC72" s="19" t="n">
        <f aca="false">(AB72-AA72)/AB72</f>
        <v>0.0535993889996976</v>
      </c>
    </row>
    <row r="73" customFormat="false" ht="14.25" hidden="false" customHeight="true" outlineLevel="0" collapsed="false">
      <c r="A73" s="18" t="s">
        <v>133</v>
      </c>
      <c r="B73" s="18" t="s">
        <v>133</v>
      </c>
      <c r="C73" s="18" t="s">
        <v>40</v>
      </c>
      <c r="E73" s="2" t="n">
        <f aca="false">INDEX(FieldSites!F:F, MATCH(Ch2_FieldSurvey!B73,FieldSites!C:C,0))</f>
        <v>1565</v>
      </c>
      <c r="F73" s="2" t="n">
        <f aca="false">INDEX(FieldSites!G:G, MATCH(Ch2_FieldSurvey!B73,FieldSites!C:C,0))</f>
        <v>-119.601395</v>
      </c>
      <c r="G73" s="2" t="n">
        <f aca="false">INDEX(FieldSites!H:H, MATCH(Ch2_FieldSurvey!B73,FieldSites!C:C,0))</f>
        <v>37.748823</v>
      </c>
      <c r="H73" s="18" t="n">
        <v>2</v>
      </c>
      <c r="I73" s="21" t="str">
        <f aca="false">CONCATENATE(B73,"_",C73,H73)</f>
        <v>LYFB_M. guttatus2</v>
      </c>
      <c r="J73" s="22" t="n">
        <v>44323</v>
      </c>
      <c r="K73" s="23" t="n">
        <v>0.694444444444445</v>
      </c>
      <c r="L73" s="22" t="n">
        <v>44324</v>
      </c>
      <c r="M73" s="23" t="n">
        <v>0.472222222222222</v>
      </c>
      <c r="O73" s="1" t="s">
        <v>139</v>
      </c>
      <c r="P73" s="16" t="s">
        <v>136</v>
      </c>
      <c r="Q73" s="16" t="s">
        <v>137</v>
      </c>
      <c r="R73" s="16" t="s">
        <v>138</v>
      </c>
      <c r="S73" s="4" t="s">
        <v>140</v>
      </c>
      <c r="T73" s="24" t="n">
        <v>360</v>
      </c>
      <c r="U73" s="24" t="n">
        <v>5.1</v>
      </c>
      <c r="V73" s="24" t="n">
        <v>0.37</v>
      </c>
      <c r="W73" s="2" t="n">
        <v>0.3</v>
      </c>
      <c r="Z73" s="18"/>
      <c r="AA73" s="20"/>
      <c r="AB73" s="20"/>
      <c r="AC73" s="20"/>
    </row>
    <row r="74" customFormat="false" ht="14.25" hidden="false" customHeight="true" outlineLevel="0" collapsed="false">
      <c r="A74" s="18" t="s">
        <v>133</v>
      </c>
      <c r="B74" s="18" t="s">
        <v>133</v>
      </c>
      <c r="C74" s="18" t="s">
        <v>40</v>
      </c>
      <c r="E74" s="2" t="n">
        <f aca="false">INDEX(FieldSites!F:F, MATCH(Ch2_FieldSurvey!B74,FieldSites!C:C,0))</f>
        <v>1565</v>
      </c>
      <c r="F74" s="2" t="n">
        <f aca="false">INDEX(FieldSites!G:G, MATCH(Ch2_FieldSurvey!B74,FieldSites!C:C,0))</f>
        <v>-119.601395</v>
      </c>
      <c r="G74" s="2" t="n">
        <f aca="false">INDEX(FieldSites!H:H, MATCH(Ch2_FieldSurvey!B74,FieldSites!C:C,0))</f>
        <v>37.748823</v>
      </c>
      <c r="H74" s="18" t="n">
        <v>2</v>
      </c>
      <c r="I74" s="21" t="str">
        <f aca="false">CONCATENATE(B74,"_",C74,H74)</f>
        <v>LYFB_M. guttatus2</v>
      </c>
      <c r="J74" s="22" t="n">
        <v>44323</v>
      </c>
      <c r="K74" s="23" t="n">
        <v>0.694444444444445</v>
      </c>
      <c r="L74" s="22" t="n">
        <v>44324</v>
      </c>
      <c r="M74" s="23" t="n">
        <v>0.472222222222222</v>
      </c>
      <c r="O74" s="1" t="s">
        <v>139</v>
      </c>
      <c r="P74" s="16" t="s">
        <v>136</v>
      </c>
      <c r="Q74" s="16" t="s">
        <v>137</v>
      </c>
      <c r="R74" s="16" t="s">
        <v>138</v>
      </c>
      <c r="S74" s="4" t="s">
        <v>140</v>
      </c>
      <c r="T74" s="24" t="n">
        <v>405</v>
      </c>
      <c r="U74" s="24" t="n">
        <v>6.4</v>
      </c>
      <c r="V74" s="24" t="n">
        <v>0.61</v>
      </c>
      <c r="W74" s="2" t="n">
        <v>0.4</v>
      </c>
      <c r="Z74" s="18"/>
      <c r="AA74" s="20"/>
      <c r="AB74" s="20"/>
      <c r="AC74" s="20"/>
    </row>
    <row r="75" customFormat="false" ht="14.25" hidden="false" customHeight="true" outlineLevel="0" collapsed="false">
      <c r="A75" s="18" t="s">
        <v>133</v>
      </c>
      <c r="B75" s="18" t="s">
        <v>133</v>
      </c>
      <c r="C75" s="18" t="s">
        <v>40</v>
      </c>
      <c r="E75" s="2" t="n">
        <f aca="false">INDEX(FieldSites!F:F, MATCH(Ch2_FieldSurvey!B75,FieldSites!C:C,0))</f>
        <v>1565</v>
      </c>
      <c r="F75" s="2" t="n">
        <f aca="false">INDEX(FieldSites!G:G, MATCH(Ch2_FieldSurvey!B75,FieldSites!C:C,0))</f>
        <v>-119.601395</v>
      </c>
      <c r="G75" s="2" t="n">
        <f aca="false">INDEX(FieldSites!H:H, MATCH(Ch2_FieldSurvey!B75,FieldSites!C:C,0))</f>
        <v>37.748823</v>
      </c>
      <c r="H75" s="18" t="n">
        <v>3</v>
      </c>
      <c r="I75" s="21" t="str">
        <f aca="false">CONCATENATE(B75,"_",C75,H75)</f>
        <v>LYFB_M. guttatus3</v>
      </c>
      <c r="J75" s="22" t="n">
        <v>44323</v>
      </c>
      <c r="K75" s="23" t="n">
        <v>0.694444444444445</v>
      </c>
      <c r="L75" s="22" t="n">
        <v>44324</v>
      </c>
      <c r="M75" s="23" t="n">
        <v>0.475694444444444</v>
      </c>
      <c r="O75" s="1" t="s">
        <v>141</v>
      </c>
      <c r="P75" s="16" t="s">
        <v>136</v>
      </c>
      <c r="Q75" s="16" t="s">
        <v>137</v>
      </c>
      <c r="R75" s="16" t="s">
        <v>138</v>
      </c>
      <c r="S75" s="4" t="s">
        <v>142</v>
      </c>
      <c r="T75" s="24" t="n">
        <v>550</v>
      </c>
      <c r="U75" s="24" t="n">
        <v>5.6</v>
      </c>
      <c r="V75" s="24" t="n">
        <v>0.62</v>
      </c>
      <c r="W75" s="2" t="n">
        <v>0.1</v>
      </c>
      <c r="Z75" s="18"/>
      <c r="AA75" s="19" t="n">
        <v>1092210</v>
      </c>
      <c r="AB75" s="19" t="n">
        <v>1164549</v>
      </c>
      <c r="AC75" s="19" t="n">
        <f aca="false">(AB75-AA75)/AB75</f>
        <v>0.0621176094780039</v>
      </c>
    </row>
    <row r="76" customFormat="false" ht="14.25" hidden="false" customHeight="true" outlineLevel="0" collapsed="false">
      <c r="A76" s="18" t="s">
        <v>133</v>
      </c>
      <c r="B76" s="18" t="s">
        <v>133</v>
      </c>
      <c r="C76" s="18" t="s">
        <v>40</v>
      </c>
      <c r="E76" s="2" t="n">
        <f aca="false">INDEX(FieldSites!F:F, MATCH(Ch2_FieldSurvey!B76,FieldSites!C:C,0))</f>
        <v>1565</v>
      </c>
      <c r="F76" s="2" t="n">
        <f aca="false">INDEX(FieldSites!G:G, MATCH(Ch2_FieldSurvey!B76,FieldSites!C:C,0))</f>
        <v>-119.601395</v>
      </c>
      <c r="G76" s="2" t="n">
        <f aca="false">INDEX(FieldSites!H:H, MATCH(Ch2_FieldSurvey!B76,FieldSites!C:C,0))</f>
        <v>37.748823</v>
      </c>
      <c r="H76" s="18" t="n">
        <v>3</v>
      </c>
      <c r="I76" s="21" t="str">
        <f aca="false">CONCATENATE(B76,"_",C76,H76)</f>
        <v>LYFB_M. guttatus3</v>
      </c>
      <c r="J76" s="22" t="n">
        <v>44323</v>
      </c>
      <c r="K76" s="23" t="n">
        <v>0.694444444444445</v>
      </c>
      <c r="L76" s="22" t="n">
        <v>44324</v>
      </c>
      <c r="M76" s="23" t="n">
        <v>0.475694444444444</v>
      </c>
      <c r="O76" s="1" t="s">
        <v>141</v>
      </c>
      <c r="P76" s="16" t="s">
        <v>136</v>
      </c>
      <c r="Q76" s="16" t="s">
        <v>137</v>
      </c>
      <c r="R76" s="16" t="s">
        <v>138</v>
      </c>
      <c r="S76" s="4" t="s">
        <v>142</v>
      </c>
      <c r="T76" s="24" t="n">
        <v>545</v>
      </c>
      <c r="U76" s="24" t="n">
        <v>8.3</v>
      </c>
      <c r="V76" s="24" t="n">
        <v>0.41</v>
      </c>
      <c r="W76" s="2" t="n">
        <v>0.3</v>
      </c>
      <c r="Z76" s="18"/>
      <c r="AA76" s="20"/>
      <c r="AB76" s="20"/>
      <c r="AC76" s="20"/>
    </row>
    <row r="77" customFormat="false" ht="14.25" hidden="false" customHeight="true" outlineLevel="0" collapsed="false">
      <c r="A77" s="18" t="s">
        <v>133</v>
      </c>
      <c r="B77" s="18" t="s">
        <v>133</v>
      </c>
      <c r="C77" s="18" t="s">
        <v>40</v>
      </c>
      <c r="E77" s="2" t="n">
        <f aca="false">INDEX(FieldSites!F:F, MATCH(Ch2_FieldSurvey!B77,FieldSites!C:C,0))</f>
        <v>1565</v>
      </c>
      <c r="F77" s="2" t="n">
        <f aca="false">INDEX(FieldSites!G:G, MATCH(Ch2_FieldSurvey!B77,FieldSites!C:C,0))</f>
        <v>-119.601395</v>
      </c>
      <c r="G77" s="2" t="n">
        <f aca="false">INDEX(FieldSites!H:H, MATCH(Ch2_FieldSurvey!B77,FieldSites!C:C,0))</f>
        <v>37.748823</v>
      </c>
      <c r="H77" s="18" t="n">
        <v>3</v>
      </c>
      <c r="I77" s="21" t="str">
        <f aca="false">CONCATENATE(B77,"_",C77,H77)</f>
        <v>LYFB_M. guttatus3</v>
      </c>
      <c r="J77" s="22" t="n">
        <v>44323</v>
      </c>
      <c r="K77" s="23" t="n">
        <v>0.694444444444445</v>
      </c>
      <c r="L77" s="22" t="n">
        <v>44324</v>
      </c>
      <c r="M77" s="23" t="n">
        <v>0.475694444444444</v>
      </c>
      <c r="O77" s="1" t="s">
        <v>141</v>
      </c>
      <c r="P77" s="16" t="s">
        <v>136</v>
      </c>
      <c r="Q77" s="16" t="s">
        <v>137</v>
      </c>
      <c r="R77" s="16" t="s">
        <v>138</v>
      </c>
      <c r="S77" s="4" t="s">
        <v>142</v>
      </c>
      <c r="T77" s="24" t="n">
        <v>580</v>
      </c>
      <c r="U77" s="24" t="n">
        <v>6.2</v>
      </c>
      <c r="V77" s="24" t="n">
        <v>0.42</v>
      </c>
      <c r="W77" s="2" t="n">
        <v>0.3</v>
      </c>
      <c r="Z77" s="18"/>
      <c r="AA77" s="20"/>
      <c r="AB77" s="20"/>
      <c r="AC77" s="20"/>
    </row>
    <row r="78" customFormat="false" ht="14.25" hidden="false" customHeight="true" outlineLevel="0" collapsed="false">
      <c r="A78" s="18" t="s">
        <v>133</v>
      </c>
      <c r="B78" s="18" t="s">
        <v>133</v>
      </c>
      <c r="C78" s="18" t="s">
        <v>40</v>
      </c>
      <c r="E78" s="2" t="n">
        <f aca="false">INDEX(FieldSites!F:F, MATCH(Ch2_FieldSurvey!B78,FieldSites!C:C,0))</f>
        <v>1565</v>
      </c>
      <c r="F78" s="2" t="n">
        <f aca="false">INDEX(FieldSites!G:G, MATCH(Ch2_FieldSurvey!B78,FieldSites!C:C,0))</f>
        <v>-119.601395</v>
      </c>
      <c r="G78" s="2" t="n">
        <f aca="false">INDEX(FieldSites!H:H, MATCH(Ch2_FieldSurvey!B78,FieldSites!C:C,0))</f>
        <v>37.748823</v>
      </c>
      <c r="H78" s="18" t="n">
        <v>4</v>
      </c>
      <c r="I78" s="21" t="str">
        <f aca="false">CONCATENATE(B78,"_",C78,H78)</f>
        <v>LYFB_M. guttatus4</v>
      </c>
      <c r="J78" s="22" t="n">
        <v>44323</v>
      </c>
      <c r="K78" s="23" t="n">
        <v>0.694444444444445</v>
      </c>
      <c r="L78" s="22" t="n">
        <v>44324</v>
      </c>
      <c r="M78" s="23" t="n">
        <v>0.479166666666667</v>
      </c>
      <c r="O78" s="1" t="s">
        <v>143</v>
      </c>
      <c r="P78" s="16" t="s">
        <v>136</v>
      </c>
      <c r="Q78" s="16" t="s">
        <v>137</v>
      </c>
      <c r="R78" s="16" t="s">
        <v>138</v>
      </c>
      <c r="S78" s="4" t="s">
        <v>144</v>
      </c>
      <c r="T78" s="24" t="n">
        <v>540</v>
      </c>
      <c r="U78" s="24" t="n">
        <v>5.7</v>
      </c>
      <c r="V78" s="24" t="n">
        <v>0.58</v>
      </c>
      <c r="W78" s="2" t="n">
        <v>0.2</v>
      </c>
      <c r="Z78" s="18" t="s">
        <v>145</v>
      </c>
      <c r="AA78" s="19" t="n">
        <v>1093961</v>
      </c>
      <c r="AB78" s="19" t="n">
        <v>1162816</v>
      </c>
      <c r="AC78" s="19" t="n">
        <f aca="false">(AB78-AA78)/AB78</f>
        <v>0.0592140115031097</v>
      </c>
    </row>
    <row r="79" customFormat="false" ht="14.25" hidden="false" customHeight="true" outlineLevel="0" collapsed="false">
      <c r="A79" s="18" t="s">
        <v>133</v>
      </c>
      <c r="B79" s="18" t="s">
        <v>133</v>
      </c>
      <c r="C79" s="18" t="s">
        <v>40</v>
      </c>
      <c r="E79" s="2" t="n">
        <f aca="false">INDEX(FieldSites!F:F, MATCH(Ch2_FieldSurvey!B79,FieldSites!C:C,0))</f>
        <v>1565</v>
      </c>
      <c r="F79" s="2" t="n">
        <f aca="false">INDEX(FieldSites!G:G, MATCH(Ch2_FieldSurvey!B79,FieldSites!C:C,0))</f>
        <v>-119.601395</v>
      </c>
      <c r="G79" s="2" t="n">
        <f aca="false">INDEX(FieldSites!H:H, MATCH(Ch2_FieldSurvey!B79,FieldSites!C:C,0))</f>
        <v>37.748823</v>
      </c>
      <c r="H79" s="18" t="n">
        <v>4</v>
      </c>
      <c r="I79" s="21" t="str">
        <f aca="false">CONCATENATE(B79,"_",C79,H79)</f>
        <v>LYFB_M. guttatus4</v>
      </c>
      <c r="J79" s="22" t="n">
        <v>44323</v>
      </c>
      <c r="K79" s="23" t="n">
        <v>0.694444444444445</v>
      </c>
      <c r="L79" s="22" t="n">
        <v>44324</v>
      </c>
      <c r="M79" s="23" t="n">
        <v>0.479166666666667</v>
      </c>
      <c r="O79" s="1" t="s">
        <v>143</v>
      </c>
      <c r="P79" s="16" t="s">
        <v>136</v>
      </c>
      <c r="Q79" s="16" t="s">
        <v>137</v>
      </c>
      <c r="R79" s="16" t="s">
        <v>138</v>
      </c>
      <c r="S79" s="4" t="s">
        <v>144</v>
      </c>
      <c r="T79" s="24" t="n">
        <v>680</v>
      </c>
      <c r="U79" s="24" t="n">
        <v>5.3</v>
      </c>
      <c r="V79" s="24" t="n">
        <v>0.67</v>
      </c>
      <c r="W79" s="2" t="n">
        <v>0.2</v>
      </c>
      <c r="Z79" s="18" t="s">
        <v>145</v>
      </c>
      <c r="AA79" s="20"/>
      <c r="AB79" s="20"/>
      <c r="AC79" s="20"/>
    </row>
    <row r="80" customFormat="false" ht="14.25" hidden="false" customHeight="true" outlineLevel="0" collapsed="false">
      <c r="A80" s="18" t="s">
        <v>133</v>
      </c>
      <c r="B80" s="18" t="s">
        <v>133</v>
      </c>
      <c r="C80" s="18" t="s">
        <v>40</v>
      </c>
      <c r="E80" s="2" t="n">
        <f aca="false">INDEX(FieldSites!F:F, MATCH(Ch2_FieldSurvey!B80,FieldSites!C:C,0))</f>
        <v>1565</v>
      </c>
      <c r="F80" s="2" t="n">
        <f aca="false">INDEX(FieldSites!G:G, MATCH(Ch2_FieldSurvey!B80,FieldSites!C:C,0))</f>
        <v>-119.601395</v>
      </c>
      <c r="G80" s="2" t="n">
        <f aca="false">INDEX(FieldSites!H:H, MATCH(Ch2_FieldSurvey!B80,FieldSites!C:C,0))</f>
        <v>37.748823</v>
      </c>
      <c r="H80" s="18" t="n">
        <v>4</v>
      </c>
      <c r="I80" s="21" t="str">
        <f aca="false">CONCATENATE(B80,"_",C80,H80)</f>
        <v>LYFB_M. guttatus4</v>
      </c>
      <c r="J80" s="22" t="n">
        <v>44323</v>
      </c>
      <c r="K80" s="23" t="n">
        <v>0.694444444444445</v>
      </c>
      <c r="L80" s="22" t="n">
        <v>44324</v>
      </c>
      <c r="M80" s="23" t="n">
        <v>0.479166666666667</v>
      </c>
      <c r="O80" s="1" t="s">
        <v>143</v>
      </c>
      <c r="P80" s="16" t="s">
        <v>136</v>
      </c>
      <c r="Q80" s="16" t="s">
        <v>137</v>
      </c>
      <c r="R80" s="16" t="s">
        <v>138</v>
      </c>
      <c r="S80" s="4" t="s">
        <v>144</v>
      </c>
      <c r="T80" s="24" t="n">
        <v>430</v>
      </c>
      <c r="U80" s="24" t="n">
        <v>5</v>
      </c>
      <c r="V80" s="24" t="n">
        <v>0.46</v>
      </c>
      <c r="W80" s="2" t="n">
        <v>0.3</v>
      </c>
      <c r="Z80" s="18" t="s">
        <v>145</v>
      </c>
      <c r="AA80" s="20"/>
      <c r="AB80" s="20"/>
      <c r="AC80" s="20"/>
    </row>
    <row r="81" customFormat="false" ht="14.25" hidden="false" customHeight="true" outlineLevel="0" collapsed="false">
      <c r="A81" s="18" t="s">
        <v>133</v>
      </c>
      <c r="B81" s="18" t="s">
        <v>133</v>
      </c>
      <c r="C81" s="18" t="s">
        <v>40</v>
      </c>
      <c r="E81" s="2" t="n">
        <f aca="false">INDEX(FieldSites!F:F, MATCH(Ch2_FieldSurvey!B81,FieldSites!C:C,0))</f>
        <v>1565</v>
      </c>
      <c r="F81" s="2" t="n">
        <f aca="false">INDEX(FieldSites!G:G, MATCH(Ch2_FieldSurvey!B81,FieldSites!C:C,0))</f>
        <v>-119.601395</v>
      </c>
      <c r="G81" s="2" t="n">
        <f aca="false">INDEX(FieldSites!H:H, MATCH(Ch2_FieldSurvey!B81,FieldSites!C:C,0))</f>
        <v>37.748823</v>
      </c>
      <c r="H81" s="18" t="n">
        <v>5</v>
      </c>
      <c r="I81" s="21" t="str">
        <f aca="false">CONCATENATE(B81,"_",C81,H81)</f>
        <v>LYFB_M. guttatus5</v>
      </c>
      <c r="J81" s="22" t="n">
        <v>44323</v>
      </c>
      <c r="K81" s="23" t="n">
        <v>0.694444444444445</v>
      </c>
      <c r="L81" s="22" t="n">
        <v>44324</v>
      </c>
      <c r="M81" s="23" t="n">
        <v>0.484722222222222</v>
      </c>
      <c r="O81" s="1" t="s">
        <v>146</v>
      </c>
      <c r="P81" s="16" t="s">
        <v>136</v>
      </c>
      <c r="Q81" s="16" t="s">
        <v>137</v>
      </c>
      <c r="R81" s="16" t="s">
        <v>138</v>
      </c>
      <c r="S81" s="4" t="s">
        <v>147</v>
      </c>
      <c r="T81" s="24" t="n">
        <v>500</v>
      </c>
      <c r="U81" s="24" t="n">
        <v>5.9</v>
      </c>
      <c r="V81" s="24" t="n">
        <v>0.37</v>
      </c>
      <c r="W81" s="2" t="n">
        <v>0.2</v>
      </c>
      <c r="Z81" s="18"/>
      <c r="AA81" s="19" t="n">
        <v>1259328</v>
      </c>
      <c r="AB81" s="19" t="n">
        <v>1340380</v>
      </c>
      <c r="AC81" s="19" t="n">
        <f aca="false">(AB81-AA81)/AB81</f>
        <v>0.0604694191199511</v>
      </c>
    </row>
    <row r="82" customFormat="false" ht="14.25" hidden="false" customHeight="true" outlineLevel="0" collapsed="false">
      <c r="A82" s="18" t="s">
        <v>133</v>
      </c>
      <c r="B82" s="18" t="s">
        <v>133</v>
      </c>
      <c r="C82" s="18" t="s">
        <v>40</v>
      </c>
      <c r="E82" s="2" t="n">
        <f aca="false">INDEX(FieldSites!F:F, MATCH(Ch2_FieldSurvey!B82,FieldSites!C:C,0))</f>
        <v>1565</v>
      </c>
      <c r="F82" s="2" t="n">
        <f aca="false">INDEX(FieldSites!G:G, MATCH(Ch2_FieldSurvey!B82,FieldSites!C:C,0))</f>
        <v>-119.601395</v>
      </c>
      <c r="G82" s="2" t="n">
        <f aca="false">INDEX(FieldSites!H:H, MATCH(Ch2_FieldSurvey!B82,FieldSites!C:C,0))</f>
        <v>37.748823</v>
      </c>
      <c r="H82" s="18" t="n">
        <v>5</v>
      </c>
      <c r="I82" s="21" t="str">
        <f aca="false">CONCATENATE(B82,"_",C82,H82)</f>
        <v>LYFB_M. guttatus5</v>
      </c>
      <c r="J82" s="22" t="n">
        <v>44323</v>
      </c>
      <c r="K82" s="23" t="n">
        <v>0.694444444444445</v>
      </c>
      <c r="L82" s="22" t="n">
        <v>44324</v>
      </c>
      <c r="M82" s="23" t="n">
        <v>0.484722222222222</v>
      </c>
      <c r="O82" s="1" t="s">
        <v>146</v>
      </c>
      <c r="P82" s="16" t="s">
        <v>136</v>
      </c>
      <c r="Q82" s="16" t="s">
        <v>137</v>
      </c>
      <c r="R82" s="16" t="s">
        <v>138</v>
      </c>
      <c r="S82" s="4" t="s">
        <v>147</v>
      </c>
      <c r="T82" s="24" t="n">
        <v>550</v>
      </c>
      <c r="U82" s="24" t="n">
        <v>4.6</v>
      </c>
      <c r="V82" s="24" t="n">
        <v>0.5</v>
      </c>
      <c r="W82" s="2" t="n">
        <v>0.3</v>
      </c>
      <c r="Z82" s="18"/>
      <c r="AA82" s="20"/>
      <c r="AB82" s="20"/>
      <c r="AC82" s="20"/>
    </row>
    <row r="83" customFormat="false" ht="14.25" hidden="false" customHeight="true" outlineLevel="0" collapsed="false">
      <c r="A83" s="18" t="s">
        <v>133</v>
      </c>
      <c r="B83" s="18" t="s">
        <v>133</v>
      </c>
      <c r="C83" s="18" t="s">
        <v>40</v>
      </c>
      <c r="E83" s="2" t="n">
        <f aca="false">INDEX(FieldSites!F:F, MATCH(Ch2_FieldSurvey!B83,FieldSites!C:C,0))</f>
        <v>1565</v>
      </c>
      <c r="F83" s="2" t="n">
        <f aca="false">INDEX(FieldSites!G:G, MATCH(Ch2_FieldSurvey!B83,FieldSites!C:C,0))</f>
        <v>-119.601395</v>
      </c>
      <c r="G83" s="2" t="n">
        <f aca="false">INDEX(FieldSites!H:H, MATCH(Ch2_FieldSurvey!B83,FieldSites!C:C,0))</f>
        <v>37.748823</v>
      </c>
      <c r="H83" s="18" t="n">
        <v>5</v>
      </c>
      <c r="I83" s="21" t="str">
        <f aca="false">CONCATENATE(B83,"_",C83,H83)</f>
        <v>LYFB_M. guttatus5</v>
      </c>
      <c r="J83" s="22" t="n">
        <v>44323</v>
      </c>
      <c r="K83" s="23" t="n">
        <v>0.694444444444445</v>
      </c>
      <c r="L83" s="22" t="n">
        <v>44324</v>
      </c>
      <c r="M83" s="23" t="n">
        <v>0.484722222222222</v>
      </c>
      <c r="O83" s="1" t="s">
        <v>146</v>
      </c>
      <c r="P83" s="16" t="s">
        <v>136</v>
      </c>
      <c r="Q83" s="16" t="s">
        <v>137</v>
      </c>
      <c r="R83" s="16" t="s">
        <v>138</v>
      </c>
      <c r="S83" s="4" t="s">
        <v>147</v>
      </c>
      <c r="T83" s="24" t="n">
        <v>420</v>
      </c>
      <c r="U83" s="24" t="n">
        <v>6.1</v>
      </c>
      <c r="V83" s="24" t="n">
        <v>0.5</v>
      </c>
      <c r="W83" s="2" t="n">
        <v>0.4</v>
      </c>
      <c r="Z83" s="18"/>
      <c r="AA83" s="20"/>
      <c r="AB83" s="20"/>
      <c r="AC83" s="20"/>
    </row>
    <row r="84" customFormat="false" ht="14.25" hidden="false" customHeight="true" outlineLevel="0" collapsed="false">
      <c r="A84" s="18" t="s">
        <v>148</v>
      </c>
      <c r="B84" s="18" t="s">
        <v>148</v>
      </c>
      <c r="C84" s="18" t="s">
        <v>40</v>
      </c>
      <c r="E84" s="2" t="n">
        <f aca="false">INDEX(FieldSites!F:F, MATCH(Ch2_FieldSurvey!B84,FieldSites!C:C,0))</f>
        <v>1851</v>
      </c>
      <c r="F84" s="2" t="n">
        <f aca="false">INDEX(FieldSites!G:G, MATCH(Ch2_FieldSurvey!B84,FieldSites!C:C,0))</f>
        <v>-119.273507</v>
      </c>
      <c r="G84" s="2" t="n">
        <f aca="false">INDEX(FieldSites!H:H, MATCH(Ch2_FieldSurvey!B84,FieldSites!C:C,0))</f>
        <v>37.150723</v>
      </c>
      <c r="H84" s="18" t="n">
        <v>1</v>
      </c>
      <c r="I84" s="21" t="str">
        <f aca="false">CONCATENATE(B84,"_",C84,H84)</f>
        <v>HUOB_M. guttatus1</v>
      </c>
      <c r="J84" s="22" t="n">
        <v>44328</v>
      </c>
      <c r="K84" s="23" t="n">
        <v>0.583333333333333</v>
      </c>
      <c r="L84" s="22" t="n">
        <v>44329</v>
      </c>
      <c r="M84" s="23" t="n">
        <v>0.470833333333333</v>
      </c>
      <c r="O84" s="1" t="s">
        <v>149</v>
      </c>
      <c r="P84" s="16" t="s">
        <v>150</v>
      </c>
      <c r="Q84" s="16" t="s">
        <v>151</v>
      </c>
      <c r="R84" s="16" t="s">
        <v>152</v>
      </c>
      <c r="S84" s="4" t="s">
        <v>153</v>
      </c>
      <c r="T84" s="24" t="n">
        <v>270</v>
      </c>
      <c r="U84" s="24" t="n">
        <v>4.2</v>
      </c>
      <c r="V84" s="24" t="n">
        <v>0.52</v>
      </c>
      <c r="W84" s="2" t="n">
        <v>0.5</v>
      </c>
      <c r="Z84" s="18"/>
      <c r="AA84" s="19" t="n">
        <v>130522</v>
      </c>
      <c r="AB84" s="19" t="n">
        <v>164027</v>
      </c>
      <c r="AC84" s="19" t="n">
        <f aca="false">(AB84-AA84)/AB84</f>
        <v>0.204265151468965</v>
      </c>
    </row>
    <row r="85" customFormat="false" ht="14.25" hidden="false" customHeight="true" outlineLevel="0" collapsed="false">
      <c r="A85" s="18" t="s">
        <v>148</v>
      </c>
      <c r="B85" s="18" t="s">
        <v>148</v>
      </c>
      <c r="C85" s="18" t="s">
        <v>40</v>
      </c>
      <c r="E85" s="2" t="n">
        <f aca="false">INDEX(FieldSites!F:F, MATCH(Ch2_FieldSurvey!B85,FieldSites!C:C,0))</f>
        <v>1851</v>
      </c>
      <c r="F85" s="2" t="n">
        <f aca="false">INDEX(FieldSites!G:G, MATCH(Ch2_FieldSurvey!B85,FieldSites!C:C,0))</f>
        <v>-119.273507</v>
      </c>
      <c r="G85" s="2" t="n">
        <f aca="false">INDEX(FieldSites!H:H, MATCH(Ch2_FieldSurvey!B85,FieldSites!C:C,0))</f>
        <v>37.150723</v>
      </c>
      <c r="H85" s="18" t="n">
        <v>1</v>
      </c>
      <c r="I85" s="21" t="str">
        <f aca="false">CONCATENATE(B85,"_",C85,H85)</f>
        <v>HUOB_M. guttatus1</v>
      </c>
      <c r="J85" s="22" t="n">
        <v>44328</v>
      </c>
      <c r="K85" s="23" t="n">
        <v>0.583333333333333</v>
      </c>
      <c r="L85" s="22" t="n">
        <v>44329</v>
      </c>
      <c r="M85" s="23" t="n">
        <v>0.470833333333333</v>
      </c>
      <c r="O85" s="1" t="s">
        <v>149</v>
      </c>
      <c r="P85" s="16" t="s">
        <v>150</v>
      </c>
      <c r="Q85" s="16" t="s">
        <v>151</v>
      </c>
      <c r="R85" s="16" t="s">
        <v>152</v>
      </c>
      <c r="S85" s="4" t="s">
        <v>153</v>
      </c>
      <c r="T85" s="24" t="n">
        <v>300</v>
      </c>
      <c r="U85" s="24" t="n">
        <v>4.6</v>
      </c>
      <c r="V85" s="24" t="n">
        <v>0.36</v>
      </c>
      <c r="W85" s="2" t="n">
        <v>0.5</v>
      </c>
      <c r="Z85" s="18"/>
      <c r="AA85" s="20"/>
      <c r="AB85" s="20"/>
      <c r="AC85" s="20"/>
    </row>
    <row r="86" customFormat="false" ht="14.25" hidden="false" customHeight="true" outlineLevel="0" collapsed="false">
      <c r="A86" s="18" t="s">
        <v>148</v>
      </c>
      <c r="B86" s="18" t="s">
        <v>148</v>
      </c>
      <c r="C86" s="18" t="s">
        <v>40</v>
      </c>
      <c r="E86" s="2" t="n">
        <f aca="false">INDEX(FieldSites!F:F, MATCH(Ch2_FieldSurvey!B86,FieldSites!C:C,0))</f>
        <v>1851</v>
      </c>
      <c r="F86" s="2" t="n">
        <f aca="false">INDEX(FieldSites!G:G, MATCH(Ch2_FieldSurvey!B86,FieldSites!C:C,0))</f>
        <v>-119.273507</v>
      </c>
      <c r="G86" s="2" t="n">
        <f aca="false">INDEX(FieldSites!H:H, MATCH(Ch2_FieldSurvey!B86,FieldSites!C:C,0))</f>
        <v>37.150723</v>
      </c>
      <c r="H86" s="18" t="n">
        <v>1</v>
      </c>
      <c r="I86" s="21" t="str">
        <f aca="false">CONCATENATE(B86,"_",C86,H86)</f>
        <v>HUOB_M. guttatus1</v>
      </c>
      <c r="J86" s="22" t="n">
        <v>44328</v>
      </c>
      <c r="K86" s="23" t="n">
        <v>0.583333333333333</v>
      </c>
      <c r="L86" s="22" t="n">
        <v>44329</v>
      </c>
      <c r="M86" s="23" t="n">
        <v>0.470833333333333</v>
      </c>
      <c r="O86" s="1" t="s">
        <v>149</v>
      </c>
      <c r="P86" s="16" t="s">
        <v>150</v>
      </c>
      <c r="Q86" s="16" t="s">
        <v>151</v>
      </c>
      <c r="R86" s="16" t="s">
        <v>152</v>
      </c>
      <c r="S86" s="4" t="s">
        <v>153</v>
      </c>
      <c r="T86" s="24" t="n">
        <v>360</v>
      </c>
      <c r="U86" s="24" t="n">
        <v>4.1</v>
      </c>
      <c r="V86" s="24" t="n">
        <v>0.38</v>
      </c>
      <c r="W86" s="2" t="n">
        <v>0.4</v>
      </c>
      <c r="Z86" s="18"/>
      <c r="AA86" s="20"/>
      <c r="AB86" s="20"/>
      <c r="AC86" s="20"/>
    </row>
    <row r="87" customFormat="false" ht="14.25" hidden="false" customHeight="true" outlineLevel="0" collapsed="false">
      <c r="A87" s="18" t="s">
        <v>148</v>
      </c>
      <c r="B87" s="18" t="s">
        <v>148</v>
      </c>
      <c r="C87" s="18" t="s">
        <v>40</v>
      </c>
      <c r="E87" s="2" t="n">
        <f aca="false">INDEX(FieldSites!F:F, MATCH(Ch2_FieldSurvey!B87,FieldSites!C:C,0))</f>
        <v>1851</v>
      </c>
      <c r="F87" s="2" t="n">
        <f aca="false">INDEX(FieldSites!G:G, MATCH(Ch2_FieldSurvey!B87,FieldSites!C:C,0))</f>
        <v>-119.273507</v>
      </c>
      <c r="G87" s="2" t="n">
        <f aca="false">INDEX(FieldSites!H:H, MATCH(Ch2_FieldSurvey!B87,FieldSites!C:C,0))</f>
        <v>37.150723</v>
      </c>
      <c r="H87" s="18" t="n">
        <v>2</v>
      </c>
      <c r="I87" s="21" t="str">
        <f aca="false">CONCATENATE(B87,"_",C87,H87)</f>
        <v>HUOB_M. guttatus2</v>
      </c>
      <c r="J87" s="22" t="n">
        <v>44328</v>
      </c>
      <c r="K87" s="23" t="n">
        <v>0.583333333333333</v>
      </c>
      <c r="L87" s="22" t="n">
        <v>44329</v>
      </c>
      <c r="M87" s="23" t="n">
        <v>0.472222222222222</v>
      </c>
      <c r="O87" s="1" t="s">
        <v>154</v>
      </c>
      <c r="P87" s="16" t="s">
        <v>150</v>
      </c>
      <c r="Q87" s="16" t="s">
        <v>151</v>
      </c>
      <c r="R87" s="16" t="s">
        <v>152</v>
      </c>
      <c r="S87" s="4" t="s">
        <v>140</v>
      </c>
      <c r="T87" s="24" t="n">
        <v>500</v>
      </c>
      <c r="U87" s="24" t="n">
        <v>6.2</v>
      </c>
      <c r="V87" s="24" t="n">
        <v>4.2</v>
      </c>
      <c r="W87" s="2" t="n">
        <v>0.6</v>
      </c>
      <c r="Z87" s="18"/>
      <c r="AA87" s="19" t="n">
        <v>235065</v>
      </c>
      <c r="AB87" s="19" t="n">
        <v>276330</v>
      </c>
      <c r="AC87" s="19" t="n">
        <f aca="false">(AB87-AA87)/AB87</f>
        <v>0.149332320052112</v>
      </c>
    </row>
    <row r="88" customFormat="false" ht="14.25" hidden="false" customHeight="true" outlineLevel="0" collapsed="false">
      <c r="A88" s="18" t="s">
        <v>148</v>
      </c>
      <c r="B88" s="18" t="s">
        <v>148</v>
      </c>
      <c r="C88" s="18" t="s">
        <v>40</v>
      </c>
      <c r="E88" s="2" t="n">
        <f aca="false">INDEX(FieldSites!F:F, MATCH(Ch2_FieldSurvey!B88,FieldSites!C:C,0))</f>
        <v>1851</v>
      </c>
      <c r="F88" s="2" t="n">
        <f aca="false">INDEX(FieldSites!G:G, MATCH(Ch2_FieldSurvey!B88,FieldSites!C:C,0))</f>
        <v>-119.273507</v>
      </c>
      <c r="G88" s="2" t="n">
        <f aca="false">INDEX(FieldSites!H:H, MATCH(Ch2_FieldSurvey!B88,FieldSites!C:C,0))</f>
        <v>37.150723</v>
      </c>
      <c r="H88" s="18" t="n">
        <v>2</v>
      </c>
      <c r="I88" s="21" t="str">
        <f aca="false">CONCATENATE(B88,"_",C88,H88)</f>
        <v>HUOB_M. guttatus2</v>
      </c>
      <c r="J88" s="22" t="n">
        <v>44328</v>
      </c>
      <c r="K88" s="23" t="n">
        <v>0.583333333333333</v>
      </c>
      <c r="L88" s="22" t="n">
        <v>44329</v>
      </c>
      <c r="M88" s="23" t="n">
        <v>0.472222222222222</v>
      </c>
      <c r="O88" s="1" t="s">
        <v>154</v>
      </c>
      <c r="P88" s="16" t="s">
        <v>150</v>
      </c>
      <c r="Q88" s="16" t="s">
        <v>151</v>
      </c>
      <c r="R88" s="16" t="s">
        <v>152</v>
      </c>
      <c r="S88" s="4" t="s">
        <v>140</v>
      </c>
      <c r="T88" s="24" t="n">
        <v>380</v>
      </c>
      <c r="U88" s="24" t="n">
        <v>7.6</v>
      </c>
      <c r="V88" s="24" t="n">
        <v>6</v>
      </c>
      <c r="W88" s="2" t="n">
        <v>0.6</v>
      </c>
      <c r="Z88" s="18"/>
      <c r="AA88" s="20"/>
      <c r="AB88" s="20"/>
      <c r="AC88" s="20"/>
    </row>
    <row r="89" customFormat="false" ht="14.25" hidden="false" customHeight="true" outlineLevel="0" collapsed="false">
      <c r="A89" s="18" t="s">
        <v>148</v>
      </c>
      <c r="B89" s="18" t="s">
        <v>148</v>
      </c>
      <c r="C89" s="18" t="s">
        <v>40</v>
      </c>
      <c r="E89" s="2" t="n">
        <f aca="false">INDEX(FieldSites!F:F, MATCH(Ch2_FieldSurvey!B89,FieldSites!C:C,0))</f>
        <v>1851</v>
      </c>
      <c r="F89" s="2" t="n">
        <f aca="false">INDEX(FieldSites!G:G, MATCH(Ch2_FieldSurvey!B89,FieldSites!C:C,0))</f>
        <v>-119.273507</v>
      </c>
      <c r="G89" s="2" t="n">
        <f aca="false">INDEX(FieldSites!H:H, MATCH(Ch2_FieldSurvey!B89,FieldSites!C:C,0))</f>
        <v>37.150723</v>
      </c>
      <c r="H89" s="18" t="n">
        <v>2</v>
      </c>
      <c r="I89" s="21" t="str">
        <f aca="false">CONCATENATE(B89,"_",C89,H89)</f>
        <v>HUOB_M. guttatus2</v>
      </c>
      <c r="J89" s="22" t="n">
        <v>44328</v>
      </c>
      <c r="K89" s="23" t="n">
        <v>0.583333333333333</v>
      </c>
      <c r="L89" s="22" t="n">
        <v>44329</v>
      </c>
      <c r="M89" s="23" t="n">
        <v>0.472222222222222</v>
      </c>
      <c r="O89" s="1" t="s">
        <v>154</v>
      </c>
      <c r="P89" s="16" t="s">
        <v>150</v>
      </c>
      <c r="Q89" s="16" t="s">
        <v>151</v>
      </c>
      <c r="R89" s="16" t="s">
        <v>152</v>
      </c>
      <c r="S89" s="4" t="s">
        <v>140</v>
      </c>
      <c r="T89" s="24" t="n">
        <v>500</v>
      </c>
      <c r="U89" s="24" t="n">
        <v>7.2</v>
      </c>
      <c r="V89" s="24" t="n">
        <v>0.45</v>
      </c>
      <c r="W89" s="2" t="n">
        <v>0.9</v>
      </c>
      <c r="Z89" s="18"/>
      <c r="AA89" s="20"/>
      <c r="AB89" s="20"/>
      <c r="AC89" s="20"/>
    </row>
    <row r="90" customFormat="false" ht="14.25" hidden="false" customHeight="true" outlineLevel="0" collapsed="false">
      <c r="A90" s="18" t="s">
        <v>148</v>
      </c>
      <c r="B90" s="18" t="s">
        <v>148</v>
      </c>
      <c r="C90" s="18" t="s">
        <v>40</v>
      </c>
      <c r="E90" s="2" t="n">
        <f aca="false">INDEX(FieldSites!F:F, MATCH(Ch2_FieldSurvey!B90,FieldSites!C:C,0))</f>
        <v>1851</v>
      </c>
      <c r="F90" s="2" t="n">
        <f aca="false">INDEX(FieldSites!G:G, MATCH(Ch2_FieldSurvey!B90,FieldSites!C:C,0))</f>
        <v>-119.273507</v>
      </c>
      <c r="G90" s="2" t="n">
        <f aca="false">INDEX(FieldSites!H:H, MATCH(Ch2_FieldSurvey!B90,FieldSites!C:C,0))</f>
        <v>37.150723</v>
      </c>
      <c r="H90" s="18" t="n">
        <v>3</v>
      </c>
      <c r="I90" s="21" t="str">
        <f aca="false">CONCATENATE(B90,"_",C90,H90)</f>
        <v>HUOB_M. guttatus3</v>
      </c>
      <c r="J90" s="22" t="n">
        <v>44328</v>
      </c>
      <c r="K90" s="23" t="n">
        <v>0.583333333333333</v>
      </c>
      <c r="L90" s="22" t="n">
        <v>44329</v>
      </c>
      <c r="M90" s="23" t="n">
        <v>0.479166666666667</v>
      </c>
      <c r="O90" s="1" t="s">
        <v>155</v>
      </c>
      <c r="P90" s="16" t="s">
        <v>150</v>
      </c>
      <c r="Q90" s="16" t="s">
        <v>151</v>
      </c>
      <c r="R90" s="16" t="s">
        <v>152</v>
      </c>
      <c r="S90" s="4" t="s">
        <v>144</v>
      </c>
      <c r="T90" s="24" t="n">
        <v>270</v>
      </c>
      <c r="U90" s="24" t="n">
        <v>3.9</v>
      </c>
      <c r="V90" s="24" t="n">
        <v>0.3</v>
      </c>
      <c r="W90" s="2" t="n">
        <v>0.3</v>
      </c>
      <c r="Z90" s="18"/>
      <c r="AA90" s="19" t="n">
        <v>267134</v>
      </c>
      <c r="AB90" s="19" t="n">
        <v>331178</v>
      </c>
      <c r="AC90" s="19" t="n">
        <f aca="false">(AB90-AA90)/AB90</f>
        <v>0.193382410667375</v>
      </c>
    </row>
    <row r="91" customFormat="false" ht="14.25" hidden="false" customHeight="true" outlineLevel="0" collapsed="false">
      <c r="A91" s="18" t="s">
        <v>148</v>
      </c>
      <c r="B91" s="18" t="s">
        <v>148</v>
      </c>
      <c r="C91" s="18" t="s">
        <v>40</v>
      </c>
      <c r="E91" s="2" t="n">
        <f aca="false">INDEX(FieldSites!F:F, MATCH(Ch2_FieldSurvey!B91,FieldSites!C:C,0))</f>
        <v>1851</v>
      </c>
      <c r="F91" s="2" t="n">
        <f aca="false">INDEX(FieldSites!G:G, MATCH(Ch2_FieldSurvey!B91,FieldSites!C:C,0))</f>
        <v>-119.273507</v>
      </c>
      <c r="G91" s="2" t="n">
        <f aca="false">INDEX(FieldSites!H:H, MATCH(Ch2_FieldSurvey!B91,FieldSites!C:C,0))</f>
        <v>37.150723</v>
      </c>
      <c r="H91" s="18" t="n">
        <v>3</v>
      </c>
      <c r="I91" s="21" t="str">
        <f aca="false">CONCATENATE(B91,"_",C91,H91)</f>
        <v>HUOB_M. guttatus3</v>
      </c>
      <c r="J91" s="22" t="n">
        <v>44328</v>
      </c>
      <c r="K91" s="23" t="n">
        <v>0.583333333333333</v>
      </c>
      <c r="L91" s="22" t="n">
        <v>44329</v>
      </c>
      <c r="M91" s="23" t="n">
        <v>0.479166666666667</v>
      </c>
      <c r="O91" s="1" t="s">
        <v>155</v>
      </c>
      <c r="P91" s="16" t="s">
        <v>150</v>
      </c>
      <c r="Q91" s="16" t="s">
        <v>151</v>
      </c>
      <c r="R91" s="16" t="s">
        <v>152</v>
      </c>
      <c r="S91" s="4" t="s">
        <v>144</v>
      </c>
      <c r="T91" s="24" t="n">
        <v>380</v>
      </c>
      <c r="U91" s="24" t="n">
        <v>4.3</v>
      </c>
      <c r="V91" s="24" t="n">
        <v>0.29</v>
      </c>
      <c r="W91" s="2" t="n">
        <v>0.4</v>
      </c>
      <c r="Z91" s="18"/>
      <c r="AA91" s="20"/>
      <c r="AB91" s="20"/>
      <c r="AC91" s="20"/>
    </row>
    <row r="92" customFormat="false" ht="14.25" hidden="false" customHeight="true" outlineLevel="0" collapsed="false">
      <c r="A92" s="18" t="s">
        <v>148</v>
      </c>
      <c r="B92" s="18" t="s">
        <v>148</v>
      </c>
      <c r="C92" s="18" t="s">
        <v>40</v>
      </c>
      <c r="E92" s="2" t="n">
        <f aca="false">INDEX(FieldSites!F:F, MATCH(Ch2_FieldSurvey!B92,FieldSites!C:C,0))</f>
        <v>1851</v>
      </c>
      <c r="F92" s="2" t="n">
        <f aca="false">INDEX(FieldSites!G:G, MATCH(Ch2_FieldSurvey!B92,FieldSites!C:C,0))</f>
        <v>-119.273507</v>
      </c>
      <c r="G92" s="2" t="n">
        <f aca="false">INDEX(FieldSites!H:H, MATCH(Ch2_FieldSurvey!B92,FieldSites!C:C,0))</f>
        <v>37.150723</v>
      </c>
      <c r="H92" s="18" t="n">
        <v>3</v>
      </c>
      <c r="I92" s="21" t="str">
        <f aca="false">CONCATENATE(B92,"_",C92,H92)</f>
        <v>HUOB_M. guttatus3</v>
      </c>
      <c r="J92" s="22" t="n">
        <v>44328</v>
      </c>
      <c r="K92" s="23" t="n">
        <v>0.583333333333333</v>
      </c>
      <c r="L92" s="22" t="n">
        <v>44329</v>
      </c>
      <c r="M92" s="23" t="n">
        <v>0.479166666666667</v>
      </c>
      <c r="O92" s="1" t="s">
        <v>155</v>
      </c>
      <c r="P92" s="16" t="s">
        <v>150</v>
      </c>
      <c r="Q92" s="16" t="s">
        <v>151</v>
      </c>
      <c r="R92" s="16" t="s">
        <v>152</v>
      </c>
      <c r="S92" s="4" t="s">
        <v>144</v>
      </c>
      <c r="T92" s="24" t="n">
        <v>282</v>
      </c>
      <c r="U92" s="24" t="n">
        <v>4.9</v>
      </c>
      <c r="V92" s="24" t="n">
        <v>0.28</v>
      </c>
      <c r="W92" s="2" t="n">
        <v>0.4</v>
      </c>
      <c r="Z92" s="18"/>
      <c r="AA92" s="20"/>
      <c r="AB92" s="20"/>
      <c r="AC92" s="20"/>
    </row>
    <row r="93" customFormat="false" ht="14.25" hidden="false" customHeight="true" outlineLevel="0" collapsed="false">
      <c r="A93" s="18" t="s">
        <v>148</v>
      </c>
      <c r="B93" s="18" t="s">
        <v>148</v>
      </c>
      <c r="C93" s="18" t="s">
        <v>40</v>
      </c>
      <c r="E93" s="2" t="n">
        <f aca="false">INDEX(FieldSites!F:F, MATCH(Ch2_FieldSurvey!B93,FieldSites!C:C,0))</f>
        <v>1851</v>
      </c>
      <c r="F93" s="2" t="n">
        <f aca="false">INDEX(FieldSites!G:G, MATCH(Ch2_FieldSurvey!B93,FieldSites!C:C,0))</f>
        <v>-119.273507</v>
      </c>
      <c r="G93" s="2" t="n">
        <f aca="false">INDEX(FieldSites!H:H, MATCH(Ch2_FieldSurvey!B93,FieldSites!C:C,0))</f>
        <v>37.150723</v>
      </c>
      <c r="H93" s="18" t="n">
        <v>4</v>
      </c>
      <c r="I93" s="21" t="str">
        <f aca="false">CONCATENATE(B93,"_",C93,H93)</f>
        <v>HUOB_M. guttatus4</v>
      </c>
      <c r="J93" s="22" t="n">
        <v>44328</v>
      </c>
      <c r="K93" s="23" t="n">
        <v>0.583333333333333</v>
      </c>
      <c r="L93" s="22" t="n">
        <v>44329</v>
      </c>
      <c r="M93" s="23" t="n">
        <v>0.48125</v>
      </c>
      <c r="O93" s="1" t="s">
        <v>156</v>
      </c>
      <c r="P93" s="16" t="s">
        <v>150</v>
      </c>
      <c r="Q93" s="16" t="s">
        <v>151</v>
      </c>
      <c r="R93" s="16" t="s">
        <v>152</v>
      </c>
      <c r="S93" s="4" t="s">
        <v>53</v>
      </c>
      <c r="T93" s="24" t="n">
        <v>290</v>
      </c>
      <c r="U93" s="24" t="n">
        <v>5.5</v>
      </c>
      <c r="V93" s="24" t="n">
        <v>0.42</v>
      </c>
      <c r="W93" s="2" t="n">
        <v>0.6</v>
      </c>
      <c r="Z93" s="18"/>
      <c r="AA93" s="19" t="n">
        <v>90458</v>
      </c>
      <c r="AB93" s="19" t="n">
        <v>96204</v>
      </c>
      <c r="AC93" s="19" t="n">
        <f aca="false">(AB93-AA93)/AB93</f>
        <v>0.0597272462683464</v>
      </c>
    </row>
    <row r="94" customFormat="false" ht="14.25" hidden="false" customHeight="true" outlineLevel="0" collapsed="false">
      <c r="A94" s="18" t="s">
        <v>148</v>
      </c>
      <c r="B94" s="18" t="s">
        <v>148</v>
      </c>
      <c r="C94" s="18" t="s">
        <v>40</v>
      </c>
      <c r="E94" s="2" t="n">
        <f aca="false">INDEX(FieldSites!F:F, MATCH(Ch2_FieldSurvey!B94,FieldSites!C:C,0))</f>
        <v>1851</v>
      </c>
      <c r="F94" s="2" t="n">
        <f aca="false">INDEX(FieldSites!G:G, MATCH(Ch2_FieldSurvey!B94,FieldSites!C:C,0))</f>
        <v>-119.273507</v>
      </c>
      <c r="G94" s="2" t="n">
        <f aca="false">INDEX(FieldSites!H:H, MATCH(Ch2_FieldSurvey!B94,FieldSites!C:C,0))</f>
        <v>37.150723</v>
      </c>
      <c r="H94" s="18" t="n">
        <v>4</v>
      </c>
      <c r="I94" s="21" t="str">
        <f aca="false">CONCATENATE(B94,"_",C94,H94)</f>
        <v>HUOB_M. guttatus4</v>
      </c>
      <c r="J94" s="22" t="n">
        <v>44328</v>
      </c>
      <c r="K94" s="23" t="n">
        <v>0.583333333333333</v>
      </c>
      <c r="L94" s="22" t="n">
        <v>44329</v>
      </c>
      <c r="M94" s="23" t="n">
        <v>0.48125</v>
      </c>
      <c r="O94" s="1" t="s">
        <v>156</v>
      </c>
      <c r="P94" s="16" t="s">
        <v>150</v>
      </c>
      <c r="Q94" s="16" t="s">
        <v>151</v>
      </c>
      <c r="R94" s="16" t="s">
        <v>152</v>
      </c>
      <c r="S94" s="4" t="s">
        <v>53</v>
      </c>
      <c r="T94" s="24" t="n">
        <v>425</v>
      </c>
      <c r="U94" s="24" t="n">
        <v>6.4</v>
      </c>
      <c r="V94" s="24" t="n">
        <v>0.4</v>
      </c>
      <c r="W94" s="2" t="n">
        <v>0.7</v>
      </c>
      <c r="Z94" s="18"/>
      <c r="AA94" s="20"/>
      <c r="AB94" s="20"/>
      <c r="AC94" s="20"/>
    </row>
    <row r="95" customFormat="false" ht="14.25" hidden="false" customHeight="true" outlineLevel="0" collapsed="false">
      <c r="A95" s="18" t="s">
        <v>148</v>
      </c>
      <c r="B95" s="18" t="s">
        <v>148</v>
      </c>
      <c r="C95" s="18" t="s">
        <v>40</v>
      </c>
      <c r="E95" s="2" t="n">
        <f aca="false">INDEX(FieldSites!F:F, MATCH(Ch2_FieldSurvey!B95,FieldSites!C:C,0))</f>
        <v>1851</v>
      </c>
      <c r="F95" s="2" t="n">
        <f aca="false">INDEX(FieldSites!G:G, MATCH(Ch2_FieldSurvey!B95,FieldSites!C:C,0))</f>
        <v>-119.273507</v>
      </c>
      <c r="G95" s="2" t="n">
        <f aca="false">INDEX(FieldSites!H:H, MATCH(Ch2_FieldSurvey!B95,FieldSites!C:C,0))</f>
        <v>37.150723</v>
      </c>
      <c r="H95" s="18" t="n">
        <v>4</v>
      </c>
      <c r="I95" s="21" t="str">
        <f aca="false">CONCATENATE(B95,"_",C95,H95)</f>
        <v>HUOB_M. guttatus4</v>
      </c>
      <c r="J95" s="22" t="n">
        <v>44328</v>
      </c>
      <c r="K95" s="23" t="n">
        <v>0.583333333333333</v>
      </c>
      <c r="L95" s="22" t="n">
        <v>44329</v>
      </c>
      <c r="M95" s="23" t="n">
        <v>0.48125</v>
      </c>
      <c r="O95" s="1" t="s">
        <v>156</v>
      </c>
      <c r="P95" s="16" t="s">
        <v>150</v>
      </c>
      <c r="Q95" s="16" t="s">
        <v>151</v>
      </c>
      <c r="R95" s="16" t="s">
        <v>152</v>
      </c>
      <c r="S95" s="4" t="s">
        <v>53</v>
      </c>
      <c r="T95" s="24" t="n">
        <v>320</v>
      </c>
      <c r="U95" s="24" t="n">
        <v>4.7</v>
      </c>
      <c r="V95" s="24" t="n">
        <v>0.44</v>
      </c>
      <c r="W95" s="2" t="n">
        <v>0.6</v>
      </c>
      <c r="Z95" s="18"/>
      <c r="AA95" s="20"/>
      <c r="AB95" s="20"/>
      <c r="AC95" s="20"/>
    </row>
    <row r="96" customFormat="false" ht="14.25" hidden="false" customHeight="true" outlineLevel="0" collapsed="false">
      <c r="A96" s="18" t="s">
        <v>148</v>
      </c>
      <c r="B96" s="18" t="s">
        <v>148</v>
      </c>
      <c r="C96" s="18" t="s">
        <v>40</v>
      </c>
      <c r="E96" s="2" t="n">
        <f aca="false">INDEX(FieldSites!F:F, MATCH(Ch2_FieldSurvey!B96,FieldSites!C:C,0))</f>
        <v>1851</v>
      </c>
      <c r="F96" s="2" t="n">
        <f aca="false">INDEX(FieldSites!G:G, MATCH(Ch2_FieldSurvey!B96,FieldSites!C:C,0))</f>
        <v>-119.273507</v>
      </c>
      <c r="G96" s="2" t="n">
        <f aca="false">INDEX(FieldSites!H:H, MATCH(Ch2_FieldSurvey!B96,FieldSites!C:C,0))</f>
        <v>37.150723</v>
      </c>
      <c r="H96" s="18" t="n">
        <v>5</v>
      </c>
      <c r="I96" s="21" t="str">
        <f aca="false">CONCATENATE(B96,"_",C96,H96)</f>
        <v>HUOB_M. guttatus5</v>
      </c>
      <c r="J96" s="22" t="n">
        <v>44328</v>
      </c>
      <c r="K96" s="23" t="n">
        <v>0.583333333333333</v>
      </c>
      <c r="L96" s="22" t="n">
        <v>44329</v>
      </c>
      <c r="M96" s="23" t="n">
        <v>0.483333333333333</v>
      </c>
      <c r="O96" s="1" t="s">
        <v>157</v>
      </c>
      <c r="P96" s="16" t="s">
        <v>150</v>
      </c>
      <c r="Q96" s="16" t="s">
        <v>151</v>
      </c>
      <c r="R96" s="16" t="s">
        <v>152</v>
      </c>
      <c r="S96" s="4" t="s">
        <v>158</v>
      </c>
      <c r="T96" s="24" t="n">
        <v>405</v>
      </c>
      <c r="U96" s="24" t="n">
        <v>4</v>
      </c>
      <c r="V96" s="24" t="n">
        <v>0.67</v>
      </c>
      <c r="W96" s="2" t="n">
        <v>0.7</v>
      </c>
      <c r="Z96" s="18"/>
      <c r="AA96" s="19" t="n">
        <v>114060</v>
      </c>
      <c r="AB96" s="19" t="n">
        <v>141686</v>
      </c>
      <c r="AC96" s="19" t="n">
        <f aca="false">(AB96-AA96)/AB96</f>
        <v>0.194980449726861</v>
      </c>
    </row>
    <row r="97" customFormat="false" ht="14.25" hidden="false" customHeight="true" outlineLevel="0" collapsed="false">
      <c r="A97" s="18" t="s">
        <v>148</v>
      </c>
      <c r="B97" s="18" t="s">
        <v>148</v>
      </c>
      <c r="C97" s="18" t="s">
        <v>40</v>
      </c>
      <c r="E97" s="2" t="n">
        <f aca="false">INDEX(FieldSites!F:F, MATCH(Ch2_FieldSurvey!B97,FieldSites!C:C,0))</f>
        <v>1851</v>
      </c>
      <c r="F97" s="2" t="n">
        <f aca="false">INDEX(FieldSites!G:G, MATCH(Ch2_FieldSurvey!B97,FieldSites!C:C,0))</f>
        <v>-119.273507</v>
      </c>
      <c r="G97" s="2" t="n">
        <f aca="false">INDEX(FieldSites!H:H, MATCH(Ch2_FieldSurvey!B97,FieldSites!C:C,0))</f>
        <v>37.150723</v>
      </c>
      <c r="H97" s="18" t="n">
        <v>5</v>
      </c>
      <c r="I97" s="21" t="str">
        <f aca="false">CONCATENATE(B97,"_",C97,H97)</f>
        <v>HUOB_M. guttatus5</v>
      </c>
      <c r="J97" s="22" t="n">
        <v>44328</v>
      </c>
      <c r="K97" s="23" t="n">
        <v>0.583333333333333</v>
      </c>
      <c r="L97" s="22" t="n">
        <v>44329</v>
      </c>
      <c r="M97" s="23" t="n">
        <v>0.483333333333333</v>
      </c>
      <c r="O97" s="1" t="s">
        <v>157</v>
      </c>
      <c r="P97" s="16" t="s">
        <v>150</v>
      </c>
      <c r="Q97" s="16" t="s">
        <v>151</v>
      </c>
      <c r="R97" s="16" t="s">
        <v>152</v>
      </c>
      <c r="S97" s="4" t="s">
        <v>158</v>
      </c>
      <c r="T97" s="24" t="n">
        <v>340</v>
      </c>
      <c r="U97" s="24" t="n">
        <v>3.9</v>
      </c>
      <c r="V97" s="24" t="n">
        <v>0.58</v>
      </c>
      <c r="W97" s="2" t="n">
        <v>0.8</v>
      </c>
      <c r="Z97" s="18"/>
      <c r="AA97" s="20"/>
      <c r="AB97" s="20"/>
      <c r="AC97" s="20"/>
    </row>
    <row r="98" customFormat="false" ht="14.25" hidden="false" customHeight="true" outlineLevel="0" collapsed="false">
      <c r="A98" s="18" t="s">
        <v>148</v>
      </c>
      <c r="B98" s="18" t="s">
        <v>148</v>
      </c>
      <c r="C98" s="18" t="s">
        <v>40</v>
      </c>
      <c r="E98" s="2" t="n">
        <f aca="false">INDEX(FieldSites!F:F, MATCH(Ch2_FieldSurvey!B98,FieldSites!C:C,0))</f>
        <v>1851</v>
      </c>
      <c r="F98" s="2" t="n">
        <f aca="false">INDEX(FieldSites!G:G, MATCH(Ch2_FieldSurvey!B98,FieldSites!C:C,0))</f>
        <v>-119.273507</v>
      </c>
      <c r="G98" s="2" t="n">
        <f aca="false">INDEX(FieldSites!H:H, MATCH(Ch2_FieldSurvey!B98,FieldSites!C:C,0))</f>
        <v>37.150723</v>
      </c>
      <c r="H98" s="18" t="n">
        <v>5</v>
      </c>
      <c r="I98" s="21" t="str">
        <f aca="false">CONCATENATE(B98,"_",C98,H98)</f>
        <v>HUOB_M. guttatus5</v>
      </c>
      <c r="J98" s="22" t="n">
        <v>44328</v>
      </c>
      <c r="K98" s="23" t="n">
        <v>0.583333333333333</v>
      </c>
      <c r="L98" s="22" t="n">
        <v>44329</v>
      </c>
      <c r="M98" s="23" t="n">
        <v>0.483333333333333</v>
      </c>
      <c r="O98" s="1" t="s">
        <v>157</v>
      </c>
      <c r="P98" s="16" t="s">
        <v>150</v>
      </c>
      <c r="Q98" s="16" t="s">
        <v>151</v>
      </c>
      <c r="R98" s="16" t="s">
        <v>152</v>
      </c>
      <c r="S98" s="4" t="s">
        <v>158</v>
      </c>
      <c r="T98" s="24" t="n">
        <v>335</v>
      </c>
      <c r="U98" s="24" t="n">
        <v>4.3</v>
      </c>
      <c r="V98" s="24" t="n">
        <v>0.51</v>
      </c>
      <c r="W98" s="2" t="n">
        <v>0.7</v>
      </c>
      <c r="Z98" s="18"/>
      <c r="AA98" s="20"/>
      <c r="AB98" s="20"/>
      <c r="AC98" s="20"/>
    </row>
    <row r="99" customFormat="false" ht="14.25" hidden="false" customHeight="true" outlineLevel="0" collapsed="false">
      <c r="A99" s="18" t="s">
        <v>148</v>
      </c>
      <c r="B99" s="18" t="s">
        <v>148</v>
      </c>
      <c r="C99" s="18" t="s">
        <v>159</v>
      </c>
      <c r="E99" s="2" t="n">
        <f aca="false">INDEX(FieldSites!F:F, MATCH(Ch2_FieldSurvey!B99,FieldSites!C:C,0))</f>
        <v>1851</v>
      </c>
      <c r="F99" s="2" t="n">
        <f aca="false">INDEX(FieldSites!G:G, MATCH(Ch2_FieldSurvey!B99,FieldSites!C:C,0))</f>
        <v>-119.273507</v>
      </c>
      <c r="G99" s="2" t="n">
        <f aca="false">INDEX(FieldSites!H:H, MATCH(Ch2_FieldSurvey!B99,FieldSites!C:C,0))</f>
        <v>37.150723</v>
      </c>
      <c r="H99" s="18" t="n">
        <v>1</v>
      </c>
      <c r="I99" s="21" t="str">
        <f aca="false">CONCATENATE(B99,"_",C99,H99)</f>
        <v>HUOB_M. nasutus1</v>
      </c>
      <c r="J99" s="22" t="n">
        <v>44328</v>
      </c>
      <c r="K99" s="23" t="n">
        <v>0.583333333333333</v>
      </c>
      <c r="L99" s="22" t="n">
        <v>44329</v>
      </c>
      <c r="M99" s="23" t="n">
        <v>0.482638888888889</v>
      </c>
      <c r="O99" s="1" t="s">
        <v>160</v>
      </c>
      <c r="P99" s="16" t="s">
        <v>150</v>
      </c>
      <c r="Q99" s="16" t="s">
        <v>151</v>
      </c>
      <c r="R99" s="16" t="s">
        <v>152</v>
      </c>
      <c r="S99" s="4" t="s">
        <v>59</v>
      </c>
      <c r="T99" s="24" t="n">
        <v>330</v>
      </c>
      <c r="U99" s="24" t="n">
        <v>4.3</v>
      </c>
      <c r="V99" s="24" t="n">
        <v>0.37</v>
      </c>
      <c r="W99" s="2" t="n">
        <v>0.7</v>
      </c>
      <c r="Z99" s="18"/>
      <c r="AA99" s="19" t="n">
        <v>191716</v>
      </c>
      <c r="AB99" s="19" t="n">
        <v>240571</v>
      </c>
      <c r="AC99" s="19" t="n">
        <f aca="false">(AB99-AA99)/AB99</f>
        <v>0.203079340402625</v>
      </c>
    </row>
    <row r="100" customFormat="false" ht="14.25" hidden="false" customHeight="true" outlineLevel="0" collapsed="false">
      <c r="A100" s="18" t="s">
        <v>148</v>
      </c>
      <c r="B100" s="18" t="s">
        <v>148</v>
      </c>
      <c r="C100" s="18" t="s">
        <v>159</v>
      </c>
      <c r="E100" s="2" t="n">
        <f aca="false">INDEX(FieldSites!F:F, MATCH(Ch2_FieldSurvey!B100,FieldSites!C:C,0))</f>
        <v>1851</v>
      </c>
      <c r="F100" s="2" t="n">
        <f aca="false">INDEX(FieldSites!G:G, MATCH(Ch2_FieldSurvey!B100,FieldSites!C:C,0))</f>
        <v>-119.273507</v>
      </c>
      <c r="G100" s="2" t="n">
        <f aca="false">INDEX(FieldSites!H:H, MATCH(Ch2_FieldSurvey!B100,FieldSites!C:C,0))</f>
        <v>37.150723</v>
      </c>
      <c r="H100" s="18" t="n">
        <v>1</v>
      </c>
      <c r="I100" s="21" t="str">
        <f aca="false">CONCATENATE(B100,"_",C100,H100)</f>
        <v>HUOB_M. nasutus1</v>
      </c>
      <c r="J100" s="22" t="n">
        <v>44328</v>
      </c>
      <c r="K100" s="23" t="n">
        <v>0.583333333333333</v>
      </c>
      <c r="L100" s="22" t="n">
        <v>44329</v>
      </c>
      <c r="M100" s="23" t="n">
        <v>0.482638888888889</v>
      </c>
      <c r="O100" s="1" t="s">
        <v>160</v>
      </c>
      <c r="P100" s="16" t="s">
        <v>150</v>
      </c>
      <c r="Q100" s="16" t="s">
        <v>151</v>
      </c>
      <c r="R100" s="16" t="s">
        <v>152</v>
      </c>
      <c r="S100" s="4" t="s">
        <v>59</v>
      </c>
      <c r="T100" s="24" t="n">
        <v>490</v>
      </c>
      <c r="U100" s="24" t="n">
        <v>3.8</v>
      </c>
      <c r="V100" s="24" t="n">
        <v>0.46</v>
      </c>
      <c r="W100" s="2" t="n">
        <v>0.7</v>
      </c>
      <c r="Z100" s="18"/>
      <c r="AA100" s="20"/>
      <c r="AB100" s="20"/>
      <c r="AC100" s="20"/>
    </row>
    <row r="101" customFormat="false" ht="14.25" hidden="false" customHeight="true" outlineLevel="0" collapsed="false">
      <c r="A101" s="18" t="s">
        <v>148</v>
      </c>
      <c r="B101" s="18" t="s">
        <v>148</v>
      </c>
      <c r="C101" s="18" t="s">
        <v>159</v>
      </c>
      <c r="E101" s="2" t="n">
        <f aca="false">INDEX(FieldSites!F:F, MATCH(Ch2_FieldSurvey!B101,FieldSites!C:C,0))</f>
        <v>1851</v>
      </c>
      <c r="F101" s="2" t="n">
        <f aca="false">INDEX(FieldSites!G:G, MATCH(Ch2_FieldSurvey!B101,FieldSites!C:C,0))</f>
        <v>-119.273507</v>
      </c>
      <c r="G101" s="2" t="n">
        <f aca="false">INDEX(FieldSites!H:H, MATCH(Ch2_FieldSurvey!B101,FieldSites!C:C,0))</f>
        <v>37.150723</v>
      </c>
      <c r="H101" s="18" t="n">
        <v>1</v>
      </c>
      <c r="I101" s="21" t="str">
        <f aca="false">CONCATENATE(B101,"_",C101,H101)</f>
        <v>HUOB_M. nasutus1</v>
      </c>
      <c r="J101" s="22" t="n">
        <v>44328</v>
      </c>
      <c r="K101" s="23" t="n">
        <v>0.583333333333333</v>
      </c>
      <c r="L101" s="22" t="n">
        <v>44329</v>
      </c>
      <c r="M101" s="23" t="n">
        <v>0.482638888888889</v>
      </c>
      <c r="O101" s="1" t="s">
        <v>160</v>
      </c>
      <c r="P101" s="16" t="s">
        <v>150</v>
      </c>
      <c r="Q101" s="16" t="s">
        <v>151</v>
      </c>
      <c r="R101" s="16" t="s">
        <v>152</v>
      </c>
      <c r="S101" s="4" t="s">
        <v>59</v>
      </c>
      <c r="T101" s="24" t="n">
        <v>395</v>
      </c>
      <c r="U101" s="24" t="n">
        <v>5.6</v>
      </c>
      <c r="V101" s="24" t="n">
        <v>0.38</v>
      </c>
      <c r="W101" s="2" t="n">
        <v>0.6</v>
      </c>
      <c r="Z101" s="18"/>
      <c r="AA101" s="20"/>
      <c r="AB101" s="20"/>
      <c r="AC101" s="20"/>
    </row>
    <row r="102" customFormat="false" ht="14.25" hidden="false" customHeight="true" outlineLevel="0" collapsed="false">
      <c r="A102" s="18" t="s">
        <v>148</v>
      </c>
      <c r="B102" s="18" t="s">
        <v>148</v>
      </c>
      <c r="C102" s="18" t="s">
        <v>159</v>
      </c>
      <c r="E102" s="2" t="n">
        <f aca="false">INDEX(FieldSites!F:F, MATCH(Ch2_FieldSurvey!B102,FieldSites!C:C,0))</f>
        <v>1851</v>
      </c>
      <c r="F102" s="2" t="n">
        <f aca="false">INDEX(FieldSites!G:G, MATCH(Ch2_FieldSurvey!B102,FieldSites!C:C,0))</f>
        <v>-119.273507</v>
      </c>
      <c r="G102" s="2" t="n">
        <f aca="false">INDEX(FieldSites!H:H, MATCH(Ch2_FieldSurvey!B102,FieldSites!C:C,0))</f>
        <v>37.150723</v>
      </c>
      <c r="H102" s="18" t="n">
        <v>2</v>
      </c>
      <c r="I102" s="21" t="str">
        <f aca="false">CONCATENATE(B102,"_",C102,H102)</f>
        <v>HUOB_M. nasutus2</v>
      </c>
      <c r="J102" s="22" t="n">
        <v>44328</v>
      </c>
      <c r="K102" s="23" t="n">
        <v>0.583333333333333</v>
      </c>
      <c r="L102" s="22" t="n">
        <v>44329</v>
      </c>
      <c r="M102" s="23" t="n">
        <v>0.486111111111111</v>
      </c>
      <c r="O102" s="1" t="s">
        <v>161</v>
      </c>
      <c r="P102" s="16" t="s">
        <v>150</v>
      </c>
      <c r="Q102" s="16" t="s">
        <v>151</v>
      </c>
      <c r="R102" s="16" t="s">
        <v>152</v>
      </c>
      <c r="S102" s="4" t="s">
        <v>66</v>
      </c>
      <c r="T102" s="24" t="n">
        <v>320</v>
      </c>
      <c r="U102" s="24" t="n">
        <v>6.1</v>
      </c>
      <c r="V102" s="24" t="n">
        <v>0.45</v>
      </c>
      <c r="W102" s="2" t="n">
        <v>0.5</v>
      </c>
      <c r="Z102" s="18"/>
      <c r="AA102" s="19" t="n">
        <v>270892</v>
      </c>
      <c r="AB102" s="19" t="n">
        <v>339751</v>
      </c>
      <c r="AC102" s="19" t="n">
        <f aca="false">(AB102-AA102)/AB102</f>
        <v>0.202674900147461</v>
      </c>
    </row>
    <row r="103" customFormat="false" ht="14.25" hidden="false" customHeight="true" outlineLevel="0" collapsed="false">
      <c r="A103" s="18" t="s">
        <v>148</v>
      </c>
      <c r="B103" s="18" t="s">
        <v>148</v>
      </c>
      <c r="C103" s="18" t="s">
        <v>159</v>
      </c>
      <c r="E103" s="2" t="n">
        <f aca="false">INDEX(FieldSites!F:F, MATCH(Ch2_FieldSurvey!B103,FieldSites!C:C,0))</f>
        <v>1851</v>
      </c>
      <c r="F103" s="2" t="n">
        <f aca="false">INDEX(FieldSites!G:G, MATCH(Ch2_FieldSurvey!B103,FieldSites!C:C,0))</f>
        <v>-119.273507</v>
      </c>
      <c r="G103" s="2" t="n">
        <f aca="false">INDEX(FieldSites!H:H, MATCH(Ch2_FieldSurvey!B103,FieldSites!C:C,0))</f>
        <v>37.150723</v>
      </c>
      <c r="H103" s="18" t="n">
        <v>2</v>
      </c>
      <c r="I103" s="21" t="str">
        <f aca="false">CONCATENATE(B103,"_",C103,H103)</f>
        <v>HUOB_M. nasutus2</v>
      </c>
      <c r="J103" s="22" t="n">
        <v>44328</v>
      </c>
      <c r="K103" s="23" t="n">
        <v>0.583333333333333</v>
      </c>
      <c r="L103" s="22" t="n">
        <v>44329</v>
      </c>
      <c r="M103" s="23" t="n">
        <v>0.486111111111111</v>
      </c>
      <c r="O103" s="1" t="s">
        <v>161</v>
      </c>
      <c r="P103" s="16" t="s">
        <v>150</v>
      </c>
      <c r="Q103" s="16" t="s">
        <v>151</v>
      </c>
      <c r="R103" s="16" t="s">
        <v>152</v>
      </c>
      <c r="S103" s="4" t="s">
        <v>66</v>
      </c>
      <c r="T103" s="24" t="n">
        <v>390</v>
      </c>
      <c r="U103" s="24" t="n">
        <v>9</v>
      </c>
      <c r="V103" s="24" t="n">
        <v>0.47</v>
      </c>
      <c r="W103" s="2" t="n">
        <v>0.5</v>
      </c>
      <c r="Z103" s="18"/>
      <c r="AA103" s="20"/>
      <c r="AB103" s="20"/>
      <c r="AC103" s="20"/>
    </row>
    <row r="104" customFormat="false" ht="14.25" hidden="false" customHeight="true" outlineLevel="0" collapsed="false">
      <c r="A104" s="18" t="s">
        <v>148</v>
      </c>
      <c r="B104" s="18" t="s">
        <v>148</v>
      </c>
      <c r="C104" s="18" t="s">
        <v>159</v>
      </c>
      <c r="E104" s="2" t="n">
        <f aca="false">INDEX(FieldSites!F:F, MATCH(Ch2_FieldSurvey!B104,FieldSites!C:C,0))</f>
        <v>1851</v>
      </c>
      <c r="F104" s="2" t="n">
        <f aca="false">INDEX(FieldSites!G:G, MATCH(Ch2_FieldSurvey!B104,FieldSites!C:C,0))</f>
        <v>-119.273507</v>
      </c>
      <c r="G104" s="2" t="n">
        <f aca="false">INDEX(FieldSites!H:H, MATCH(Ch2_FieldSurvey!B104,FieldSites!C:C,0))</f>
        <v>37.150723</v>
      </c>
      <c r="H104" s="18" t="n">
        <v>2</v>
      </c>
      <c r="I104" s="21" t="str">
        <f aca="false">CONCATENATE(B104,"_",C104,H104)</f>
        <v>HUOB_M. nasutus2</v>
      </c>
      <c r="J104" s="22" t="n">
        <v>44328</v>
      </c>
      <c r="K104" s="23" t="n">
        <v>0.583333333333333</v>
      </c>
      <c r="L104" s="22" t="n">
        <v>44329</v>
      </c>
      <c r="M104" s="23" t="n">
        <v>0.486111111111111</v>
      </c>
      <c r="O104" s="1" t="s">
        <v>161</v>
      </c>
      <c r="P104" s="16" t="s">
        <v>150</v>
      </c>
      <c r="Q104" s="16" t="s">
        <v>151</v>
      </c>
      <c r="R104" s="16" t="s">
        <v>152</v>
      </c>
      <c r="S104" s="4" t="s">
        <v>66</v>
      </c>
      <c r="T104" s="24" t="n">
        <v>310</v>
      </c>
      <c r="U104" s="24" t="n">
        <v>7.2</v>
      </c>
      <c r="V104" s="24" t="n">
        <v>0.32</v>
      </c>
      <c r="W104" s="2" t="n">
        <v>0.8</v>
      </c>
      <c r="Z104" s="18"/>
      <c r="AA104" s="20"/>
      <c r="AB104" s="20"/>
      <c r="AC104" s="20"/>
    </row>
    <row r="105" customFormat="false" ht="14.25" hidden="false" customHeight="true" outlineLevel="0" collapsed="false">
      <c r="A105" s="18" t="s">
        <v>148</v>
      </c>
      <c r="B105" s="18" t="s">
        <v>148</v>
      </c>
      <c r="C105" s="18" t="s">
        <v>159</v>
      </c>
      <c r="E105" s="2" t="n">
        <f aca="false">INDEX(FieldSites!F:F, MATCH(Ch2_FieldSurvey!B105,FieldSites!C:C,0))</f>
        <v>1851</v>
      </c>
      <c r="F105" s="2" t="n">
        <f aca="false">INDEX(FieldSites!G:G, MATCH(Ch2_FieldSurvey!B105,FieldSites!C:C,0))</f>
        <v>-119.273507</v>
      </c>
      <c r="G105" s="2" t="n">
        <f aca="false">INDEX(FieldSites!H:H, MATCH(Ch2_FieldSurvey!B105,FieldSites!C:C,0))</f>
        <v>37.150723</v>
      </c>
      <c r="H105" s="18" t="n">
        <v>3</v>
      </c>
      <c r="I105" s="21" t="str">
        <f aca="false">CONCATENATE(B105,"_",C105,H105)</f>
        <v>HUOB_M. nasutus3</v>
      </c>
      <c r="J105" s="22" t="n">
        <v>44328</v>
      </c>
      <c r="K105" s="23" t="n">
        <v>0.583333333333333</v>
      </c>
      <c r="L105" s="22" t="n">
        <v>44329</v>
      </c>
      <c r="M105" s="23" t="n">
        <v>0.488194444444444</v>
      </c>
      <c r="O105" s="1" t="s">
        <v>162</v>
      </c>
      <c r="P105" s="16" t="s">
        <v>150</v>
      </c>
      <c r="Q105" s="16" t="s">
        <v>151</v>
      </c>
      <c r="R105" s="16" t="s">
        <v>152</v>
      </c>
      <c r="S105" s="4" t="s">
        <v>163</v>
      </c>
      <c r="T105" s="24" t="n">
        <v>283</v>
      </c>
      <c r="U105" s="24" t="n">
        <v>7.6</v>
      </c>
      <c r="V105" s="24" t="n">
        <v>0.42</v>
      </c>
      <c r="W105" s="2" t="n">
        <v>1</v>
      </c>
      <c r="Z105" s="18"/>
      <c r="AA105" s="19" t="n">
        <v>320334</v>
      </c>
      <c r="AB105" s="19" t="n">
        <v>385500</v>
      </c>
      <c r="AC105" s="19" t="n">
        <f aca="false">(AB105-AA105)/AB105</f>
        <v>0.16904280155642</v>
      </c>
    </row>
    <row r="106" customFormat="false" ht="14.25" hidden="false" customHeight="true" outlineLevel="0" collapsed="false">
      <c r="A106" s="18" t="s">
        <v>148</v>
      </c>
      <c r="B106" s="18" t="s">
        <v>148</v>
      </c>
      <c r="C106" s="18" t="s">
        <v>159</v>
      </c>
      <c r="E106" s="2" t="n">
        <f aca="false">INDEX(FieldSites!F:F, MATCH(Ch2_FieldSurvey!B106,FieldSites!C:C,0))</f>
        <v>1851</v>
      </c>
      <c r="F106" s="2" t="n">
        <f aca="false">INDEX(FieldSites!G:G, MATCH(Ch2_FieldSurvey!B106,FieldSites!C:C,0))</f>
        <v>-119.273507</v>
      </c>
      <c r="G106" s="2" t="n">
        <f aca="false">INDEX(FieldSites!H:H, MATCH(Ch2_FieldSurvey!B106,FieldSites!C:C,0))</f>
        <v>37.150723</v>
      </c>
      <c r="H106" s="18" t="n">
        <v>3</v>
      </c>
      <c r="I106" s="21" t="str">
        <f aca="false">CONCATENATE(B106,"_",C106,H106)</f>
        <v>HUOB_M. nasutus3</v>
      </c>
      <c r="J106" s="22" t="n">
        <v>44328</v>
      </c>
      <c r="K106" s="23" t="n">
        <v>0.583333333333333</v>
      </c>
      <c r="L106" s="22" t="n">
        <v>44329</v>
      </c>
      <c r="M106" s="23" t="n">
        <v>0.488194444444444</v>
      </c>
      <c r="O106" s="1" t="s">
        <v>162</v>
      </c>
      <c r="P106" s="16" t="s">
        <v>150</v>
      </c>
      <c r="Q106" s="16" t="s">
        <v>151</v>
      </c>
      <c r="R106" s="16" t="s">
        <v>152</v>
      </c>
      <c r="S106" s="4" t="s">
        <v>163</v>
      </c>
      <c r="T106" s="24" t="n">
        <v>365</v>
      </c>
      <c r="U106" s="24" t="n">
        <v>6.3</v>
      </c>
      <c r="V106" s="24" t="n">
        <v>0.39</v>
      </c>
      <c r="W106" s="2" t="n">
        <v>0.8</v>
      </c>
      <c r="Z106" s="18"/>
      <c r="AA106" s="20"/>
      <c r="AB106" s="20"/>
      <c r="AC106" s="20"/>
    </row>
    <row r="107" customFormat="false" ht="14.25" hidden="false" customHeight="true" outlineLevel="0" collapsed="false">
      <c r="A107" s="18" t="s">
        <v>148</v>
      </c>
      <c r="B107" s="18" t="s">
        <v>148</v>
      </c>
      <c r="C107" s="18" t="s">
        <v>159</v>
      </c>
      <c r="E107" s="2" t="n">
        <f aca="false">INDEX(FieldSites!F:F, MATCH(Ch2_FieldSurvey!B107,FieldSites!C:C,0))</f>
        <v>1851</v>
      </c>
      <c r="F107" s="2" t="n">
        <f aca="false">INDEX(FieldSites!G:G, MATCH(Ch2_FieldSurvey!B107,FieldSites!C:C,0))</f>
        <v>-119.273507</v>
      </c>
      <c r="G107" s="2" t="n">
        <f aca="false">INDEX(FieldSites!H:H, MATCH(Ch2_FieldSurvey!B107,FieldSites!C:C,0))</f>
        <v>37.150723</v>
      </c>
      <c r="H107" s="18" t="n">
        <v>3</v>
      </c>
      <c r="I107" s="21" t="str">
        <f aca="false">CONCATENATE(B107,"_",C107,H107)</f>
        <v>HUOB_M. nasutus3</v>
      </c>
      <c r="J107" s="22" t="n">
        <v>44328</v>
      </c>
      <c r="K107" s="23" t="n">
        <v>0.583333333333333</v>
      </c>
      <c r="L107" s="22" t="n">
        <v>44329</v>
      </c>
      <c r="M107" s="23" t="n">
        <v>0.488194444444444</v>
      </c>
      <c r="O107" s="1" t="s">
        <v>162</v>
      </c>
      <c r="P107" s="16" t="s">
        <v>150</v>
      </c>
      <c r="Q107" s="16" t="s">
        <v>151</v>
      </c>
      <c r="R107" s="16" t="s">
        <v>152</v>
      </c>
      <c r="S107" s="4" t="s">
        <v>163</v>
      </c>
      <c r="T107" s="24" t="n">
        <v>423</v>
      </c>
      <c r="U107" s="24" t="n">
        <v>6.8</v>
      </c>
      <c r="V107" s="24" t="n">
        <v>0.49</v>
      </c>
      <c r="W107" s="2" t="n">
        <v>0.8</v>
      </c>
      <c r="Z107" s="18"/>
      <c r="AA107" s="20"/>
      <c r="AB107" s="20"/>
      <c r="AC107" s="20"/>
    </row>
    <row r="108" customFormat="false" ht="14.25" hidden="false" customHeight="true" outlineLevel="0" collapsed="false">
      <c r="A108" s="18" t="s">
        <v>148</v>
      </c>
      <c r="B108" s="18" t="s">
        <v>148</v>
      </c>
      <c r="C108" s="18" t="s">
        <v>159</v>
      </c>
      <c r="E108" s="2" t="n">
        <f aca="false">INDEX(FieldSites!F:F, MATCH(Ch2_FieldSurvey!B108,FieldSites!C:C,0))</f>
        <v>1851</v>
      </c>
      <c r="F108" s="2" t="n">
        <f aca="false">INDEX(FieldSites!G:G, MATCH(Ch2_FieldSurvey!B108,FieldSites!C:C,0))</f>
        <v>-119.273507</v>
      </c>
      <c r="G108" s="2" t="n">
        <f aca="false">INDEX(FieldSites!H:H, MATCH(Ch2_FieldSurvey!B108,FieldSites!C:C,0))</f>
        <v>37.150723</v>
      </c>
      <c r="H108" s="18" t="n">
        <v>4</v>
      </c>
      <c r="I108" s="21" t="str">
        <f aca="false">CONCATENATE(B108,"_",C108,H108)</f>
        <v>HUOB_M. nasutus4</v>
      </c>
      <c r="J108" s="22" t="n">
        <v>44328</v>
      </c>
      <c r="K108" s="23" t="n">
        <v>0.583333333333333</v>
      </c>
      <c r="L108" s="22" t="n">
        <v>44329</v>
      </c>
      <c r="M108" s="23" t="n">
        <v>0.489583333333333</v>
      </c>
      <c r="O108" s="1" t="s">
        <v>164</v>
      </c>
      <c r="P108" s="16" t="s">
        <v>150</v>
      </c>
      <c r="Q108" s="16" t="s">
        <v>151</v>
      </c>
      <c r="R108" s="16" t="s">
        <v>152</v>
      </c>
      <c r="S108" s="4" t="s">
        <v>70</v>
      </c>
      <c r="T108" s="24" t="n">
        <v>360</v>
      </c>
      <c r="U108" s="24" t="n">
        <v>6.6</v>
      </c>
      <c r="V108" s="24" t="n">
        <v>0.42</v>
      </c>
      <c r="W108" s="2" t="n">
        <v>0.8</v>
      </c>
      <c r="Z108" s="18"/>
      <c r="AA108" s="19" t="n">
        <v>326654</v>
      </c>
      <c r="AB108" s="19" t="n">
        <v>385908</v>
      </c>
      <c r="AC108" s="19" t="n">
        <f aca="false">(AB108-AA108)/AB108</f>
        <v>0.153544368087731</v>
      </c>
    </row>
    <row r="109" customFormat="false" ht="14.25" hidden="false" customHeight="true" outlineLevel="0" collapsed="false">
      <c r="A109" s="18" t="s">
        <v>148</v>
      </c>
      <c r="B109" s="18" t="s">
        <v>148</v>
      </c>
      <c r="C109" s="18" t="s">
        <v>159</v>
      </c>
      <c r="E109" s="2" t="n">
        <f aca="false">INDEX(FieldSites!F:F, MATCH(Ch2_FieldSurvey!B109,FieldSites!C:C,0))</f>
        <v>1851</v>
      </c>
      <c r="F109" s="2" t="n">
        <f aca="false">INDEX(FieldSites!G:G, MATCH(Ch2_FieldSurvey!B109,FieldSites!C:C,0))</f>
        <v>-119.273507</v>
      </c>
      <c r="G109" s="2" t="n">
        <f aca="false">INDEX(FieldSites!H:H, MATCH(Ch2_FieldSurvey!B109,FieldSites!C:C,0))</f>
        <v>37.150723</v>
      </c>
      <c r="H109" s="18" t="n">
        <v>4</v>
      </c>
      <c r="I109" s="21" t="str">
        <f aca="false">CONCATENATE(B109,"_",C109,H109)</f>
        <v>HUOB_M. nasutus4</v>
      </c>
      <c r="J109" s="22" t="n">
        <v>44328</v>
      </c>
      <c r="K109" s="23" t="n">
        <v>0.583333333333333</v>
      </c>
      <c r="L109" s="22" t="n">
        <v>44329</v>
      </c>
      <c r="M109" s="23" t="n">
        <v>0.489583333333333</v>
      </c>
      <c r="O109" s="1" t="s">
        <v>164</v>
      </c>
      <c r="P109" s="16" t="s">
        <v>150</v>
      </c>
      <c r="Q109" s="16" t="s">
        <v>151</v>
      </c>
      <c r="R109" s="16" t="s">
        <v>152</v>
      </c>
      <c r="S109" s="4" t="s">
        <v>70</v>
      </c>
      <c r="T109" s="24" t="n">
        <v>250</v>
      </c>
      <c r="U109" s="24" t="n">
        <v>5.7</v>
      </c>
      <c r="V109" s="24" t="n">
        <v>0.38</v>
      </c>
      <c r="W109" s="2" t="n">
        <v>0.8</v>
      </c>
      <c r="Z109" s="18"/>
      <c r="AA109" s="20"/>
      <c r="AB109" s="20"/>
      <c r="AC109" s="20"/>
    </row>
    <row r="110" customFormat="false" ht="14.25" hidden="false" customHeight="true" outlineLevel="0" collapsed="false">
      <c r="A110" s="18" t="s">
        <v>148</v>
      </c>
      <c r="B110" s="18" t="s">
        <v>148</v>
      </c>
      <c r="C110" s="18" t="s">
        <v>159</v>
      </c>
      <c r="E110" s="2" t="n">
        <f aca="false">INDEX(FieldSites!F:F, MATCH(Ch2_FieldSurvey!B110,FieldSites!C:C,0))</f>
        <v>1851</v>
      </c>
      <c r="F110" s="2" t="n">
        <f aca="false">INDEX(FieldSites!G:G, MATCH(Ch2_FieldSurvey!B110,FieldSites!C:C,0))</f>
        <v>-119.273507</v>
      </c>
      <c r="G110" s="2" t="n">
        <f aca="false">INDEX(FieldSites!H:H, MATCH(Ch2_FieldSurvey!B110,FieldSites!C:C,0))</f>
        <v>37.150723</v>
      </c>
      <c r="H110" s="18" t="n">
        <v>4</v>
      </c>
      <c r="I110" s="21" t="str">
        <f aca="false">CONCATENATE(B110,"_",C110,H110)</f>
        <v>HUOB_M. nasutus4</v>
      </c>
      <c r="J110" s="22" t="n">
        <v>44328</v>
      </c>
      <c r="K110" s="23" t="n">
        <v>0.583333333333333</v>
      </c>
      <c r="L110" s="22" t="n">
        <v>44329</v>
      </c>
      <c r="M110" s="23" t="n">
        <v>0.489583333333333</v>
      </c>
      <c r="O110" s="1" t="s">
        <v>164</v>
      </c>
      <c r="P110" s="16" t="s">
        <v>150</v>
      </c>
      <c r="Q110" s="16" t="s">
        <v>151</v>
      </c>
      <c r="R110" s="16" t="s">
        <v>152</v>
      </c>
      <c r="S110" s="4" t="s">
        <v>70</v>
      </c>
      <c r="T110" s="24" t="n">
        <v>320</v>
      </c>
      <c r="U110" s="24" t="n">
        <v>6.2</v>
      </c>
      <c r="V110" s="24" t="n">
        <v>0.28</v>
      </c>
      <c r="W110" s="2" t="n">
        <v>0.7</v>
      </c>
      <c r="Z110" s="18"/>
      <c r="AA110" s="20"/>
      <c r="AB110" s="20"/>
      <c r="AC110" s="20"/>
    </row>
    <row r="111" customFormat="false" ht="14.25" hidden="false" customHeight="true" outlineLevel="0" collapsed="false">
      <c r="A111" s="18" t="s">
        <v>148</v>
      </c>
      <c r="B111" s="18" t="s">
        <v>148</v>
      </c>
      <c r="C111" s="18" t="s">
        <v>159</v>
      </c>
      <c r="E111" s="2" t="n">
        <f aca="false">INDEX(FieldSites!F:F, MATCH(Ch2_FieldSurvey!B111,FieldSites!C:C,0))</f>
        <v>1851</v>
      </c>
      <c r="F111" s="2" t="n">
        <f aca="false">INDEX(FieldSites!G:G, MATCH(Ch2_FieldSurvey!B111,FieldSites!C:C,0))</f>
        <v>-119.273507</v>
      </c>
      <c r="G111" s="2" t="n">
        <f aca="false">INDEX(FieldSites!H:H, MATCH(Ch2_FieldSurvey!B111,FieldSites!C:C,0))</f>
        <v>37.150723</v>
      </c>
      <c r="H111" s="18" t="n">
        <v>5</v>
      </c>
      <c r="I111" s="21" t="str">
        <f aca="false">CONCATENATE(B111,"_",C111,H111)</f>
        <v>HUOB_M. nasutus5</v>
      </c>
      <c r="J111" s="22" t="n">
        <v>44328</v>
      </c>
      <c r="K111" s="23" t="n">
        <v>0.583333333333333</v>
      </c>
      <c r="L111" s="22" t="n">
        <v>44329</v>
      </c>
      <c r="M111" s="23" t="n">
        <v>0.492361111111111</v>
      </c>
      <c r="O111" s="1" t="s">
        <v>165</v>
      </c>
      <c r="P111" s="16" t="s">
        <v>150</v>
      </c>
      <c r="Q111" s="16" t="s">
        <v>151</v>
      </c>
      <c r="R111" s="16" t="s">
        <v>152</v>
      </c>
      <c r="S111" s="4" t="s">
        <v>166</v>
      </c>
      <c r="T111" s="24" t="n">
        <v>400</v>
      </c>
      <c r="U111" s="24" t="n">
        <v>4.4</v>
      </c>
      <c r="V111" s="24" t="n">
        <v>0.25</v>
      </c>
      <c r="W111" s="2" t="n">
        <v>0.8</v>
      </c>
      <c r="Z111" s="18"/>
      <c r="AA111" s="19" t="n">
        <v>216492</v>
      </c>
      <c r="AB111" s="19" t="n">
        <v>264525</v>
      </c>
      <c r="AC111" s="19" t="n">
        <f aca="false">(AB111-AA111)/AB111</f>
        <v>0.181582081088744</v>
      </c>
    </row>
    <row r="112" customFormat="false" ht="14.25" hidden="false" customHeight="true" outlineLevel="0" collapsed="false">
      <c r="A112" s="18" t="s">
        <v>148</v>
      </c>
      <c r="B112" s="18" t="s">
        <v>148</v>
      </c>
      <c r="C112" s="18" t="s">
        <v>159</v>
      </c>
      <c r="E112" s="2" t="n">
        <f aca="false">INDEX(FieldSites!F:F, MATCH(Ch2_FieldSurvey!B112,FieldSites!C:C,0))</f>
        <v>1851</v>
      </c>
      <c r="F112" s="2" t="n">
        <f aca="false">INDEX(FieldSites!G:G, MATCH(Ch2_FieldSurvey!B112,FieldSites!C:C,0))</f>
        <v>-119.273507</v>
      </c>
      <c r="G112" s="2" t="n">
        <f aca="false">INDEX(FieldSites!H:H, MATCH(Ch2_FieldSurvey!B112,FieldSites!C:C,0))</f>
        <v>37.150723</v>
      </c>
      <c r="H112" s="18" t="n">
        <v>5</v>
      </c>
      <c r="I112" s="21" t="str">
        <f aca="false">CONCATENATE(B112,"_",C112,H112)</f>
        <v>HUOB_M. nasutus5</v>
      </c>
      <c r="J112" s="22" t="n">
        <v>44328</v>
      </c>
      <c r="K112" s="23" t="n">
        <v>0.583333333333333</v>
      </c>
      <c r="L112" s="22" t="n">
        <v>44329</v>
      </c>
      <c r="M112" s="23" t="n">
        <v>0.492361111111111</v>
      </c>
      <c r="O112" s="1" t="s">
        <v>165</v>
      </c>
      <c r="P112" s="16" t="s">
        <v>150</v>
      </c>
      <c r="Q112" s="16" t="s">
        <v>151</v>
      </c>
      <c r="R112" s="16" t="s">
        <v>152</v>
      </c>
      <c r="S112" s="4" t="s">
        <v>166</v>
      </c>
      <c r="T112" s="24" t="n">
        <v>505</v>
      </c>
      <c r="U112" s="24" t="n">
        <v>6.2</v>
      </c>
      <c r="V112" s="24" t="n">
        <v>0.32</v>
      </c>
      <c r="W112" s="2" t="n">
        <v>0.6</v>
      </c>
      <c r="Z112" s="18"/>
      <c r="AA112" s="20"/>
      <c r="AB112" s="20"/>
      <c r="AC112" s="20"/>
    </row>
    <row r="113" customFormat="false" ht="14.25" hidden="false" customHeight="true" outlineLevel="0" collapsed="false">
      <c r="A113" s="18" t="s">
        <v>148</v>
      </c>
      <c r="B113" s="18" t="s">
        <v>148</v>
      </c>
      <c r="C113" s="18" t="s">
        <v>159</v>
      </c>
      <c r="E113" s="2" t="n">
        <f aca="false">INDEX(FieldSites!F:F, MATCH(Ch2_FieldSurvey!B113,FieldSites!C:C,0))</f>
        <v>1851</v>
      </c>
      <c r="F113" s="2" t="n">
        <f aca="false">INDEX(FieldSites!G:G, MATCH(Ch2_FieldSurvey!B113,FieldSites!C:C,0))</f>
        <v>-119.273507</v>
      </c>
      <c r="G113" s="2" t="n">
        <f aca="false">INDEX(FieldSites!H:H, MATCH(Ch2_FieldSurvey!B113,FieldSites!C:C,0))</f>
        <v>37.150723</v>
      </c>
      <c r="H113" s="18" t="n">
        <v>5</v>
      </c>
      <c r="I113" s="21" t="str">
        <f aca="false">CONCATENATE(B113,"_",C113,H113)</f>
        <v>HUOB_M. nasutus5</v>
      </c>
      <c r="J113" s="22" t="n">
        <v>44328</v>
      </c>
      <c r="K113" s="23" t="n">
        <v>0.583333333333333</v>
      </c>
      <c r="L113" s="22" t="n">
        <v>44329</v>
      </c>
      <c r="M113" s="23" t="n">
        <v>0.492361111111111</v>
      </c>
      <c r="O113" s="1" t="s">
        <v>165</v>
      </c>
      <c r="P113" s="16" t="s">
        <v>150</v>
      </c>
      <c r="Q113" s="16" t="s">
        <v>151</v>
      </c>
      <c r="R113" s="16" t="s">
        <v>152</v>
      </c>
      <c r="S113" s="4" t="s">
        <v>166</v>
      </c>
      <c r="T113" s="24" t="n">
        <v>455</v>
      </c>
      <c r="U113" s="24" t="n">
        <v>6.5</v>
      </c>
      <c r="V113" s="24" t="n">
        <v>0.33</v>
      </c>
      <c r="W113" s="2" t="n">
        <v>0.7</v>
      </c>
      <c r="Z113" s="18"/>
      <c r="AA113" s="20"/>
      <c r="AB113" s="20"/>
      <c r="AC113" s="20"/>
    </row>
    <row r="114" customFormat="false" ht="14.25" hidden="false" customHeight="true" outlineLevel="0" collapsed="false">
      <c r="A114" s="18" t="s">
        <v>167</v>
      </c>
      <c r="B114" s="18" t="s">
        <v>167</v>
      </c>
      <c r="C114" s="18" t="s">
        <v>31</v>
      </c>
      <c r="E114" s="2" t="n">
        <f aca="false">INDEX(FieldSites!F:F, MATCH(Ch2_FieldSurvey!B114,FieldSites!C:C,0))</f>
        <v>2178</v>
      </c>
      <c r="F114" s="2" t="n">
        <f aca="false">INDEX(FieldSites!G:G, MATCH(Ch2_FieldSurvey!B114,FieldSites!C:C,0))</f>
        <v>-119.14962</v>
      </c>
      <c r="G114" s="2" t="n">
        <f aca="false">INDEX(FieldSites!H:H, MATCH(Ch2_FieldSurvey!B114,FieldSites!C:C,0))</f>
        <v>37.23553</v>
      </c>
      <c r="H114" s="18" t="n">
        <v>1</v>
      </c>
      <c r="I114" s="21" t="s">
        <v>168</v>
      </c>
      <c r="J114" s="22" t="n">
        <v>44349</v>
      </c>
      <c r="K114" s="23" t="n">
        <v>0.458333333333333</v>
      </c>
      <c r="L114" s="22" t="n">
        <v>44350</v>
      </c>
      <c r="M114" s="23" t="n">
        <v>0.51875</v>
      </c>
      <c r="O114" s="1" t="s">
        <v>169</v>
      </c>
      <c r="P114" s="16" t="s">
        <v>170</v>
      </c>
      <c r="Q114" s="16" t="s">
        <v>171</v>
      </c>
      <c r="R114" s="16" t="s">
        <v>172</v>
      </c>
      <c r="S114" s="4" t="s">
        <v>173</v>
      </c>
      <c r="T114" s="24" t="n">
        <v>343</v>
      </c>
      <c r="U114" s="24" t="n">
        <v>4.1</v>
      </c>
      <c r="V114" s="24" t="n">
        <v>0.31</v>
      </c>
      <c r="W114" s="2" t="n">
        <v>0.2</v>
      </c>
      <c r="Z114" s="18"/>
      <c r="AA114" s="19" t="n">
        <v>316357</v>
      </c>
      <c r="AB114" s="19" t="n">
        <v>1232876</v>
      </c>
      <c r="AC114" s="19" t="n">
        <f aca="false">(AB114-AA114)/AB114</f>
        <v>0.743399173963967</v>
      </c>
    </row>
    <row r="115" customFormat="false" ht="14.25" hidden="false" customHeight="true" outlineLevel="0" collapsed="false">
      <c r="A115" s="18" t="s">
        <v>167</v>
      </c>
      <c r="B115" s="18" t="s">
        <v>167</v>
      </c>
      <c r="C115" s="18" t="s">
        <v>31</v>
      </c>
      <c r="E115" s="2" t="n">
        <f aca="false">INDEX(FieldSites!F:F, MATCH(Ch2_FieldSurvey!B115,FieldSites!C:C,0))</f>
        <v>2178</v>
      </c>
      <c r="F115" s="2" t="n">
        <f aca="false">INDEX(FieldSites!G:G, MATCH(Ch2_FieldSurvey!B115,FieldSites!C:C,0))</f>
        <v>-119.14962</v>
      </c>
      <c r="G115" s="2" t="n">
        <f aca="false">INDEX(FieldSites!H:H, MATCH(Ch2_FieldSurvey!B115,FieldSites!C:C,0))</f>
        <v>37.23553</v>
      </c>
      <c r="H115" s="18" t="n">
        <v>1</v>
      </c>
      <c r="I115" s="21" t="s">
        <v>168</v>
      </c>
      <c r="J115" s="22" t="n">
        <v>44349</v>
      </c>
      <c r="K115" s="23" t="n">
        <v>0.458333333333333</v>
      </c>
      <c r="L115" s="22" t="n">
        <v>44350</v>
      </c>
      <c r="M115" s="23" t="n">
        <v>0.51875</v>
      </c>
      <c r="O115" s="1" t="s">
        <v>169</v>
      </c>
      <c r="P115" s="16" t="s">
        <v>170</v>
      </c>
      <c r="Q115" s="16" t="s">
        <v>171</v>
      </c>
      <c r="R115" s="16" t="s">
        <v>172</v>
      </c>
      <c r="S115" s="4" t="s">
        <v>173</v>
      </c>
      <c r="T115" s="24" t="n">
        <v>585</v>
      </c>
      <c r="U115" s="24" t="n">
        <v>4.4</v>
      </c>
      <c r="V115" s="24" t="n">
        <v>0.33</v>
      </c>
      <c r="W115" s="2" t="n">
        <v>0.4</v>
      </c>
      <c r="Z115" s="18"/>
      <c r="AA115" s="20"/>
      <c r="AB115" s="20"/>
      <c r="AC115" s="20"/>
    </row>
    <row r="116" customFormat="false" ht="14.25" hidden="false" customHeight="true" outlineLevel="0" collapsed="false">
      <c r="A116" s="18" t="s">
        <v>167</v>
      </c>
      <c r="B116" s="18" t="s">
        <v>167</v>
      </c>
      <c r="C116" s="18" t="s">
        <v>31</v>
      </c>
      <c r="E116" s="2" t="n">
        <f aca="false">INDEX(FieldSites!F:F, MATCH(Ch2_FieldSurvey!B116,FieldSites!C:C,0))</f>
        <v>2178</v>
      </c>
      <c r="F116" s="2" t="n">
        <f aca="false">INDEX(FieldSites!G:G, MATCH(Ch2_FieldSurvey!B116,FieldSites!C:C,0))</f>
        <v>-119.14962</v>
      </c>
      <c r="G116" s="2" t="n">
        <f aca="false">INDEX(FieldSites!H:H, MATCH(Ch2_FieldSurvey!B116,FieldSites!C:C,0))</f>
        <v>37.23553</v>
      </c>
      <c r="H116" s="18" t="n">
        <v>1</v>
      </c>
      <c r="I116" s="21" t="s">
        <v>168</v>
      </c>
      <c r="J116" s="22" t="n">
        <v>44349</v>
      </c>
      <c r="K116" s="23" t="n">
        <v>0.458333333333333</v>
      </c>
      <c r="L116" s="22" t="n">
        <v>44350</v>
      </c>
      <c r="M116" s="23" t="n">
        <v>0.51875</v>
      </c>
      <c r="O116" s="1" t="s">
        <v>169</v>
      </c>
      <c r="P116" s="16" t="s">
        <v>170</v>
      </c>
      <c r="Q116" s="16" t="s">
        <v>171</v>
      </c>
      <c r="R116" s="16" t="s">
        <v>172</v>
      </c>
      <c r="S116" s="4" t="s">
        <v>173</v>
      </c>
      <c r="T116" s="24" t="n">
        <v>337</v>
      </c>
      <c r="U116" s="24" t="n">
        <v>4.6</v>
      </c>
      <c r="V116" s="24" t="n">
        <v>0.38</v>
      </c>
      <c r="W116" s="2" t="n">
        <v>0.6</v>
      </c>
      <c r="Z116" s="18"/>
      <c r="AA116" s="20"/>
      <c r="AB116" s="20"/>
      <c r="AC116" s="20"/>
    </row>
    <row r="117" customFormat="false" ht="14.25" hidden="false" customHeight="true" outlineLevel="0" collapsed="false">
      <c r="A117" s="18" t="s">
        <v>167</v>
      </c>
      <c r="B117" s="18" t="s">
        <v>167</v>
      </c>
      <c r="C117" s="18" t="s">
        <v>31</v>
      </c>
      <c r="E117" s="2" t="n">
        <f aca="false">INDEX(FieldSites!F:F, MATCH(Ch2_FieldSurvey!B117,FieldSites!C:C,0))</f>
        <v>2178</v>
      </c>
      <c r="F117" s="2" t="n">
        <f aca="false">INDEX(FieldSites!G:G, MATCH(Ch2_FieldSurvey!B117,FieldSites!C:C,0))</f>
        <v>-119.14962</v>
      </c>
      <c r="G117" s="2" t="n">
        <f aca="false">INDEX(FieldSites!H:H, MATCH(Ch2_FieldSurvey!B117,FieldSites!C:C,0))</f>
        <v>37.23553</v>
      </c>
      <c r="H117" s="18" t="n">
        <v>2</v>
      </c>
      <c r="I117" s="21" t="s">
        <v>174</v>
      </c>
      <c r="J117" s="22" t="n">
        <v>44349</v>
      </c>
      <c r="K117" s="23" t="n">
        <v>0.458333333333333</v>
      </c>
      <c r="L117" s="22" t="n">
        <v>44350</v>
      </c>
      <c r="M117" s="23" t="n">
        <v>0.523611111111111</v>
      </c>
      <c r="O117" s="1" t="s">
        <v>175</v>
      </c>
      <c r="P117" s="16" t="s">
        <v>170</v>
      </c>
      <c r="Q117" s="16" t="s">
        <v>171</v>
      </c>
      <c r="R117" s="16" t="s">
        <v>172</v>
      </c>
      <c r="S117" s="4" t="s">
        <v>176</v>
      </c>
      <c r="T117" s="24" t="n">
        <v>442</v>
      </c>
      <c r="U117" s="24" t="n">
        <v>6.3</v>
      </c>
      <c r="V117" s="24" t="n">
        <v>0.26</v>
      </c>
      <c r="W117" s="2" t="n">
        <v>0.2</v>
      </c>
      <c r="Z117" s="18"/>
      <c r="AA117" s="19" t="n">
        <v>129891</v>
      </c>
      <c r="AB117" s="19" t="n">
        <v>334836</v>
      </c>
      <c r="AC117" s="19" t="n">
        <f aca="false">(AB117-AA117)/AB117</f>
        <v>0.612075762462818</v>
      </c>
    </row>
    <row r="118" customFormat="false" ht="14.25" hidden="false" customHeight="true" outlineLevel="0" collapsed="false">
      <c r="A118" s="18" t="s">
        <v>167</v>
      </c>
      <c r="B118" s="18" t="s">
        <v>167</v>
      </c>
      <c r="C118" s="18" t="s">
        <v>31</v>
      </c>
      <c r="E118" s="2" t="n">
        <f aca="false">INDEX(FieldSites!F:F, MATCH(Ch2_FieldSurvey!B118,FieldSites!C:C,0))</f>
        <v>2178</v>
      </c>
      <c r="F118" s="2" t="n">
        <f aca="false">INDEX(FieldSites!G:G, MATCH(Ch2_FieldSurvey!B118,FieldSites!C:C,0))</f>
        <v>-119.14962</v>
      </c>
      <c r="G118" s="2" t="n">
        <f aca="false">INDEX(FieldSites!H:H, MATCH(Ch2_FieldSurvey!B118,FieldSites!C:C,0))</f>
        <v>37.23553</v>
      </c>
      <c r="H118" s="18" t="n">
        <v>2</v>
      </c>
      <c r="I118" s="21" t="s">
        <v>174</v>
      </c>
      <c r="J118" s="22" t="n">
        <v>44349</v>
      </c>
      <c r="K118" s="23" t="n">
        <v>0.458333333333333</v>
      </c>
      <c r="L118" s="22" t="n">
        <v>44350</v>
      </c>
      <c r="M118" s="23" t="n">
        <v>0.523611111111111</v>
      </c>
      <c r="O118" s="1" t="s">
        <v>175</v>
      </c>
      <c r="P118" s="16" t="s">
        <v>170</v>
      </c>
      <c r="Q118" s="16" t="s">
        <v>171</v>
      </c>
      <c r="R118" s="16" t="s">
        <v>172</v>
      </c>
      <c r="S118" s="4" t="s">
        <v>176</v>
      </c>
      <c r="T118" s="24" t="n">
        <v>370</v>
      </c>
      <c r="U118" s="24" t="n">
        <v>5</v>
      </c>
      <c r="V118" s="24" t="n">
        <v>0.21</v>
      </c>
      <c r="W118" s="2" t="n">
        <v>0.4</v>
      </c>
      <c r="Z118" s="18"/>
      <c r="AA118" s="20"/>
      <c r="AB118" s="20"/>
      <c r="AC118" s="20"/>
    </row>
    <row r="119" customFormat="false" ht="14.25" hidden="false" customHeight="true" outlineLevel="0" collapsed="false">
      <c r="A119" s="18" t="s">
        <v>167</v>
      </c>
      <c r="B119" s="18" t="s">
        <v>167</v>
      </c>
      <c r="C119" s="18" t="s">
        <v>31</v>
      </c>
      <c r="E119" s="2" t="n">
        <f aca="false">INDEX(FieldSites!F:F, MATCH(Ch2_FieldSurvey!B119,FieldSites!C:C,0))</f>
        <v>2178</v>
      </c>
      <c r="F119" s="2" t="n">
        <f aca="false">INDEX(FieldSites!G:G, MATCH(Ch2_FieldSurvey!B119,FieldSites!C:C,0))</f>
        <v>-119.14962</v>
      </c>
      <c r="G119" s="2" t="n">
        <f aca="false">INDEX(FieldSites!H:H, MATCH(Ch2_FieldSurvey!B119,FieldSites!C:C,0))</f>
        <v>37.23553</v>
      </c>
      <c r="H119" s="18" t="n">
        <v>2</v>
      </c>
      <c r="I119" s="21" t="s">
        <v>174</v>
      </c>
      <c r="J119" s="22" t="n">
        <v>44349</v>
      </c>
      <c r="K119" s="23" t="n">
        <v>0.458333333333333</v>
      </c>
      <c r="L119" s="22" t="n">
        <v>44350</v>
      </c>
      <c r="M119" s="23" t="n">
        <v>0.523611111111111</v>
      </c>
      <c r="O119" s="1" t="s">
        <v>175</v>
      </c>
      <c r="P119" s="16" t="s">
        <v>170</v>
      </c>
      <c r="Q119" s="16" t="s">
        <v>171</v>
      </c>
      <c r="R119" s="16" t="s">
        <v>172</v>
      </c>
      <c r="S119" s="4" t="s">
        <v>176</v>
      </c>
      <c r="T119" s="24" t="n">
        <v>425</v>
      </c>
      <c r="U119" s="24" t="n">
        <v>5.4</v>
      </c>
      <c r="V119" s="24" t="n">
        <v>0.2</v>
      </c>
      <c r="W119" s="2" t="n">
        <v>0.4</v>
      </c>
      <c r="Z119" s="18"/>
      <c r="AA119" s="20"/>
      <c r="AB119" s="20"/>
      <c r="AC119" s="20"/>
    </row>
    <row r="120" customFormat="false" ht="14.25" hidden="false" customHeight="true" outlineLevel="0" collapsed="false">
      <c r="A120" s="18" t="s">
        <v>167</v>
      </c>
      <c r="B120" s="18" t="s">
        <v>167</v>
      </c>
      <c r="C120" s="18" t="s">
        <v>31</v>
      </c>
      <c r="E120" s="2" t="n">
        <f aca="false">INDEX(FieldSites!F:F, MATCH(Ch2_FieldSurvey!B120,FieldSites!C:C,0))</f>
        <v>2178</v>
      </c>
      <c r="F120" s="2" t="n">
        <f aca="false">INDEX(FieldSites!G:G, MATCH(Ch2_FieldSurvey!B120,FieldSites!C:C,0))</f>
        <v>-119.14962</v>
      </c>
      <c r="G120" s="2" t="n">
        <f aca="false">INDEX(FieldSites!H:H, MATCH(Ch2_FieldSurvey!B120,FieldSites!C:C,0))</f>
        <v>37.23553</v>
      </c>
      <c r="H120" s="18" t="n">
        <v>3</v>
      </c>
      <c r="I120" s="21" t="s">
        <v>177</v>
      </c>
      <c r="J120" s="22" t="n">
        <v>44349</v>
      </c>
      <c r="K120" s="23" t="n">
        <v>0.458333333333333</v>
      </c>
      <c r="L120" s="22" t="n">
        <v>44350</v>
      </c>
      <c r="M120" s="23" t="n">
        <v>0.525</v>
      </c>
      <c r="O120" s="1" t="s">
        <v>178</v>
      </c>
      <c r="P120" s="16" t="s">
        <v>170</v>
      </c>
      <c r="Q120" s="16" t="s">
        <v>171</v>
      </c>
      <c r="R120" s="16" t="s">
        <v>172</v>
      </c>
      <c r="S120" s="4" t="s">
        <v>179</v>
      </c>
      <c r="T120" s="24" t="n">
        <v>350</v>
      </c>
      <c r="U120" s="24" t="n">
        <v>4.1</v>
      </c>
      <c r="V120" s="24" t="n">
        <v>0.19</v>
      </c>
      <c r="W120" s="2" t="n">
        <v>0.4</v>
      </c>
      <c r="Z120" s="18"/>
      <c r="AA120" s="19" t="n">
        <v>311128</v>
      </c>
      <c r="AB120" s="19" t="n">
        <v>701605</v>
      </c>
      <c r="AC120" s="19" t="n">
        <f aca="false">(AB120-AA120)/AB120</f>
        <v>0.556548200198117</v>
      </c>
    </row>
    <row r="121" customFormat="false" ht="14.25" hidden="false" customHeight="true" outlineLevel="0" collapsed="false">
      <c r="A121" s="18" t="s">
        <v>167</v>
      </c>
      <c r="B121" s="18" t="s">
        <v>167</v>
      </c>
      <c r="C121" s="18" t="s">
        <v>31</v>
      </c>
      <c r="E121" s="2" t="n">
        <f aca="false">INDEX(FieldSites!F:F, MATCH(Ch2_FieldSurvey!B121,FieldSites!C:C,0))</f>
        <v>2178</v>
      </c>
      <c r="F121" s="2" t="n">
        <f aca="false">INDEX(FieldSites!G:G, MATCH(Ch2_FieldSurvey!B121,FieldSites!C:C,0))</f>
        <v>-119.14962</v>
      </c>
      <c r="G121" s="2" t="n">
        <f aca="false">INDEX(FieldSites!H:H, MATCH(Ch2_FieldSurvey!B121,FieldSites!C:C,0))</f>
        <v>37.23553</v>
      </c>
      <c r="H121" s="18" t="n">
        <v>3</v>
      </c>
      <c r="I121" s="21" t="s">
        <v>177</v>
      </c>
      <c r="J121" s="22" t="n">
        <v>44349</v>
      </c>
      <c r="K121" s="23" t="n">
        <v>0.458333333333333</v>
      </c>
      <c r="L121" s="22" t="n">
        <v>44350</v>
      </c>
      <c r="M121" s="23" t="n">
        <v>0.525</v>
      </c>
      <c r="O121" s="1" t="s">
        <v>178</v>
      </c>
      <c r="P121" s="16" t="s">
        <v>170</v>
      </c>
      <c r="Q121" s="16" t="s">
        <v>171</v>
      </c>
      <c r="R121" s="16" t="s">
        <v>172</v>
      </c>
      <c r="S121" s="4" t="s">
        <v>179</v>
      </c>
      <c r="T121" s="24" t="n">
        <v>595</v>
      </c>
      <c r="U121" s="24" t="n">
        <v>5.6</v>
      </c>
      <c r="V121" s="24" t="n">
        <v>0.24</v>
      </c>
      <c r="W121" s="2" t="n">
        <v>0.1</v>
      </c>
      <c r="Z121" s="18"/>
      <c r="AA121" s="20"/>
      <c r="AB121" s="20"/>
      <c r="AC121" s="20"/>
    </row>
    <row r="122" customFormat="false" ht="14.25" hidden="false" customHeight="true" outlineLevel="0" collapsed="false">
      <c r="A122" s="18" t="s">
        <v>167</v>
      </c>
      <c r="B122" s="18" t="s">
        <v>167</v>
      </c>
      <c r="C122" s="18" t="s">
        <v>31</v>
      </c>
      <c r="E122" s="2" t="n">
        <f aca="false">INDEX(FieldSites!F:F, MATCH(Ch2_FieldSurvey!B122,FieldSites!C:C,0))</f>
        <v>2178</v>
      </c>
      <c r="F122" s="2" t="n">
        <f aca="false">INDEX(FieldSites!G:G, MATCH(Ch2_FieldSurvey!B122,FieldSites!C:C,0))</f>
        <v>-119.14962</v>
      </c>
      <c r="G122" s="2" t="n">
        <f aca="false">INDEX(FieldSites!H:H, MATCH(Ch2_FieldSurvey!B122,FieldSites!C:C,0))</f>
        <v>37.23553</v>
      </c>
      <c r="H122" s="18" t="n">
        <v>3</v>
      </c>
      <c r="I122" s="21" t="s">
        <v>177</v>
      </c>
      <c r="J122" s="22" t="n">
        <v>44349</v>
      </c>
      <c r="K122" s="23" t="n">
        <v>0.458333333333333</v>
      </c>
      <c r="L122" s="22" t="n">
        <v>44350</v>
      </c>
      <c r="M122" s="23" t="n">
        <v>0.525</v>
      </c>
      <c r="O122" s="1" t="s">
        <v>178</v>
      </c>
      <c r="P122" s="16" t="s">
        <v>170</v>
      </c>
      <c r="Q122" s="16" t="s">
        <v>171</v>
      </c>
      <c r="R122" s="16" t="s">
        <v>172</v>
      </c>
      <c r="S122" s="4" t="s">
        <v>179</v>
      </c>
      <c r="T122" s="24" t="n">
        <v>395</v>
      </c>
      <c r="U122" s="24" t="n">
        <v>4</v>
      </c>
      <c r="V122" s="24" t="n">
        <v>0.21</v>
      </c>
      <c r="W122" s="2" t="n">
        <v>0.4</v>
      </c>
      <c r="Z122" s="18"/>
      <c r="AA122" s="20"/>
      <c r="AB122" s="20"/>
      <c r="AC122" s="20"/>
    </row>
    <row r="123" customFormat="false" ht="14.25" hidden="false" customHeight="true" outlineLevel="0" collapsed="false">
      <c r="A123" s="18" t="s">
        <v>167</v>
      </c>
      <c r="B123" s="18" t="s">
        <v>167</v>
      </c>
      <c r="C123" s="18" t="s">
        <v>31</v>
      </c>
      <c r="E123" s="2" t="n">
        <f aca="false">INDEX(FieldSites!F:F, MATCH(Ch2_FieldSurvey!B123,FieldSites!C:C,0))</f>
        <v>2178</v>
      </c>
      <c r="F123" s="2" t="n">
        <f aca="false">INDEX(FieldSites!G:G, MATCH(Ch2_FieldSurvey!B123,FieldSites!C:C,0))</f>
        <v>-119.14962</v>
      </c>
      <c r="G123" s="2" t="n">
        <f aca="false">INDEX(FieldSites!H:H, MATCH(Ch2_FieldSurvey!B123,FieldSites!C:C,0))</f>
        <v>37.23553</v>
      </c>
      <c r="H123" s="18" t="n">
        <v>4</v>
      </c>
      <c r="I123" s="21" t="s">
        <v>180</v>
      </c>
      <c r="J123" s="22" t="n">
        <v>44349</v>
      </c>
      <c r="K123" s="23" t="n">
        <v>0.458333333333333</v>
      </c>
      <c r="L123" s="22" t="n">
        <v>44350</v>
      </c>
      <c r="M123" s="23" t="n">
        <v>0.526388888888889</v>
      </c>
      <c r="O123" s="1" t="s">
        <v>181</v>
      </c>
      <c r="P123" s="16" t="s">
        <v>170</v>
      </c>
      <c r="Q123" s="16" t="s">
        <v>171</v>
      </c>
      <c r="R123" s="16" t="s">
        <v>172</v>
      </c>
      <c r="S123" s="4" t="s">
        <v>182</v>
      </c>
      <c r="T123" s="24" t="n">
        <v>640</v>
      </c>
      <c r="U123" s="24" t="n">
        <v>7.2</v>
      </c>
      <c r="V123" s="24" t="n">
        <v>0.29</v>
      </c>
      <c r="W123" s="2" t="n">
        <v>0.5</v>
      </c>
      <c r="Z123" s="18"/>
      <c r="AA123" s="19" t="n">
        <v>131950</v>
      </c>
      <c r="AB123" s="19" t="n">
        <v>422920</v>
      </c>
      <c r="AC123" s="19" t="n">
        <f aca="false">(AB123-AA123)/AB123</f>
        <v>0.688002459093918</v>
      </c>
    </row>
    <row r="124" customFormat="false" ht="14.25" hidden="false" customHeight="true" outlineLevel="0" collapsed="false">
      <c r="A124" s="18" t="s">
        <v>167</v>
      </c>
      <c r="B124" s="18" t="s">
        <v>167</v>
      </c>
      <c r="C124" s="18" t="s">
        <v>31</v>
      </c>
      <c r="E124" s="2" t="n">
        <f aca="false">INDEX(FieldSites!F:F, MATCH(Ch2_FieldSurvey!B124,FieldSites!C:C,0))</f>
        <v>2178</v>
      </c>
      <c r="F124" s="2" t="n">
        <f aca="false">INDEX(FieldSites!G:G, MATCH(Ch2_FieldSurvey!B124,FieldSites!C:C,0))</f>
        <v>-119.14962</v>
      </c>
      <c r="G124" s="2" t="n">
        <f aca="false">INDEX(FieldSites!H:H, MATCH(Ch2_FieldSurvey!B124,FieldSites!C:C,0))</f>
        <v>37.23553</v>
      </c>
      <c r="H124" s="18" t="n">
        <v>4</v>
      </c>
      <c r="I124" s="21" t="s">
        <v>180</v>
      </c>
      <c r="J124" s="22" t="n">
        <v>44349</v>
      </c>
      <c r="K124" s="23" t="n">
        <v>0.458333333333333</v>
      </c>
      <c r="L124" s="22" t="n">
        <v>44350</v>
      </c>
      <c r="M124" s="23" t="n">
        <v>0.526388888888889</v>
      </c>
      <c r="O124" s="1" t="s">
        <v>181</v>
      </c>
      <c r="P124" s="16" t="s">
        <v>170</v>
      </c>
      <c r="Q124" s="16" t="s">
        <v>171</v>
      </c>
      <c r="R124" s="16" t="s">
        <v>172</v>
      </c>
      <c r="S124" s="4" t="s">
        <v>182</v>
      </c>
      <c r="T124" s="24" t="n">
        <v>344</v>
      </c>
      <c r="U124" s="24" t="n">
        <v>2.2</v>
      </c>
      <c r="V124" s="24" t="n">
        <v>0.35</v>
      </c>
      <c r="W124" s="2" t="n">
        <v>0.4</v>
      </c>
      <c r="Z124" s="18"/>
      <c r="AA124" s="20"/>
      <c r="AB124" s="20"/>
      <c r="AC124" s="20"/>
    </row>
    <row r="125" customFormat="false" ht="14.25" hidden="false" customHeight="true" outlineLevel="0" collapsed="false">
      <c r="A125" s="18" t="s">
        <v>167</v>
      </c>
      <c r="B125" s="18" t="s">
        <v>167</v>
      </c>
      <c r="C125" s="18" t="s">
        <v>31</v>
      </c>
      <c r="E125" s="2" t="n">
        <f aca="false">INDEX(FieldSites!F:F, MATCH(Ch2_FieldSurvey!B125,FieldSites!C:C,0))</f>
        <v>2178</v>
      </c>
      <c r="F125" s="2" t="n">
        <f aca="false">INDEX(FieldSites!G:G, MATCH(Ch2_FieldSurvey!B125,FieldSites!C:C,0))</f>
        <v>-119.14962</v>
      </c>
      <c r="G125" s="2" t="n">
        <f aca="false">INDEX(FieldSites!H:H, MATCH(Ch2_FieldSurvey!B125,FieldSites!C:C,0))</f>
        <v>37.23553</v>
      </c>
      <c r="H125" s="18" t="n">
        <v>4</v>
      </c>
      <c r="I125" s="21" t="s">
        <v>180</v>
      </c>
      <c r="J125" s="22" t="n">
        <v>44349</v>
      </c>
      <c r="K125" s="23" t="n">
        <v>0.458333333333333</v>
      </c>
      <c r="L125" s="22" t="n">
        <v>44350</v>
      </c>
      <c r="M125" s="23" t="n">
        <v>0.526388888888889</v>
      </c>
      <c r="O125" s="1" t="s">
        <v>181</v>
      </c>
      <c r="P125" s="16" t="s">
        <v>170</v>
      </c>
      <c r="Q125" s="16" t="s">
        <v>171</v>
      </c>
      <c r="R125" s="16" t="s">
        <v>172</v>
      </c>
      <c r="S125" s="4" t="s">
        <v>182</v>
      </c>
      <c r="T125" s="24" t="n">
        <v>520</v>
      </c>
      <c r="U125" s="24" t="n">
        <v>6.7</v>
      </c>
      <c r="V125" s="24" t="n">
        <v>0.29</v>
      </c>
      <c r="W125" s="2" t="n">
        <v>0.4</v>
      </c>
      <c r="Z125" s="18"/>
      <c r="AA125" s="20"/>
      <c r="AB125" s="20"/>
      <c r="AC125" s="20"/>
    </row>
    <row r="126" customFormat="false" ht="14.25" hidden="false" customHeight="true" outlineLevel="0" collapsed="false">
      <c r="A126" s="18" t="s">
        <v>167</v>
      </c>
      <c r="B126" s="18" t="s">
        <v>167</v>
      </c>
      <c r="C126" s="18" t="s">
        <v>31</v>
      </c>
      <c r="E126" s="2" t="n">
        <f aca="false">INDEX(FieldSites!F:F, MATCH(Ch2_FieldSurvey!B126,FieldSites!C:C,0))</f>
        <v>2178</v>
      </c>
      <c r="F126" s="2" t="n">
        <f aca="false">INDEX(FieldSites!G:G, MATCH(Ch2_FieldSurvey!B126,FieldSites!C:C,0))</f>
        <v>-119.14962</v>
      </c>
      <c r="G126" s="2" t="n">
        <f aca="false">INDEX(FieldSites!H:H, MATCH(Ch2_FieldSurvey!B126,FieldSites!C:C,0))</f>
        <v>37.23553</v>
      </c>
      <c r="H126" s="18" t="n">
        <v>5</v>
      </c>
      <c r="I126" s="21" t="s">
        <v>183</v>
      </c>
      <c r="J126" s="22" t="n">
        <v>44349</v>
      </c>
      <c r="K126" s="23" t="n">
        <v>0.458333333333333</v>
      </c>
      <c r="L126" s="22" t="n">
        <v>44350</v>
      </c>
      <c r="M126" s="23" t="n">
        <v>0.528472222222222</v>
      </c>
      <c r="O126" s="1" t="s">
        <v>184</v>
      </c>
      <c r="P126" s="16" t="s">
        <v>170</v>
      </c>
      <c r="Q126" s="16" t="s">
        <v>171</v>
      </c>
      <c r="R126" s="16" t="s">
        <v>172</v>
      </c>
      <c r="S126" s="4" t="s">
        <v>185</v>
      </c>
      <c r="T126" s="24" t="n">
        <v>492</v>
      </c>
      <c r="U126" s="24" t="n">
        <v>5.7</v>
      </c>
      <c r="V126" s="24" t="n">
        <v>0.22</v>
      </c>
      <c r="W126" s="2" t="n">
        <v>0.5</v>
      </c>
      <c r="Z126" s="18"/>
      <c r="AA126" s="19" t="n">
        <v>354362</v>
      </c>
      <c r="AB126" s="19" t="n">
        <v>893852</v>
      </c>
      <c r="AC126" s="19" t="n">
        <f aca="false">(AB126-AA126)/AB126</f>
        <v>0.603556293435602</v>
      </c>
    </row>
    <row r="127" customFormat="false" ht="14.25" hidden="false" customHeight="true" outlineLevel="0" collapsed="false">
      <c r="A127" s="18" t="s">
        <v>167</v>
      </c>
      <c r="B127" s="18" t="s">
        <v>167</v>
      </c>
      <c r="C127" s="18" t="s">
        <v>31</v>
      </c>
      <c r="E127" s="2" t="n">
        <f aca="false">INDEX(FieldSites!F:F, MATCH(Ch2_FieldSurvey!B127,FieldSites!C:C,0))</f>
        <v>2178</v>
      </c>
      <c r="F127" s="2" t="n">
        <f aca="false">INDEX(FieldSites!G:G, MATCH(Ch2_FieldSurvey!B127,FieldSites!C:C,0))</f>
        <v>-119.14962</v>
      </c>
      <c r="G127" s="2" t="n">
        <f aca="false">INDEX(FieldSites!H:H, MATCH(Ch2_FieldSurvey!B127,FieldSites!C:C,0))</f>
        <v>37.23553</v>
      </c>
      <c r="H127" s="18" t="n">
        <v>5</v>
      </c>
      <c r="I127" s="21" t="s">
        <v>183</v>
      </c>
      <c r="J127" s="22" t="n">
        <v>44349</v>
      </c>
      <c r="K127" s="23" t="n">
        <v>0.458333333333333</v>
      </c>
      <c r="L127" s="22" t="n">
        <v>44350</v>
      </c>
      <c r="M127" s="23" t="n">
        <v>0.528472222222222</v>
      </c>
      <c r="O127" s="1" t="s">
        <v>184</v>
      </c>
      <c r="P127" s="16" t="s">
        <v>170</v>
      </c>
      <c r="Q127" s="16" t="s">
        <v>171</v>
      </c>
      <c r="R127" s="16" t="s">
        <v>172</v>
      </c>
      <c r="S127" s="4" t="s">
        <v>185</v>
      </c>
      <c r="T127" s="24" t="n">
        <v>478</v>
      </c>
      <c r="U127" s="24" t="n">
        <v>5.4</v>
      </c>
      <c r="V127" s="24" t="n">
        <v>0.19</v>
      </c>
      <c r="W127" s="2" t="n">
        <v>0.4</v>
      </c>
      <c r="Z127" s="18"/>
      <c r="AA127" s="20"/>
      <c r="AB127" s="20"/>
      <c r="AC127" s="20"/>
    </row>
    <row r="128" customFormat="false" ht="14.25" hidden="false" customHeight="true" outlineLevel="0" collapsed="false">
      <c r="A128" s="18" t="s">
        <v>167</v>
      </c>
      <c r="B128" s="18" t="s">
        <v>167</v>
      </c>
      <c r="C128" s="18" t="s">
        <v>31</v>
      </c>
      <c r="E128" s="2" t="n">
        <f aca="false">INDEX(FieldSites!F:F, MATCH(Ch2_FieldSurvey!B128,FieldSites!C:C,0))</f>
        <v>2178</v>
      </c>
      <c r="F128" s="2" t="n">
        <f aca="false">INDEX(FieldSites!G:G, MATCH(Ch2_FieldSurvey!B128,FieldSites!C:C,0))</f>
        <v>-119.14962</v>
      </c>
      <c r="G128" s="2" t="n">
        <f aca="false">INDEX(FieldSites!H:H, MATCH(Ch2_FieldSurvey!B128,FieldSites!C:C,0))</f>
        <v>37.23553</v>
      </c>
      <c r="H128" s="18" t="n">
        <v>5</v>
      </c>
      <c r="I128" s="21" t="s">
        <v>183</v>
      </c>
      <c r="J128" s="22" t="n">
        <v>44349</v>
      </c>
      <c r="K128" s="23" t="n">
        <v>0.458333333333333</v>
      </c>
      <c r="L128" s="22" t="n">
        <v>44350</v>
      </c>
      <c r="M128" s="23" t="n">
        <v>0.528472222222222</v>
      </c>
      <c r="O128" s="1" t="s">
        <v>184</v>
      </c>
      <c r="P128" s="16" t="s">
        <v>170</v>
      </c>
      <c r="Q128" s="16" t="s">
        <v>171</v>
      </c>
      <c r="R128" s="16" t="s">
        <v>172</v>
      </c>
      <c r="S128" s="4" t="s">
        <v>185</v>
      </c>
      <c r="T128" s="24" t="n">
        <v>500</v>
      </c>
      <c r="U128" s="24" t="n">
        <v>5.5</v>
      </c>
      <c r="V128" s="24" t="n">
        <v>0.19</v>
      </c>
      <c r="W128" s="2" t="n">
        <v>0.4</v>
      </c>
      <c r="Z128" s="18"/>
      <c r="AA128" s="20"/>
      <c r="AB128" s="20"/>
      <c r="AC128" s="20"/>
    </row>
    <row r="129" customFormat="false" ht="14.25" hidden="false" customHeight="true" outlineLevel="0" collapsed="false">
      <c r="A129" s="18" t="s">
        <v>167</v>
      </c>
      <c r="B129" s="18" t="s">
        <v>167</v>
      </c>
      <c r="C129" s="18" t="s">
        <v>40</v>
      </c>
      <c r="E129" s="2" t="n">
        <f aca="false">INDEX(FieldSites!F:F, MATCH(Ch2_FieldSurvey!B129,FieldSites!C:C,0))</f>
        <v>2178</v>
      </c>
      <c r="F129" s="2" t="n">
        <f aca="false">INDEX(FieldSites!G:G, MATCH(Ch2_FieldSurvey!B129,FieldSites!C:C,0))</f>
        <v>-119.14962</v>
      </c>
      <c r="G129" s="2" t="n">
        <f aca="false">INDEX(FieldSites!H:H, MATCH(Ch2_FieldSurvey!B129,FieldSites!C:C,0))</f>
        <v>37.23553</v>
      </c>
      <c r="H129" s="18" t="n">
        <v>1</v>
      </c>
      <c r="I129" s="21" t="s">
        <v>186</v>
      </c>
      <c r="J129" s="22" t="n">
        <v>44349</v>
      </c>
      <c r="K129" s="23" t="n">
        <v>0.458333333333333</v>
      </c>
      <c r="L129" s="22" t="n">
        <v>44350</v>
      </c>
      <c r="M129" s="23" t="n">
        <v>0.965972222222222</v>
      </c>
      <c r="O129" s="1" t="s">
        <v>187</v>
      </c>
      <c r="P129" s="16" t="s">
        <v>170</v>
      </c>
      <c r="Q129" s="16" t="s">
        <v>171</v>
      </c>
      <c r="R129" s="16" t="s">
        <v>172</v>
      </c>
      <c r="S129" s="4" t="s">
        <v>188</v>
      </c>
      <c r="T129" s="24" t="n">
        <v>253</v>
      </c>
      <c r="U129" s="24" t="n">
        <v>3</v>
      </c>
      <c r="V129" s="24" t="n">
        <v>0.29</v>
      </c>
      <c r="W129" s="2" t="n">
        <v>0.3</v>
      </c>
      <c r="Z129" s="18"/>
      <c r="AA129" s="19" t="n">
        <v>96196</v>
      </c>
      <c r="AB129" s="19" t="n">
        <v>100477</v>
      </c>
      <c r="AC129" s="19" t="n">
        <f aca="false">(AB129-AA129)/AB129</f>
        <v>0.0426067657274799</v>
      </c>
    </row>
    <row r="130" customFormat="false" ht="14.25" hidden="false" customHeight="true" outlineLevel="0" collapsed="false">
      <c r="A130" s="18" t="s">
        <v>167</v>
      </c>
      <c r="B130" s="18" t="s">
        <v>167</v>
      </c>
      <c r="C130" s="18" t="s">
        <v>40</v>
      </c>
      <c r="E130" s="2" t="n">
        <f aca="false">INDEX(FieldSites!F:F, MATCH(Ch2_FieldSurvey!B130,FieldSites!C:C,0))</f>
        <v>2178</v>
      </c>
      <c r="F130" s="2" t="n">
        <f aca="false">INDEX(FieldSites!G:G, MATCH(Ch2_FieldSurvey!B130,FieldSites!C:C,0))</f>
        <v>-119.14962</v>
      </c>
      <c r="G130" s="2" t="n">
        <f aca="false">INDEX(FieldSites!H:H, MATCH(Ch2_FieldSurvey!B130,FieldSites!C:C,0))</f>
        <v>37.23553</v>
      </c>
      <c r="H130" s="18" t="n">
        <v>1</v>
      </c>
      <c r="I130" s="21" t="s">
        <v>186</v>
      </c>
      <c r="J130" s="22" t="n">
        <v>44349</v>
      </c>
      <c r="K130" s="23" t="n">
        <v>0.458333333333333</v>
      </c>
      <c r="L130" s="22" t="n">
        <v>44350</v>
      </c>
      <c r="M130" s="23" t="n">
        <v>0.965972222222222</v>
      </c>
      <c r="O130" s="1" t="s">
        <v>187</v>
      </c>
      <c r="P130" s="16" t="s">
        <v>170</v>
      </c>
      <c r="Q130" s="16" t="s">
        <v>171</v>
      </c>
      <c r="R130" s="16" t="s">
        <v>172</v>
      </c>
      <c r="S130" s="4" t="s">
        <v>188</v>
      </c>
      <c r="T130" s="24" t="n">
        <v>235</v>
      </c>
      <c r="U130" s="24" t="n">
        <v>3.4</v>
      </c>
      <c r="V130" s="24" t="n">
        <v>0.25</v>
      </c>
      <c r="W130" s="2" t="n">
        <v>0.2</v>
      </c>
      <c r="Z130" s="18"/>
      <c r="AA130" s="20"/>
      <c r="AB130" s="20"/>
      <c r="AC130" s="20"/>
    </row>
    <row r="131" customFormat="false" ht="14.25" hidden="false" customHeight="true" outlineLevel="0" collapsed="false">
      <c r="A131" s="18" t="s">
        <v>167</v>
      </c>
      <c r="B131" s="18" t="s">
        <v>167</v>
      </c>
      <c r="C131" s="18" t="s">
        <v>40</v>
      </c>
      <c r="E131" s="2" t="n">
        <f aca="false">INDEX(FieldSites!F:F, MATCH(Ch2_FieldSurvey!B131,FieldSites!C:C,0))</f>
        <v>2178</v>
      </c>
      <c r="F131" s="2" t="n">
        <f aca="false">INDEX(FieldSites!G:G, MATCH(Ch2_FieldSurvey!B131,FieldSites!C:C,0))</f>
        <v>-119.14962</v>
      </c>
      <c r="G131" s="2" t="n">
        <f aca="false">INDEX(FieldSites!H:H, MATCH(Ch2_FieldSurvey!B131,FieldSites!C:C,0))</f>
        <v>37.23553</v>
      </c>
      <c r="H131" s="18" t="n">
        <v>1</v>
      </c>
      <c r="I131" s="21" t="s">
        <v>186</v>
      </c>
      <c r="J131" s="22" t="n">
        <v>44349</v>
      </c>
      <c r="K131" s="23" t="n">
        <v>0.458333333333333</v>
      </c>
      <c r="L131" s="22" t="n">
        <v>44350</v>
      </c>
      <c r="M131" s="23" t="n">
        <v>0.965972222222222</v>
      </c>
      <c r="O131" s="1" t="s">
        <v>187</v>
      </c>
      <c r="P131" s="16" t="s">
        <v>170</v>
      </c>
      <c r="Q131" s="16" t="s">
        <v>171</v>
      </c>
      <c r="R131" s="16" t="s">
        <v>172</v>
      </c>
      <c r="S131" s="4" t="s">
        <v>188</v>
      </c>
      <c r="T131" s="24" t="n">
        <v>221</v>
      </c>
      <c r="U131" s="24" t="n">
        <v>2.8</v>
      </c>
      <c r="V131" s="24" t="n">
        <v>0.23</v>
      </c>
      <c r="W131" s="2" t="n">
        <v>0.3</v>
      </c>
      <c r="Z131" s="18"/>
      <c r="AA131" s="20"/>
      <c r="AB131" s="20"/>
      <c r="AC131" s="20"/>
    </row>
    <row r="132" customFormat="false" ht="14.25" hidden="false" customHeight="true" outlineLevel="0" collapsed="false">
      <c r="A132" s="18" t="s">
        <v>167</v>
      </c>
      <c r="B132" s="18" t="s">
        <v>167</v>
      </c>
      <c r="C132" s="18" t="s">
        <v>40</v>
      </c>
      <c r="E132" s="2" t="n">
        <f aca="false">INDEX(FieldSites!F:F, MATCH(Ch2_FieldSurvey!B132,FieldSites!C:C,0))</f>
        <v>2178</v>
      </c>
      <c r="F132" s="2" t="n">
        <f aca="false">INDEX(FieldSites!G:G, MATCH(Ch2_FieldSurvey!B132,FieldSites!C:C,0))</f>
        <v>-119.14962</v>
      </c>
      <c r="G132" s="2" t="n">
        <f aca="false">INDEX(FieldSites!H:H, MATCH(Ch2_FieldSurvey!B132,FieldSites!C:C,0))</f>
        <v>37.23553</v>
      </c>
      <c r="H132" s="18" t="n">
        <v>2</v>
      </c>
      <c r="I132" s="21" t="s">
        <v>189</v>
      </c>
      <c r="J132" s="22" t="n">
        <v>44349</v>
      </c>
      <c r="K132" s="23" t="n">
        <v>0.458333333333333</v>
      </c>
      <c r="L132" s="22" t="n">
        <v>44350</v>
      </c>
      <c r="M132" s="23" t="n">
        <v>0.550694444444445</v>
      </c>
      <c r="O132" s="1" t="s">
        <v>190</v>
      </c>
      <c r="P132" s="16" t="s">
        <v>170</v>
      </c>
      <c r="Q132" s="16" t="s">
        <v>171</v>
      </c>
      <c r="R132" s="16" t="s">
        <v>172</v>
      </c>
      <c r="S132" s="4" t="s">
        <v>191</v>
      </c>
      <c r="T132" s="24" t="n">
        <v>305</v>
      </c>
      <c r="U132" s="24" t="n">
        <v>3.1</v>
      </c>
      <c r="V132" s="24" t="n">
        <v>0.26</v>
      </c>
      <c r="W132" s="2" t="n">
        <v>0.2</v>
      </c>
      <c r="Z132" s="18"/>
      <c r="AA132" s="19" t="n">
        <v>149343</v>
      </c>
      <c r="AB132" s="19" t="n">
        <v>156454</v>
      </c>
      <c r="AC132" s="19" t="n">
        <f aca="false">(AB132-AA132)/AB132</f>
        <v>0.0454510590972426</v>
      </c>
    </row>
    <row r="133" customFormat="false" ht="14.25" hidden="false" customHeight="true" outlineLevel="0" collapsed="false">
      <c r="A133" s="18" t="s">
        <v>167</v>
      </c>
      <c r="B133" s="18" t="s">
        <v>167</v>
      </c>
      <c r="C133" s="18" t="s">
        <v>40</v>
      </c>
      <c r="E133" s="2" t="n">
        <f aca="false">INDEX(FieldSites!F:F, MATCH(Ch2_FieldSurvey!B133,FieldSites!C:C,0))</f>
        <v>2178</v>
      </c>
      <c r="F133" s="2" t="n">
        <f aca="false">INDEX(FieldSites!G:G, MATCH(Ch2_FieldSurvey!B133,FieldSites!C:C,0))</f>
        <v>-119.14962</v>
      </c>
      <c r="G133" s="2" t="n">
        <f aca="false">INDEX(FieldSites!H:H, MATCH(Ch2_FieldSurvey!B133,FieldSites!C:C,0))</f>
        <v>37.23553</v>
      </c>
      <c r="H133" s="18" t="n">
        <v>2</v>
      </c>
      <c r="I133" s="21" t="s">
        <v>189</v>
      </c>
      <c r="J133" s="22" t="n">
        <v>44349</v>
      </c>
      <c r="K133" s="23" t="n">
        <v>0.458333333333333</v>
      </c>
      <c r="L133" s="22" t="n">
        <v>44350</v>
      </c>
      <c r="M133" s="23" t="n">
        <v>0.550694444444445</v>
      </c>
      <c r="O133" s="1" t="s">
        <v>190</v>
      </c>
      <c r="P133" s="16" t="s">
        <v>170</v>
      </c>
      <c r="Q133" s="16" t="s">
        <v>171</v>
      </c>
      <c r="R133" s="16" t="s">
        <v>172</v>
      </c>
      <c r="S133" s="4" t="s">
        <v>191</v>
      </c>
      <c r="T133" s="24" t="n">
        <v>322</v>
      </c>
      <c r="U133" s="24" t="n">
        <v>2.7</v>
      </c>
      <c r="V133" s="24" t="n">
        <v>0.21</v>
      </c>
      <c r="W133" s="2" t="n">
        <v>0.1</v>
      </c>
      <c r="Z133" s="18"/>
      <c r="AA133" s="20"/>
      <c r="AB133" s="20"/>
      <c r="AC133" s="20"/>
    </row>
    <row r="134" customFormat="false" ht="14.25" hidden="false" customHeight="true" outlineLevel="0" collapsed="false">
      <c r="A134" s="18" t="s">
        <v>167</v>
      </c>
      <c r="B134" s="18" t="s">
        <v>167</v>
      </c>
      <c r="C134" s="18" t="s">
        <v>40</v>
      </c>
      <c r="E134" s="2" t="n">
        <f aca="false">INDEX(FieldSites!F:F, MATCH(Ch2_FieldSurvey!B134,FieldSites!C:C,0))</f>
        <v>2178</v>
      </c>
      <c r="F134" s="2" t="n">
        <f aca="false">INDEX(FieldSites!G:G, MATCH(Ch2_FieldSurvey!B134,FieldSites!C:C,0))</f>
        <v>-119.14962</v>
      </c>
      <c r="G134" s="2" t="n">
        <f aca="false">INDEX(FieldSites!H:H, MATCH(Ch2_FieldSurvey!B134,FieldSites!C:C,0))</f>
        <v>37.23553</v>
      </c>
      <c r="H134" s="18" t="n">
        <v>2</v>
      </c>
      <c r="I134" s="21" t="s">
        <v>189</v>
      </c>
      <c r="J134" s="22" t="n">
        <v>44349</v>
      </c>
      <c r="K134" s="23" t="n">
        <v>0.458333333333333</v>
      </c>
      <c r="L134" s="22" t="n">
        <v>44350</v>
      </c>
      <c r="M134" s="23" t="n">
        <v>0.550694444444445</v>
      </c>
      <c r="O134" s="1" t="s">
        <v>190</v>
      </c>
      <c r="P134" s="16" t="s">
        <v>170</v>
      </c>
      <c r="Q134" s="16" t="s">
        <v>171</v>
      </c>
      <c r="R134" s="16" t="s">
        <v>172</v>
      </c>
      <c r="S134" s="4" t="s">
        <v>191</v>
      </c>
      <c r="T134" s="24" t="n">
        <v>282</v>
      </c>
      <c r="U134" s="24" t="n">
        <v>2.8</v>
      </c>
      <c r="V134" s="24" t="n">
        <v>0.22</v>
      </c>
      <c r="W134" s="2" t="n">
        <v>0.3</v>
      </c>
      <c r="Z134" s="18"/>
      <c r="AA134" s="20"/>
      <c r="AB134" s="20"/>
      <c r="AC134" s="20"/>
    </row>
    <row r="135" customFormat="false" ht="14.25" hidden="false" customHeight="true" outlineLevel="0" collapsed="false">
      <c r="A135" s="18" t="s">
        <v>167</v>
      </c>
      <c r="B135" s="18" t="s">
        <v>167</v>
      </c>
      <c r="C135" s="18" t="s">
        <v>40</v>
      </c>
      <c r="E135" s="2" t="n">
        <f aca="false">INDEX(FieldSites!F:F, MATCH(Ch2_FieldSurvey!B135,FieldSites!C:C,0))</f>
        <v>2178</v>
      </c>
      <c r="F135" s="2" t="n">
        <f aca="false">INDEX(FieldSites!G:G, MATCH(Ch2_FieldSurvey!B135,FieldSites!C:C,0))</f>
        <v>-119.14962</v>
      </c>
      <c r="G135" s="2" t="n">
        <f aca="false">INDEX(FieldSites!H:H, MATCH(Ch2_FieldSurvey!B135,FieldSites!C:C,0))</f>
        <v>37.23553</v>
      </c>
      <c r="H135" s="18" t="n">
        <v>3</v>
      </c>
      <c r="I135" s="21" t="s">
        <v>192</v>
      </c>
      <c r="J135" s="22" t="n">
        <v>44349</v>
      </c>
      <c r="K135" s="23" t="n">
        <v>0.458333333333333</v>
      </c>
      <c r="L135" s="22" t="n">
        <v>44350</v>
      </c>
      <c r="M135" s="23" t="n">
        <v>0.552083333333333</v>
      </c>
      <c r="O135" s="1" t="s">
        <v>193</v>
      </c>
      <c r="P135" s="16" t="s">
        <v>170</v>
      </c>
      <c r="Q135" s="16" t="s">
        <v>171</v>
      </c>
      <c r="R135" s="16" t="s">
        <v>172</v>
      </c>
      <c r="S135" s="4" t="s">
        <v>110</v>
      </c>
      <c r="T135" s="24" t="n">
        <v>290</v>
      </c>
      <c r="U135" s="24" t="n">
        <v>2.9</v>
      </c>
      <c r="V135" s="24" t="n">
        <v>0.22</v>
      </c>
      <c r="W135" s="2" t="n">
        <v>0.2</v>
      </c>
      <c r="Z135" s="18"/>
      <c r="AA135" s="19" t="n">
        <v>249281</v>
      </c>
      <c r="AB135" s="19" t="n">
        <v>267548</v>
      </c>
      <c r="AC135" s="19" t="n">
        <f aca="false">(AB135-AA135)/AB135</f>
        <v>0.0682755991448264</v>
      </c>
    </row>
    <row r="136" customFormat="false" ht="14.25" hidden="false" customHeight="true" outlineLevel="0" collapsed="false">
      <c r="A136" s="18" t="s">
        <v>167</v>
      </c>
      <c r="B136" s="18" t="s">
        <v>167</v>
      </c>
      <c r="C136" s="18" t="s">
        <v>40</v>
      </c>
      <c r="E136" s="2" t="n">
        <f aca="false">INDEX(FieldSites!F:F, MATCH(Ch2_FieldSurvey!B136,FieldSites!C:C,0))</f>
        <v>2178</v>
      </c>
      <c r="F136" s="2" t="n">
        <f aca="false">INDEX(FieldSites!G:G, MATCH(Ch2_FieldSurvey!B136,FieldSites!C:C,0))</f>
        <v>-119.14962</v>
      </c>
      <c r="G136" s="2" t="n">
        <f aca="false">INDEX(FieldSites!H:H, MATCH(Ch2_FieldSurvey!B136,FieldSites!C:C,0))</f>
        <v>37.23553</v>
      </c>
      <c r="H136" s="18" t="n">
        <v>3</v>
      </c>
      <c r="I136" s="21" t="s">
        <v>192</v>
      </c>
      <c r="J136" s="22" t="n">
        <v>44349</v>
      </c>
      <c r="K136" s="23" t="n">
        <v>0.458333333333333</v>
      </c>
      <c r="L136" s="22" t="n">
        <v>44350</v>
      </c>
      <c r="M136" s="23" t="n">
        <v>0.552083333333333</v>
      </c>
      <c r="O136" s="1" t="s">
        <v>193</v>
      </c>
      <c r="P136" s="16" t="s">
        <v>170</v>
      </c>
      <c r="Q136" s="16" t="s">
        <v>171</v>
      </c>
      <c r="R136" s="16" t="s">
        <v>172</v>
      </c>
      <c r="S136" s="4" t="s">
        <v>110</v>
      </c>
      <c r="T136" s="24" t="n">
        <v>260</v>
      </c>
      <c r="U136" s="24" t="n">
        <v>3.1</v>
      </c>
      <c r="V136" s="24" t="n">
        <v>0.22</v>
      </c>
      <c r="W136" s="2" t="n">
        <v>0.3</v>
      </c>
      <c r="Z136" s="18"/>
      <c r="AA136" s="20"/>
      <c r="AB136" s="20"/>
      <c r="AC136" s="20"/>
    </row>
    <row r="137" customFormat="false" ht="14.25" hidden="false" customHeight="true" outlineLevel="0" collapsed="false">
      <c r="A137" s="18" t="s">
        <v>167</v>
      </c>
      <c r="B137" s="18" t="s">
        <v>167</v>
      </c>
      <c r="C137" s="18" t="s">
        <v>40</v>
      </c>
      <c r="E137" s="2" t="n">
        <f aca="false">INDEX(FieldSites!F:F, MATCH(Ch2_FieldSurvey!B137,FieldSites!C:C,0))</f>
        <v>2178</v>
      </c>
      <c r="F137" s="2" t="n">
        <f aca="false">INDEX(FieldSites!G:G, MATCH(Ch2_FieldSurvey!B137,FieldSites!C:C,0))</f>
        <v>-119.14962</v>
      </c>
      <c r="G137" s="2" t="n">
        <f aca="false">INDEX(FieldSites!H:H, MATCH(Ch2_FieldSurvey!B137,FieldSites!C:C,0))</f>
        <v>37.23553</v>
      </c>
      <c r="H137" s="18" t="n">
        <v>3</v>
      </c>
      <c r="I137" s="21" t="s">
        <v>192</v>
      </c>
      <c r="J137" s="22" t="n">
        <v>44349</v>
      </c>
      <c r="K137" s="23" t="n">
        <v>0.458333333333333</v>
      </c>
      <c r="L137" s="22" t="n">
        <v>44350</v>
      </c>
      <c r="M137" s="23" t="n">
        <v>0.552083333333333</v>
      </c>
      <c r="O137" s="1" t="s">
        <v>193</v>
      </c>
      <c r="P137" s="16" t="s">
        <v>170</v>
      </c>
      <c r="Q137" s="16" t="s">
        <v>171</v>
      </c>
      <c r="R137" s="16" t="s">
        <v>172</v>
      </c>
      <c r="S137" s="4" t="s">
        <v>110</v>
      </c>
      <c r="T137" s="24" t="n">
        <v>247</v>
      </c>
      <c r="U137" s="24" t="n">
        <v>3.6</v>
      </c>
      <c r="V137" s="24" t="n">
        <v>0.16</v>
      </c>
      <c r="W137" s="2" t="n">
        <v>0.3</v>
      </c>
      <c r="Z137" s="18"/>
      <c r="AA137" s="20"/>
      <c r="AB137" s="20"/>
      <c r="AC137" s="20"/>
    </row>
    <row r="138" customFormat="false" ht="14.25" hidden="false" customHeight="true" outlineLevel="0" collapsed="false">
      <c r="A138" s="18" t="s">
        <v>167</v>
      </c>
      <c r="B138" s="18" t="s">
        <v>167</v>
      </c>
      <c r="C138" s="18" t="s">
        <v>40</v>
      </c>
      <c r="E138" s="2" t="n">
        <f aca="false">INDEX(FieldSites!F:F, MATCH(Ch2_FieldSurvey!B138,FieldSites!C:C,0))</f>
        <v>2178</v>
      </c>
      <c r="F138" s="2" t="n">
        <f aca="false">INDEX(FieldSites!G:G, MATCH(Ch2_FieldSurvey!B138,FieldSites!C:C,0))</f>
        <v>-119.14962</v>
      </c>
      <c r="G138" s="2" t="n">
        <f aca="false">INDEX(FieldSites!H:H, MATCH(Ch2_FieldSurvey!B138,FieldSites!C:C,0))</f>
        <v>37.23553</v>
      </c>
      <c r="H138" s="18" t="n">
        <v>4</v>
      </c>
      <c r="I138" s="21" t="s">
        <v>194</v>
      </c>
      <c r="J138" s="22" t="n">
        <v>44349</v>
      </c>
      <c r="K138" s="23" t="n">
        <v>0.458333333333333</v>
      </c>
      <c r="L138" s="22" t="n">
        <v>44350</v>
      </c>
      <c r="M138" s="23" t="n">
        <v>0.552777777777778</v>
      </c>
      <c r="O138" s="1" t="s">
        <v>195</v>
      </c>
      <c r="P138" s="16" t="s">
        <v>170</v>
      </c>
      <c r="Q138" s="16" t="s">
        <v>171</v>
      </c>
      <c r="R138" s="16" t="s">
        <v>172</v>
      </c>
      <c r="S138" s="4" t="s">
        <v>196</v>
      </c>
      <c r="T138" s="24" t="n">
        <v>250</v>
      </c>
      <c r="U138" s="24" t="n">
        <v>3.1</v>
      </c>
      <c r="V138" s="24" t="n">
        <v>0.24</v>
      </c>
      <c r="W138" s="2" t="n">
        <v>0.3</v>
      </c>
      <c r="Z138" s="18"/>
      <c r="AA138" s="19" t="n">
        <v>174850</v>
      </c>
      <c r="AB138" s="19" t="n">
        <v>179590</v>
      </c>
      <c r="AC138" s="19" t="n">
        <f aca="false">(AB138-AA138)/AB138</f>
        <v>0.0263934517512111</v>
      </c>
    </row>
    <row r="139" customFormat="false" ht="14.25" hidden="false" customHeight="true" outlineLevel="0" collapsed="false">
      <c r="A139" s="18" t="s">
        <v>167</v>
      </c>
      <c r="B139" s="18" t="s">
        <v>167</v>
      </c>
      <c r="C139" s="18" t="s">
        <v>40</v>
      </c>
      <c r="E139" s="2" t="n">
        <f aca="false">INDEX(FieldSites!F:F, MATCH(Ch2_FieldSurvey!B139,FieldSites!C:C,0))</f>
        <v>2178</v>
      </c>
      <c r="F139" s="2" t="n">
        <f aca="false">INDEX(FieldSites!G:G, MATCH(Ch2_FieldSurvey!B139,FieldSites!C:C,0))</f>
        <v>-119.14962</v>
      </c>
      <c r="G139" s="2" t="n">
        <f aca="false">INDEX(FieldSites!H:H, MATCH(Ch2_FieldSurvey!B139,FieldSites!C:C,0))</f>
        <v>37.23553</v>
      </c>
      <c r="H139" s="18" t="n">
        <v>4</v>
      </c>
      <c r="I139" s="21" t="s">
        <v>194</v>
      </c>
      <c r="J139" s="22" t="n">
        <v>44349</v>
      </c>
      <c r="K139" s="23" t="n">
        <v>0.458333333333333</v>
      </c>
      <c r="L139" s="22" t="n">
        <v>44350</v>
      </c>
      <c r="M139" s="23" t="n">
        <v>0.552777777777778</v>
      </c>
      <c r="O139" s="1" t="s">
        <v>195</v>
      </c>
      <c r="P139" s="16" t="s">
        <v>170</v>
      </c>
      <c r="Q139" s="16" t="s">
        <v>171</v>
      </c>
      <c r="R139" s="16" t="s">
        <v>172</v>
      </c>
      <c r="S139" s="4" t="s">
        <v>196</v>
      </c>
      <c r="T139" s="24" t="n">
        <v>305</v>
      </c>
      <c r="U139" s="24" t="n">
        <v>2.9</v>
      </c>
      <c r="V139" s="24" t="n">
        <v>0.24</v>
      </c>
      <c r="W139" s="2" t="n">
        <v>0.2</v>
      </c>
      <c r="Z139" s="18"/>
      <c r="AA139" s="20"/>
      <c r="AB139" s="20"/>
      <c r="AC139" s="20"/>
    </row>
    <row r="140" customFormat="false" ht="14.25" hidden="false" customHeight="true" outlineLevel="0" collapsed="false">
      <c r="A140" s="18" t="s">
        <v>167</v>
      </c>
      <c r="B140" s="18" t="s">
        <v>167</v>
      </c>
      <c r="C140" s="18" t="s">
        <v>40</v>
      </c>
      <c r="E140" s="2" t="n">
        <f aca="false">INDEX(FieldSites!F:F, MATCH(Ch2_FieldSurvey!B140,FieldSites!C:C,0))</f>
        <v>2178</v>
      </c>
      <c r="F140" s="2" t="n">
        <f aca="false">INDEX(FieldSites!G:G, MATCH(Ch2_FieldSurvey!B140,FieldSites!C:C,0))</f>
        <v>-119.14962</v>
      </c>
      <c r="G140" s="2" t="n">
        <f aca="false">INDEX(FieldSites!H:H, MATCH(Ch2_FieldSurvey!B140,FieldSites!C:C,0))</f>
        <v>37.23553</v>
      </c>
      <c r="H140" s="18" t="n">
        <v>4</v>
      </c>
      <c r="I140" s="21" t="s">
        <v>194</v>
      </c>
      <c r="J140" s="22" t="n">
        <v>44349</v>
      </c>
      <c r="K140" s="23" t="n">
        <v>0.458333333333333</v>
      </c>
      <c r="L140" s="22" t="n">
        <v>44350</v>
      </c>
      <c r="M140" s="23" t="n">
        <v>0.552777777777778</v>
      </c>
      <c r="O140" s="1" t="s">
        <v>195</v>
      </c>
      <c r="P140" s="16" t="s">
        <v>170</v>
      </c>
      <c r="Q140" s="16" t="s">
        <v>171</v>
      </c>
      <c r="R140" s="16" t="s">
        <v>172</v>
      </c>
      <c r="S140" s="4" t="s">
        <v>196</v>
      </c>
      <c r="T140" s="24" t="n">
        <v>302</v>
      </c>
      <c r="U140" s="24" t="n">
        <v>3.6</v>
      </c>
      <c r="V140" s="24" t="n">
        <v>0.18</v>
      </c>
      <c r="W140" s="2" t="n">
        <v>0.3</v>
      </c>
      <c r="Z140" s="18"/>
      <c r="AA140" s="20"/>
      <c r="AB140" s="20"/>
      <c r="AC140" s="20"/>
    </row>
    <row r="141" customFormat="false" ht="14.25" hidden="false" customHeight="true" outlineLevel="0" collapsed="false">
      <c r="A141" s="18" t="s">
        <v>167</v>
      </c>
      <c r="B141" s="18" t="s">
        <v>167</v>
      </c>
      <c r="C141" s="18" t="s">
        <v>40</v>
      </c>
      <c r="E141" s="2" t="n">
        <f aca="false">INDEX(FieldSites!F:F, MATCH(Ch2_FieldSurvey!B141,FieldSites!C:C,0))</f>
        <v>2178</v>
      </c>
      <c r="F141" s="2" t="n">
        <f aca="false">INDEX(FieldSites!G:G, MATCH(Ch2_FieldSurvey!B141,FieldSites!C:C,0))</f>
        <v>-119.14962</v>
      </c>
      <c r="G141" s="2" t="n">
        <f aca="false">INDEX(FieldSites!H:H, MATCH(Ch2_FieldSurvey!B141,FieldSites!C:C,0))</f>
        <v>37.23553</v>
      </c>
      <c r="H141" s="18" t="n">
        <v>5</v>
      </c>
      <c r="I141" s="21" t="s">
        <v>197</v>
      </c>
      <c r="J141" s="22" t="n">
        <v>44349</v>
      </c>
      <c r="K141" s="23" t="n">
        <v>0.458333333333333</v>
      </c>
      <c r="L141" s="22" t="n">
        <v>44350</v>
      </c>
      <c r="M141" s="23" t="n">
        <v>0.554166666666667</v>
      </c>
      <c r="O141" s="1" t="s">
        <v>198</v>
      </c>
      <c r="P141" s="16" t="s">
        <v>170</v>
      </c>
      <c r="Q141" s="16" t="s">
        <v>171</v>
      </c>
      <c r="R141" s="16" t="s">
        <v>172</v>
      </c>
      <c r="S141" s="4" t="s">
        <v>199</v>
      </c>
      <c r="T141" s="24" t="n">
        <v>325</v>
      </c>
      <c r="U141" s="24" t="n">
        <v>2.6</v>
      </c>
      <c r="V141" s="24" t="n">
        <v>0.23</v>
      </c>
      <c r="W141" s="2" t="n">
        <v>0.1</v>
      </c>
      <c r="Z141" s="18"/>
      <c r="AA141" s="19" t="n">
        <v>85104</v>
      </c>
      <c r="AB141" s="19" t="n">
        <v>89634</v>
      </c>
      <c r="AC141" s="19" t="n">
        <f aca="false">(AB141-AA141)/AB141</f>
        <v>0.0505388580226253</v>
      </c>
    </row>
    <row r="142" customFormat="false" ht="14.25" hidden="false" customHeight="true" outlineLevel="0" collapsed="false">
      <c r="A142" s="18" t="s">
        <v>167</v>
      </c>
      <c r="B142" s="18" t="s">
        <v>167</v>
      </c>
      <c r="C142" s="18" t="s">
        <v>40</v>
      </c>
      <c r="E142" s="2" t="n">
        <f aca="false">INDEX(FieldSites!F:F, MATCH(Ch2_FieldSurvey!B142,FieldSites!C:C,0))</f>
        <v>2178</v>
      </c>
      <c r="F142" s="2" t="n">
        <f aca="false">INDEX(FieldSites!G:G, MATCH(Ch2_FieldSurvey!B142,FieldSites!C:C,0))</f>
        <v>-119.14962</v>
      </c>
      <c r="G142" s="2" t="n">
        <f aca="false">INDEX(FieldSites!H:H, MATCH(Ch2_FieldSurvey!B142,FieldSites!C:C,0))</f>
        <v>37.23553</v>
      </c>
      <c r="H142" s="18" t="n">
        <v>5</v>
      </c>
      <c r="I142" s="21" t="s">
        <v>197</v>
      </c>
      <c r="J142" s="22" t="n">
        <v>44349</v>
      </c>
      <c r="K142" s="23" t="n">
        <v>0.458333333333333</v>
      </c>
      <c r="L142" s="22" t="n">
        <v>44350</v>
      </c>
      <c r="M142" s="23" t="n">
        <v>0.554166666666667</v>
      </c>
      <c r="O142" s="1" t="s">
        <v>198</v>
      </c>
      <c r="P142" s="16" t="s">
        <v>170</v>
      </c>
      <c r="Q142" s="16" t="s">
        <v>171</v>
      </c>
      <c r="R142" s="16" t="s">
        <v>172</v>
      </c>
      <c r="S142" s="4" t="s">
        <v>199</v>
      </c>
      <c r="T142" s="24" t="n">
        <v>282</v>
      </c>
      <c r="U142" s="24" t="n">
        <v>2.6</v>
      </c>
      <c r="V142" s="24" t="n">
        <v>0.26</v>
      </c>
      <c r="W142" s="2" t="n">
        <v>0.2</v>
      </c>
      <c r="Z142" s="18"/>
      <c r="AA142" s="20"/>
      <c r="AB142" s="20"/>
      <c r="AC142" s="19" t="e">
        <f aca="false">(AB142-AA142)/AB142</f>
        <v>#DIV/0!</v>
      </c>
    </row>
    <row r="143" customFormat="false" ht="14.25" hidden="false" customHeight="true" outlineLevel="0" collapsed="false">
      <c r="A143" s="18" t="s">
        <v>167</v>
      </c>
      <c r="B143" s="18" t="s">
        <v>167</v>
      </c>
      <c r="C143" s="18" t="s">
        <v>40</v>
      </c>
      <c r="E143" s="2" t="n">
        <f aca="false">INDEX(FieldSites!F:F, MATCH(Ch2_FieldSurvey!B143,FieldSites!C:C,0))</f>
        <v>2178</v>
      </c>
      <c r="F143" s="2" t="n">
        <f aca="false">INDEX(FieldSites!G:G, MATCH(Ch2_FieldSurvey!B143,FieldSites!C:C,0))</f>
        <v>-119.14962</v>
      </c>
      <c r="G143" s="2" t="n">
        <f aca="false">INDEX(FieldSites!H:H, MATCH(Ch2_FieldSurvey!B143,FieldSites!C:C,0))</f>
        <v>37.23553</v>
      </c>
      <c r="H143" s="18" t="n">
        <v>5</v>
      </c>
      <c r="I143" s="21" t="s">
        <v>197</v>
      </c>
      <c r="J143" s="22" t="n">
        <v>44349</v>
      </c>
      <c r="K143" s="23" t="n">
        <v>0.458333333333333</v>
      </c>
      <c r="L143" s="22" t="n">
        <v>44350</v>
      </c>
      <c r="M143" s="23" t="n">
        <v>0.554166666666667</v>
      </c>
      <c r="O143" s="1" t="s">
        <v>198</v>
      </c>
      <c r="P143" s="16" t="s">
        <v>170</v>
      </c>
      <c r="Q143" s="16" t="s">
        <v>171</v>
      </c>
      <c r="R143" s="16" t="s">
        <v>172</v>
      </c>
      <c r="S143" s="4" t="s">
        <v>199</v>
      </c>
      <c r="T143" s="24" t="n">
        <v>290</v>
      </c>
      <c r="U143" s="24" t="n">
        <v>2.6</v>
      </c>
      <c r="V143" s="24" t="n">
        <v>0.22</v>
      </c>
      <c r="W143" s="2" t="n">
        <v>0.2</v>
      </c>
      <c r="Z143" s="18"/>
      <c r="AA143" s="20"/>
      <c r="AB143" s="20"/>
      <c r="AC143" s="19" t="e">
        <f aca="false">(AB143-AA143)/AB143</f>
        <v>#DIV/0!</v>
      </c>
    </row>
    <row r="144" customFormat="false" ht="14.25" hidden="false" customHeight="true" outlineLevel="0" collapsed="false">
      <c r="A144" s="18" t="s">
        <v>200</v>
      </c>
      <c r="B144" s="18" t="s">
        <v>200</v>
      </c>
      <c r="C144" s="18" t="s">
        <v>40</v>
      </c>
      <c r="E144" s="2" t="n">
        <f aca="false">INDEX(FieldSites!F:F, MATCH(Ch2_FieldSurvey!B144,FieldSites!C:C,0))</f>
        <v>2157</v>
      </c>
      <c r="F144" s="2" t="n">
        <f aca="false">INDEX(FieldSites!G:G, MATCH(Ch2_FieldSurvey!B144,FieldSites!C:C,0))</f>
        <v>-119.772719</v>
      </c>
      <c r="G144" s="2" t="n">
        <f aca="false">INDEX(FieldSites!H:H, MATCH(Ch2_FieldSurvey!B144,FieldSites!C:C,0))</f>
        <v>37.767781</v>
      </c>
      <c r="H144" s="18" t="n">
        <v>1</v>
      </c>
      <c r="I144" s="21" t="s">
        <v>201</v>
      </c>
      <c r="J144" s="22" t="n">
        <v>44371</v>
      </c>
      <c r="K144" s="23"/>
      <c r="L144" s="22" t="n">
        <v>44372</v>
      </c>
      <c r="M144" s="23" t="n">
        <v>0.34375</v>
      </c>
      <c r="O144" s="1" t="s">
        <v>202</v>
      </c>
      <c r="P144" s="16" t="s">
        <v>203</v>
      </c>
      <c r="R144" s="16" t="s">
        <v>204</v>
      </c>
      <c r="S144" s="4" t="s">
        <v>205</v>
      </c>
      <c r="T144" s="24" t="n">
        <v>370</v>
      </c>
      <c r="U144" s="24" t="n">
        <v>2.4</v>
      </c>
      <c r="V144" s="24" t="n">
        <v>0.36</v>
      </c>
      <c r="W144" s="2" t="n">
        <v>0.4</v>
      </c>
      <c r="Z144" s="18"/>
      <c r="AA144" s="20"/>
      <c r="AB144" s="20"/>
      <c r="AC144" s="19" t="e">
        <f aca="false">(AB144-AA144)/AB144</f>
        <v>#DIV/0!</v>
      </c>
    </row>
    <row r="145" customFormat="false" ht="14.25" hidden="false" customHeight="true" outlineLevel="0" collapsed="false">
      <c r="A145" s="18" t="s">
        <v>200</v>
      </c>
      <c r="B145" s="18" t="s">
        <v>200</v>
      </c>
      <c r="C145" s="18" t="s">
        <v>40</v>
      </c>
      <c r="E145" s="2" t="n">
        <f aca="false">INDEX(FieldSites!F:F, MATCH(Ch2_FieldSurvey!B145,FieldSites!C:C,0))</f>
        <v>2157</v>
      </c>
      <c r="F145" s="2" t="n">
        <f aca="false">INDEX(FieldSites!G:G, MATCH(Ch2_FieldSurvey!B145,FieldSites!C:C,0))</f>
        <v>-119.772719</v>
      </c>
      <c r="G145" s="2" t="n">
        <f aca="false">INDEX(FieldSites!H:H, MATCH(Ch2_FieldSurvey!B145,FieldSites!C:C,0))</f>
        <v>37.767781</v>
      </c>
      <c r="H145" s="18" t="n">
        <v>1</v>
      </c>
      <c r="I145" s="21" t="s">
        <v>201</v>
      </c>
      <c r="J145" s="22" t="n">
        <v>44371</v>
      </c>
      <c r="K145" s="23"/>
      <c r="L145" s="22" t="n">
        <v>44372</v>
      </c>
      <c r="M145" s="23" t="n">
        <v>0.34375</v>
      </c>
      <c r="O145" s="1" t="s">
        <v>202</v>
      </c>
      <c r="P145" s="16" t="s">
        <v>203</v>
      </c>
      <c r="R145" s="16" t="s">
        <v>204</v>
      </c>
      <c r="S145" s="4" t="s">
        <v>205</v>
      </c>
      <c r="T145" s="24" t="n">
        <v>340</v>
      </c>
      <c r="U145" s="24" t="n">
        <v>2.9</v>
      </c>
      <c r="V145" s="24" t="n">
        <v>0.36</v>
      </c>
      <c r="W145" s="2" t="n">
        <v>0.3</v>
      </c>
      <c r="Z145" s="18"/>
      <c r="AA145" s="20"/>
      <c r="AB145" s="20"/>
      <c r="AC145" s="19" t="e">
        <f aca="false">(AB145-AA145)/AB145</f>
        <v>#DIV/0!</v>
      </c>
    </row>
    <row r="146" customFormat="false" ht="14.25" hidden="false" customHeight="true" outlineLevel="0" collapsed="false">
      <c r="A146" s="18" t="s">
        <v>200</v>
      </c>
      <c r="B146" s="18" t="s">
        <v>200</v>
      </c>
      <c r="C146" s="18" t="s">
        <v>40</v>
      </c>
      <c r="E146" s="2" t="n">
        <f aca="false">INDEX(FieldSites!F:F, MATCH(Ch2_FieldSurvey!B146,FieldSites!C:C,0))</f>
        <v>2157</v>
      </c>
      <c r="F146" s="2" t="n">
        <f aca="false">INDEX(FieldSites!G:G, MATCH(Ch2_FieldSurvey!B146,FieldSites!C:C,0))</f>
        <v>-119.772719</v>
      </c>
      <c r="G146" s="2" t="n">
        <f aca="false">INDEX(FieldSites!H:H, MATCH(Ch2_FieldSurvey!B146,FieldSites!C:C,0))</f>
        <v>37.767781</v>
      </c>
      <c r="H146" s="18" t="n">
        <v>1</v>
      </c>
      <c r="I146" s="21" t="s">
        <v>201</v>
      </c>
      <c r="J146" s="22" t="n">
        <v>44371</v>
      </c>
      <c r="K146" s="23"/>
      <c r="L146" s="22" t="n">
        <v>44372</v>
      </c>
      <c r="M146" s="23" t="n">
        <v>0.34375</v>
      </c>
      <c r="O146" s="1" t="s">
        <v>202</v>
      </c>
      <c r="P146" s="16" t="s">
        <v>203</v>
      </c>
      <c r="R146" s="16" t="s">
        <v>204</v>
      </c>
      <c r="S146" s="4" t="s">
        <v>205</v>
      </c>
      <c r="T146" s="24" t="n">
        <v>315</v>
      </c>
      <c r="U146" s="24" t="n">
        <v>2.6</v>
      </c>
      <c r="V146" s="24" t="n">
        <v>0.33</v>
      </c>
      <c r="W146" s="2" t="n">
        <v>0.4</v>
      </c>
      <c r="Z146" s="18"/>
      <c r="AA146" s="20"/>
      <c r="AB146" s="20"/>
      <c r="AC146" s="19" t="e">
        <f aca="false">(AB146-AA146)/AB146</f>
        <v>#DIV/0!</v>
      </c>
    </row>
    <row r="147" customFormat="false" ht="14.25" hidden="false" customHeight="true" outlineLevel="0" collapsed="false">
      <c r="A147" s="18" t="s">
        <v>200</v>
      </c>
      <c r="B147" s="18" t="s">
        <v>200</v>
      </c>
      <c r="C147" s="18" t="s">
        <v>40</v>
      </c>
      <c r="E147" s="2" t="n">
        <f aca="false">INDEX(FieldSites!F:F, MATCH(Ch2_FieldSurvey!B147,FieldSites!C:C,0))</f>
        <v>2157</v>
      </c>
      <c r="F147" s="2" t="n">
        <f aca="false">INDEX(FieldSites!G:G, MATCH(Ch2_FieldSurvey!B147,FieldSites!C:C,0))</f>
        <v>-119.772719</v>
      </c>
      <c r="G147" s="2" t="n">
        <f aca="false">INDEX(FieldSites!H:H, MATCH(Ch2_FieldSurvey!B147,FieldSites!C:C,0))</f>
        <v>37.767781</v>
      </c>
      <c r="H147" s="18" t="n">
        <v>2</v>
      </c>
      <c r="I147" s="21" t="s">
        <v>206</v>
      </c>
      <c r="J147" s="22" t="n">
        <v>44371</v>
      </c>
      <c r="K147" s="23"/>
      <c r="L147" s="22" t="n">
        <v>44372</v>
      </c>
      <c r="M147" s="23" t="n">
        <v>0.34375</v>
      </c>
      <c r="O147" s="1" t="s">
        <v>207</v>
      </c>
      <c r="P147" s="16" t="s">
        <v>203</v>
      </c>
      <c r="R147" s="16" t="s">
        <v>204</v>
      </c>
      <c r="S147" s="4" t="s">
        <v>205</v>
      </c>
      <c r="T147" s="24" t="n">
        <v>335</v>
      </c>
      <c r="U147" s="24" t="n">
        <v>2.2</v>
      </c>
      <c r="V147" s="24" t="n">
        <v>0.31</v>
      </c>
      <c r="W147" s="2" t="n">
        <v>0.3</v>
      </c>
      <c r="Z147" s="18"/>
      <c r="AA147" s="20"/>
      <c r="AB147" s="20"/>
      <c r="AC147" s="19" t="e">
        <f aca="false">(AB147-AA147)/AB147</f>
        <v>#DIV/0!</v>
      </c>
    </row>
    <row r="148" customFormat="false" ht="14.25" hidden="false" customHeight="true" outlineLevel="0" collapsed="false">
      <c r="A148" s="18" t="s">
        <v>200</v>
      </c>
      <c r="B148" s="18" t="s">
        <v>200</v>
      </c>
      <c r="C148" s="18" t="s">
        <v>40</v>
      </c>
      <c r="E148" s="2" t="n">
        <f aca="false">INDEX(FieldSites!F:F, MATCH(Ch2_FieldSurvey!B148,FieldSites!C:C,0))</f>
        <v>2157</v>
      </c>
      <c r="F148" s="2" t="n">
        <f aca="false">INDEX(FieldSites!G:G, MATCH(Ch2_FieldSurvey!B148,FieldSites!C:C,0))</f>
        <v>-119.772719</v>
      </c>
      <c r="G148" s="2" t="n">
        <f aca="false">INDEX(FieldSites!H:H, MATCH(Ch2_FieldSurvey!B148,FieldSites!C:C,0))</f>
        <v>37.767781</v>
      </c>
      <c r="H148" s="18" t="n">
        <v>2</v>
      </c>
      <c r="I148" s="21" t="s">
        <v>206</v>
      </c>
      <c r="J148" s="22" t="n">
        <v>44371</v>
      </c>
      <c r="K148" s="23"/>
      <c r="L148" s="22" t="n">
        <v>44372</v>
      </c>
      <c r="M148" s="23" t="n">
        <v>0.34375</v>
      </c>
      <c r="O148" s="1" t="s">
        <v>207</v>
      </c>
      <c r="P148" s="16" t="s">
        <v>203</v>
      </c>
      <c r="R148" s="16" t="s">
        <v>204</v>
      </c>
      <c r="S148" s="4" t="s">
        <v>205</v>
      </c>
      <c r="T148" s="24" t="n">
        <v>380</v>
      </c>
      <c r="U148" s="24" t="n">
        <v>2.4</v>
      </c>
      <c r="V148" s="24" t="n">
        <v>0.34</v>
      </c>
      <c r="W148" s="2" t="n">
        <v>0.8</v>
      </c>
      <c r="Z148" s="18"/>
      <c r="AA148" s="20"/>
      <c r="AB148" s="20"/>
      <c r="AC148" s="19" t="e">
        <f aca="false">(AB148-AA148)/AB148</f>
        <v>#DIV/0!</v>
      </c>
    </row>
    <row r="149" customFormat="false" ht="14.25" hidden="false" customHeight="true" outlineLevel="0" collapsed="false">
      <c r="A149" s="18" t="s">
        <v>200</v>
      </c>
      <c r="B149" s="18" t="s">
        <v>200</v>
      </c>
      <c r="C149" s="18" t="s">
        <v>40</v>
      </c>
      <c r="E149" s="2" t="n">
        <f aca="false">INDEX(FieldSites!F:F, MATCH(Ch2_FieldSurvey!B149,FieldSites!C:C,0))</f>
        <v>2157</v>
      </c>
      <c r="F149" s="2" t="n">
        <f aca="false">INDEX(FieldSites!G:G, MATCH(Ch2_FieldSurvey!B149,FieldSites!C:C,0))</f>
        <v>-119.772719</v>
      </c>
      <c r="G149" s="2" t="n">
        <f aca="false">INDEX(FieldSites!H:H, MATCH(Ch2_FieldSurvey!B149,FieldSites!C:C,0))</f>
        <v>37.767781</v>
      </c>
      <c r="H149" s="18" t="n">
        <v>2</v>
      </c>
      <c r="I149" s="21" t="s">
        <v>206</v>
      </c>
      <c r="J149" s="22" t="n">
        <v>44371</v>
      </c>
      <c r="K149" s="23"/>
      <c r="L149" s="22" t="n">
        <v>44372</v>
      </c>
      <c r="M149" s="23" t="n">
        <v>0.34375</v>
      </c>
      <c r="O149" s="1" t="s">
        <v>207</v>
      </c>
      <c r="P149" s="16" t="s">
        <v>203</v>
      </c>
      <c r="R149" s="16" t="s">
        <v>204</v>
      </c>
      <c r="S149" s="4" t="s">
        <v>205</v>
      </c>
      <c r="T149" s="24" t="n">
        <v>320</v>
      </c>
      <c r="U149" s="24" t="n">
        <v>2.3</v>
      </c>
      <c r="V149" s="24" t="n">
        <v>0.3</v>
      </c>
      <c r="Z149" s="18"/>
      <c r="AA149" s="20"/>
      <c r="AB149" s="20"/>
      <c r="AC149" s="19" t="e">
        <f aca="false">(AB149-AA149)/AB149</f>
        <v>#DIV/0!</v>
      </c>
    </row>
    <row r="150" customFormat="false" ht="14.25" hidden="false" customHeight="true" outlineLevel="0" collapsed="false">
      <c r="A150" s="18" t="s">
        <v>200</v>
      </c>
      <c r="B150" s="18" t="s">
        <v>200</v>
      </c>
      <c r="C150" s="18" t="s">
        <v>40</v>
      </c>
      <c r="E150" s="2" t="n">
        <f aca="false">INDEX(FieldSites!F:F, MATCH(Ch2_FieldSurvey!B150,FieldSites!C:C,0))</f>
        <v>2157</v>
      </c>
      <c r="F150" s="2" t="n">
        <f aca="false">INDEX(FieldSites!G:G, MATCH(Ch2_FieldSurvey!B150,FieldSites!C:C,0))</f>
        <v>-119.772719</v>
      </c>
      <c r="G150" s="2" t="n">
        <f aca="false">INDEX(FieldSites!H:H, MATCH(Ch2_FieldSurvey!B150,FieldSites!C:C,0))</f>
        <v>37.767781</v>
      </c>
      <c r="H150" s="18" t="n">
        <v>3</v>
      </c>
      <c r="I150" s="21" t="s">
        <v>208</v>
      </c>
      <c r="J150" s="22" t="n">
        <v>44371</v>
      </c>
      <c r="K150" s="23"/>
      <c r="L150" s="22" t="n">
        <v>44372</v>
      </c>
      <c r="M150" s="23" t="n">
        <v>0.354861111111111</v>
      </c>
      <c r="O150" s="1" t="s">
        <v>209</v>
      </c>
      <c r="P150" s="16" t="s">
        <v>203</v>
      </c>
      <c r="R150" s="16" t="s">
        <v>204</v>
      </c>
      <c r="S150" s="4" t="s">
        <v>210</v>
      </c>
      <c r="T150" s="24" t="n">
        <v>370</v>
      </c>
      <c r="U150" s="24" t="n">
        <v>3</v>
      </c>
      <c r="V150" s="24" t="n">
        <v>0.3</v>
      </c>
      <c r="W150" s="2" t="n">
        <v>0.3</v>
      </c>
      <c r="Z150" s="18"/>
      <c r="AA150" s="20"/>
      <c r="AB150" s="20"/>
      <c r="AC150" s="19" t="e">
        <f aca="false">(AB150-AA150)/AB150</f>
        <v>#DIV/0!</v>
      </c>
    </row>
    <row r="151" customFormat="false" ht="14.25" hidden="false" customHeight="true" outlineLevel="0" collapsed="false">
      <c r="A151" s="18" t="s">
        <v>200</v>
      </c>
      <c r="B151" s="18" t="s">
        <v>200</v>
      </c>
      <c r="C151" s="18" t="s">
        <v>40</v>
      </c>
      <c r="E151" s="2" t="n">
        <f aca="false">INDEX(FieldSites!F:F, MATCH(Ch2_FieldSurvey!B151,FieldSites!C:C,0))</f>
        <v>2157</v>
      </c>
      <c r="F151" s="2" t="n">
        <f aca="false">INDEX(FieldSites!G:G, MATCH(Ch2_FieldSurvey!B151,FieldSites!C:C,0))</f>
        <v>-119.772719</v>
      </c>
      <c r="G151" s="2" t="n">
        <f aca="false">INDEX(FieldSites!H:H, MATCH(Ch2_FieldSurvey!B151,FieldSites!C:C,0))</f>
        <v>37.767781</v>
      </c>
      <c r="H151" s="18" t="n">
        <v>3</v>
      </c>
      <c r="I151" s="21" t="s">
        <v>208</v>
      </c>
      <c r="J151" s="22" t="n">
        <v>44371</v>
      </c>
      <c r="K151" s="23"/>
      <c r="L151" s="22" t="n">
        <v>44372</v>
      </c>
      <c r="M151" s="23" t="n">
        <v>0.354861111111111</v>
      </c>
      <c r="O151" s="1" t="s">
        <v>209</v>
      </c>
      <c r="P151" s="16" t="s">
        <v>203</v>
      </c>
      <c r="R151" s="16" t="s">
        <v>204</v>
      </c>
      <c r="S151" s="4" t="s">
        <v>210</v>
      </c>
      <c r="T151" s="24" t="n">
        <v>350</v>
      </c>
      <c r="U151" s="24" t="n">
        <v>3</v>
      </c>
      <c r="V151" s="24" t="n">
        <v>0.31</v>
      </c>
      <c r="W151" s="2" t="n">
        <v>0.2</v>
      </c>
      <c r="Z151" s="18"/>
      <c r="AA151" s="20"/>
      <c r="AB151" s="20"/>
      <c r="AC151" s="19" t="e">
        <f aca="false">(AB151-AA151)/AB151</f>
        <v>#DIV/0!</v>
      </c>
    </row>
    <row r="152" customFormat="false" ht="14.25" hidden="false" customHeight="true" outlineLevel="0" collapsed="false">
      <c r="A152" s="18" t="s">
        <v>200</v>
      </c>
      <c r="B152" s="18" t="s">
        <v>200</v>
      </c>
      <c r="C152" s="18" t="s">
        <v>40</v>
      </c>
      <c r="E152" s="2" t="n">
        <f aca="false">INDEX(FieldSites!F:F, MATCH(Ch2_FieldSurvey!B152,FieldSites!C:C,0))</f>
        <v>2157</v>
      </c>
      <c r="F152" s="2" t="n">
        <f aca="false">INDEX(FieldSites!G:G, MATCH(Ch2_FieldSurvey!B152,FieldSites!C:C,0))</f>
        <v>-119.772719</v>
      </c>
      <c r="G152" s="2" t="n">
        <f aca="false">INDEX(FieldSites!H:H, MATCH(Ch2_FieldSurvey!B152,FieldSites!C:C,0))</f>
        <v>37.767781</v>
      </c>
      <c r="H152" s="18" t="n">
        <v>3</v>
      </c>
      <c r="I152" s="21" t="s">
        <v>208</v>
      </c>
      <c r="J152" s="22" t="n">
        <v>44371</v>
      </c>
      <c r="K152" s="23"/>
      <c r="L152" s="22" t="n">
        <v>44372</v>
      </c>
      <c r="M152" s="23" t="n">
        <v>0.354861111111111</v>
      </c>
      <c r="O152" s="1" t="s">
        <v>209</v>
      </c>
      <c r="P152" s="16" t="s">
        <v>203</v>
      </c>
      <c r="R152" s="16" t="s">
        <v>204</v>
      </c>
      <c r="S152" s="4" t="s">
        <v>210</v>
      </c>
      <c r="T152" s="24" t="n">
        <v>380</v>
      </c>
      <c r="U152" s="24" t="n">
        <v>2.7</v>
      </c>
      <c r="V152" s="24" t="n">
        <v>0.37</v>
      </c>
      <c r="W152" s="2" t="n">
        <v>0.1</v>
      </c>
      <c r="Z152" s="18"/>
      <c r="AA152" s="20"/>
      <c r="AB152" s="20"/>
      <c r="AC152" s="19" t="e">
        <f aca="false">(AB152-AA152)/AB152</f>
        <v>#DIV/0!</v>
      </c>
    </row>
    <row r="153" customFormat="false" ht="14.25" hidden="false" customHeight="true" outlineLevel="0" collapsed="false">
      <c r="A153" s="18" t="s">
        <v>200</v>
      </c>
      <c r="B153" s="18" t="s">
        <v>200</v>
      </c>
      <c r="C153" s="18" t="s">
        <v>40</v>
      </c>
      <c r="E153" s="2" t="n">
        <f aca="false">INDEX(FieldSites!F:F, MATCH(Ch2_FieldSurvey!B153,FieldSites!C:C,0))</f>
        <v>2157</v>
      </c>
      <c r="F153" s="2" t="n">
        <f aca="false">INDEX(FieldSites!G:G, MATCH(Ch2_FieldSurvey!B153,FieldSites!C:C,0))</f>
        <v>-119.772719</v>
      </c>
      <c r="G153" s="2" t="n">
        <f aca="false">INDEX(FieldSites!H:H, MATCH(Ch2_FieldSurvey!B153,FieldSites!C:C,0))</f>
        <v>37.767781</v>
      </c>
      <c r="H153" s="18" t="n">
        <v>4</v>
      </c>
      <c r="I153" s="21" t="s">
        <v>211</v>
      </c>
      <c r="J153" s="22" t="n">
        <v>44371</v>
      </c>
      <c r="K153" s="23"/>
      <c r="L153" s="22" t="n">
        <v>44372</v>
      </c>
      <c r="M153" s="23" t="n">
        <v>0.354861111111111</v>
      </c>
      <c r="O153" s="1" t="s">
        <v>212</v>
      </c>
      <c r="P153" s="16" t="s">
        <v>203</v>
      </c>
      <c r="R153" s="16" t="s">
        <v>204</v>
      </c>
      <c r="S153" s="4" t="s">
        <v>210</v>
      </c>
      <c r="T153" s="24" t="n">
        <v>355</v>
      </c>
      <c r="U153" s="24" t="n">
        <v>2.7</v>
      </c>
      <c r="V153" s="24" t="n">
        <v>0.35</v>
      </c>
      <c r="W153" s="2" t="n">
        <v>0.3</v>
      </c>
      <c r="Z153" s="18"/>
      <c r="AA153" s="20"/>
      <c r="AB153" s="20"/>
      <c r="AC153" s="19" t="e">
        <f aca="false">(AB153-AA153)/AB153</f>
        <v>#DIV/0!</v>
      </c>
    </row>
    <row r="154" customFormat="false" ht="14.25" hidden="false" customHeight="true" outlineLevel="0" collapsed="false">
      <c r="A154" s="18" t="s">
        <v>200</v>
      </c>
      <c r="B154" s="18" t="s">
        <v>200</v>
      </c>
      <c r="C154" s="18" t="s">
        <v>40</v>
      </c>
      <c r="E154" s="2" t="n">
        <f aca="false">INDEX(FieldSites!F:F, MATCH(Ch2_FieldSurvey!B154,FieldSites!C:C,0))</f>
        <v>2157</v>
      </c>
      <c r="F154" s="2" t="n">
        <f aca="false">INDEX(FieldSites!G:G, MATCH(Ch2_FieldSurvey!B154,FieldSites!C:C,0))</f>
        <v>-119.772719</v>
      </c>
      <c r="G154" s="2" t="n">
        <f aca="false">INDEX(FieldSites!H:H, MATCH(Ch2_FieldSurvey!B154,FieldSites!C:C,0))</f>
        <v>37.767781</v>
      </c>
      <c r="H154" s="18" t="n">
        <v>4</v>
      </c>
      <c r="I154" s="21" t="s">
        <v>211</v>
      </c>
      <c r="J154" s="22" t="n">
        <v>44371</v>
      </c>
      <c r="K154" s="23"/>
      <c r="L154" s="22" t="n">
        <v>44372</v>
      </c>
      <c r="M154" s="23" t="n">
        <v>0.354861111111111</v>
      </c>
      <c r="O154" s="1" t="s">
        <v>212</v>
      </c>
      <c r="P154" s="16" t="s">
        <v>203</v>
      </c>
      <c r="R154" s="16" t="s">
        <v>204</v>
      </c>
      <c r="S154" s="4" t="s">
        <v>210</v>
      </c>
      <c r="T154" s="24" t="n">
        <v>260</v>
      </c>
      <c r="U154" s="24" t="n">
        <v>2.8</v>
      </c>
      <c r="V154" s="24" t="n">
        <v>0.32</v>
      </c>
      <c r="W154" s="2" t="n">
        <v>0.1</v>
      </c>
      <c r="Z154" s="18"/>
      <c r="AA154" s="20"/>
      <c r="AB154" s="20"/>
      <c r="AC154" s="19" t="e">
        <f aca="false">(AB154-AA154)/AB154</f>
        <v>#DIV/0!</v>
      </c>
    </row>
    <row r="155" customFormat="false" ht="14.25" hidden="false" customHeight="true" outlineLevel="0" collapsed="false">
      <c r="A155" s="18" t="s">
        <v>200</v>
      </c>
      <c r="B155" s="18" t="s">
        <v>200</v>
      </c>
      <c r="C155" s="18" t="s">
        <v>40</v>
      </c>
      <c r="E155" s="2" t="n">
        <f aca="false">INDEX(FieldSites!F:F, MATCH(Ch2_FieldSurvey!B155,FieldSites!C:C,0))</f>
        <v>2157</v>
      </c>
      <c r="F155" s="2" t="n">
        <f aca="false">INDEX(FieldSites!G:G, MATCH(Ch2_FieldSurvey!B155,FieldSites!C:C,0))</f>
        <v>-119.772719</v>
      </c>
      <c r="G155" s="2" t="n">
        <f aca="false">INDEX(FieldSites!H:H, MATCH(Ch2_FieldSurvey!B155,FieldSites!C:C,0))</f>
        <v>37.767781</v>
      </c>
      <c r="H155" s="18" t="n">
        <v>4</v>
      </c>
      <c r="I155" s="21" t="s">
        <v>211</v>
      </c>
      <c r="J155" s="22" t="n">
        <v>44371</v>
      </c>
      <c r="K155" s="23"/>
      <c r="L155" s="22" t="n">
        <v>44372</v>
      </c>
      <c r="M155" s="23" t="n">
        <v>0.354861111111111</v>
      </c>
      <c r="O155" s="1" t="s">
        <v>212</v>
      </c>
      <c r="P155" s="16" t="s">
        <v>203</v>
      </c>
      <c r="R155" s="16" t="s">
        <v>204</v>
      </c>
      <c r="S155" s="4" t="s">
        <v>210</v>
      </c>
      <c r="T155" s="24" t="n">
        <v>320</v>
      </c>
      <c r="U155" s="24" t="n">
        <v>3.1</v>
      </c>
      <c r="V155" s="24" t="n">
        <v>0.3</v>
      </c>
      <c r="W155" s="2" t="n">
        <v>0.2</v>
      </c>
      <c r="Z155" s="18"/>
      <c r="AA155" s="20"/>
      <c r="AB155" s="20"/>
      <c r="AC155" s="19" t="e">
        <f aca="false">(AB155-AA155)/AB155</f>
        <v>#DIV/0!</v>
      </c>
    </row>
    <row r="156" customFormat="false" ht="14.25" hidden="false" customHeight="true" outlineLevel="0" collapsed="false">
      <c r="A156" s="18" t="s">
        <v>200</v>
      </c>
      <c r="B156" s="18" t="s">
        <v>200</v>
      </c>
      <c r="C156" s="18" t="s">
        <v>40</v>
      </c>
      <c r="E156" s="2" t="n">
        <f aca="false">INDEX(FieldSites!F:F, MATCH(Ch2_FieldSurvey!B156,FieldSites!C:C,0))</f>
        <v>2157</v>
      </c>
      <c r="F156" s="2" t="n">
        <f aca="false">INDEX(FieldSites!G:G, MATCH(Ch2_FieldSurvey!B156,FieldSites!C:C,0))</f>
        <v>-119.772719</v>
      </c>
      <c r="G156" s="2" t="n">
        <f aca="false">INDEX(FieldSites!H:H, MATCH(Ch2_FieldSurvey!B156,FieldSites!C:C,0))</f>
        <v>37.767781</v>
      </c>
      <c r="H156" s="18" t="n">
        <v>5</v>
      </c>
      <c r="I156" s="21" t="s">
        <v>213</v>
      </c>
      <c r="J156" s="22" t="n">
        <v>44371</v>
      </c>
      <c r="K156" s="23"/>
      <c r="L156" s="22" t="n">
        <v>44372</v>
      </c>
      <c r="M156" s="23" t="n">
        <v>0.356944444444444</v>
      </c>
      <c r="O156" s="1" t="s">
        <v>214</v>
      </c>
      <c r="P156" s="16" t="s">
        <v>203</v>
      </c>
      <c r="R156" s="16" t="s">
        <v>204</v>
      </c>
      <c r="S156" s="4" t="s">
        <v>215</v>
      </c>
      <c r="T156" s="24" t="n">
        <v>270</v>
      </c>
      <c r="U156" s="24" t="n">
        <v>2.2</v>
      </c>
      <c r="V156" s="24" t="n">
        <v>0.36</v>
      </c>
      <c r="W156" s="2" t="n">
        <v>0.2</v>
      </c>
      <c r="Z156" s="18"/>
      <c r="AA156" s="20"/>
      <c r="AB156" s="20"/>
      <c r="AC156" s="19" t="e">
        <f aca="false">(AB156-AA156)/AB156</f>
        <v>#DIV/0!</v>
      </c>
    </row>
    <row r="157" customFormat="false" ht="14.25" hidden="false" customHeight="true" outlineLevel="0" collapsed="false">
      <c r="A157" s="18" t="s">
        <v>200</v>
      </c>
      <c r="B157" s="18" t="s">
        <v>200</v>
      </c>
      <c r="C157" s="18" t="s">
        <v>40</v>
      </c>
      <c r="E157" s="2" t="n">
        <f aca="false">INDEX(FieldSites!F:F, MATCH(Ch2_FieldSurvey!B157,FieldSites!C:C,0))</f>
        <v>2157</v>
      </c>
      <c r="F157" s="2" t="n">
        <f aca="false">INDEX(FieldSites!G:G, MATCH(Ch2_FieldSurvey!B157,FieldSites!C:C,0))</f>
        <v>-119.772719</v>
      </c>
      <c r="G157" s="2" t="n">
        <f aca="false">INDEX(FieldSites!H:H, MATCH(Ch2_FieldSurvey!B157,FieldSites!C:C,0))</f>
        <v>37.767781</v>
      </c>
      <c r="H157" s="18" t="n">
        <v>5</v>
      </c>
      <c r="I157" s="21" t="s">
        <v>213</v>
      </c>
      <c r="J157" s="22" t="n">
        <v>44371</v>
      </c>
      <c r="K157" s="23"/>
      <c r="L157" s="22" t="n">
        <v>44372</v>
      </c>
      <c r="M157" s="23" t="n">
        <v>0.356944444444444</v>
      </c>
      <c r="O157" s="1" t="s">
        <v>214</v>
      </c>
      <c r="P157" s="16" t="s">
        <v>203</v>
      </c>
      <c r="R157" s="16" t="s">
        <v>204</v>
      </c>
      <c r="S157" s="4" t="s">
        <v>215</v>
      </c>
      <c r="T157" s="24" t="n">
        <v>270</v>
      </c>
      <c r="U157" s="24" t="n">
        <v>2.4</v>
      </c>
      <c r="V157" s="24" t="n">
        <v>0.32</v>
      </c>
      <c r="W157" s="2" t="n">
        <v>0.3</v>
      </c>
      <c r="Z157" s="18"/>
      <c r="AA157" s="20"/>
      <c r="AB157" s="20"/>
      <c r="AC157" s="19" t="e">
        <f aca="false">(AB157-AA157)/AB157</f>
        <v>#DIV/0!</v>
      </c>
    </row>
    <row r="158" customFormat="false" ht="14.25" hidden="false" customHeight="true" outlineLevel="0" collapsed="false">
      <c r="A158" s="18" t="s">
        <v>200</v>
      </c>
      <c r="B158" s="18" t="s">
        <v>200</v>
      </c>
      <c r="C158" s="18" t="s">
        <v>40</v>
      </c>
      <c r="E158" s="2" t="n">
        <f aca="false">INDEX(FieldSites!F:F, MATCH(Ch2_FieldSurvey!B158,FieldSites!C:C,0))</f>
        <v>2157</v>
      </c>
      <c r="F158" s="2" t="n">
        <f aca="false">INDEX(FieldSites!G:G, MATCH(Ch2_FieldSurvey!B158,FieldSites!C:C,0))</f>
        <v>-119.772719</v>
      </c>
      <c r="G158" s="2" t="n">
        <f aca="false">INDEX(FieldSites!H:H, MATCH(Ch2_FieldSurvey!B158,FieldSites!C:C,0))</f>
        <v>37.767781</v>
      </c>
      <c r="H158" s="18" t="n">
        <v>5</v>
      </c>
      <c r="I158" s="21" t="s">
        <v>213</v>
      </c>
      <c r="J158" s="22" t="n">
        <v>44371</v>
      </c>
      <c r="K158" s="23"/>
      <c r="L158" s="22" t="n">
        <v>44372</v>
      </c>
      <c r="M158" s="23" t="n">
        <v>0.356944444444444</v>
      </c>
      <c r="O158" s="1" t="s">
        <v>214</v>
      </c>
      <c r="P158" s="16" t="s">
        <v>203</v>
      </c>
      <c r="R158" s="16" t="s">
        <v>204</v>
      </c>
      <c r="S158" s="4" t="s">
        <v>215</v>
      </c>
      <c r="T158" s="24" t="n">
        <v>292</v>
      </c>
      <c r="U158" s="24" t="n">
        <v>2</v>
      </c>
      <c r="V158" s="24" t="n">
        <v>0.38</v>
      </c>
      <c r="W158" s="2" t="n">
        <v>0.1</v>
      </c>
      <c r="Z158" s="18"/>
      <c r="AA158" s="20"/>
      <c r="AB158" s="20"/>
      <c r="AC158" s="19" t="e">
        <f aca="false">(AB158-AA158)/AB158</f>
        <v>#DIV/0!</v>
      </c>
    </row>
    <row r="159" customFormat="false" ht="14.25" hidden="false" customHeight="true" outlineLevel="0" collapsed="false">
      <c r="A159" s="18" t="s">
        <v>200</v>
      </c>
      <c r="B159" s="18" t="s">
        <v>200</v>
      </c>
      <c r="C159" s="18" t="s">
        <v>40</v>
      </c>
      <c r="E159" s="2" t="n">
        <f aca="false">INDEX(FieldSites!F:F, MATCH(Ch2_FieldSurvey!B159,FieldSites!C:C,0))</f>
        <v>2157</v>
      </c>
      <c r="F159" s="2" t="n">
        <f aca="false">INDEX(FieldSites!G:G, MATCH(Ch2_FieldSurvey!B159,FieldSites!C:C,0))</f>
        <v>-119.772719</v>
      </c>
      <c r="G159" s="2" t="n">
        <f aca="false">INDEX(FieldSites!H:H, MATCH(Ch2_FieldSurvey!B159,FieldSites!C:C,0))</f>
        <v>37.767781</v>
      </c>
      <c r="H159" s="18" t="n">
        <v>6</v>
      </c>
      <c r="I159" s="21" t="s">
        <v>216</v>
      </c>
      <c r="J159" s="22" t="n">
        <v>44371</v>
      </c>
      <c r="K159" s="23"/>
      <c r="L159" s="22" t="n">
        <v>44372</v>
      </c>
      <c r="M159" s="23" t="n">
        <v>0.356944444444444</v>
      </c>
      <c r="O159" s="1" t="s">
        <v>217</v>
      </c>
      <c r="P159" s="16" t="s">
        <v>203</v>
      </c>
      <c r="R159" s="16" t="s">
        <v>204</v>
      </c>
      <c r="S159" s="4" t="s">
        <v>215</v>
      </c>
      <c r="T159" s="24" t="n">
        <v>320</v>
      </c>
      <c r="U159" s="24" t="n">
        <v>2.2</v>
      </c>
      <c r="V159" s="24" t="n">
        <v>0.31</v>
      </c>
      <c r="W159" s="2" t="n">
        <v>0.3</v>
      </c>
      <c r="Z159" s="18"/>
      <c r="AA159" s="20"/>
      <c r="AB159" s="20"/>
      <c r="AC159" s="19" t="e">
        <f aca="false">(AB159-AA159)/AB159</f>
        <v>#DIV/0!</v>
      </c>
    </row>
    <row r="160" customFormat="false" ht="14.25" hidden="false" customHeight="true" outlineLevel="0" collapsed="false">
      <c r="A160" s="18" t="s">
        <v>200</v>
      </c>
      <c r="B160" s="18" t="s">
        <v>200</v>
      </c>
      <c r="C160" s="18" t="s">
        <v>40</v>
      </c>
      <c r="E160" s="2" t="n">
        <f aca="false">INDEX(FieldSites!F:F, MATCH(Ch2_FieldSurvey!B160,FieldSites!C:C,0))</f>
        <v>2157</v>
      </c>
      <c r="F160" s="2" t="n">
        <f aca="false">INDEX(FieldSites!G:G, MATCH(Ch2_FieldSurvey!B160,FieldSites!C:C,0))</f>
        <v>-119.772719</v>
      </c>
      <c r="G160" s="2" t="n">
        <f aca="false">INDEX(FieldSites!H:H, MATCH(Ch2_FieldSurvey!B160,FieldSites!C:C,0))</f>
        <v>37.767781</v>
      </c>
      <c r="H160" s="18" t="n">
        <v>6</v>
      </c>
      <c r="I160" s="21" t="s">
        <v>216</v>
      </c>
      <c r="J160" s="22" t="n">
        <v>44371</v>
      </c>
      <c r="K160" s="23"/>
      <c r="L160" s="22" t="n">
        <v>44372</v>
      </c>
      <c r="M160" s="23" t="n">
        <v>0.356944444444444</v>
      </c>
      <c r="O160" s="1" t="s">
        <v>217</v>
      </c>
      <c r="P160" s="16" t="s">
        <v>203</v>
      </c>
      <c r="R160" s="16" t="s">
        <v>204</v>
      </c>
      <c r="S160" s="4" t="s">
        <v>215</v>
      </c>
      <c r="T160" s="24" t="n">
        <v>325</v>
      </c>
      <c r="U160" s="24" t="n">
        <v>2.1</v>
      </c>
      <c r="V160" s="24" t="n">
        <v>0.31</v>
      </c>
      <c r="W160" s="2" t="n">
        <v>0.2</v>
      </c>
      <c r="Z160" s="18"/>
      <c r="AA160" s="20"/>
      <c r="AB160" s="20"/>
      <c r="AC160" s="19" t="e">
        <f aca="false">(AB160-AA160)/AB160</f>
        <v>#DIV/0!</v>
      </c>
    </row>
    <row r="161" customFormat="false" ht="14.25" hidden="false" customHeight="true" outlineLevel="0" collapsed="false">
      <c r="A161" s="18" t="s">
        <v>200</v>
      </c>
      <c r="B161" s="18" t="s">
        <v>200</v>
      </c>
      <c r="C161" s="18" t="s">
        <v>40</v>
      </c>
      <c r="E161" s="2" t="n">
        <f aca="false">INDEX(FieldSites!F:F, MATCH(Ch2_FieldSurvey!B161,FieldSites!C:C,0))</f>
        <v>2157</v>
      </c>
      <c r="F161" s="2" t="n">
        <f aca="false">INDEX(FieldSites!G:G, MATCH(Ch2_FieldSurvey!B161,FieldSites!C:C,0))</f>
        <v>-119.772719</v>
      </c>
      <c r="G161" s="2" t="n">
        <f aca="false">INDEX(FieldSites!H:H, MATCH(Ch2_FieldSurvey!B161,FieldSites!C:C,0))</f>
        <v>37.767781</v>
      </c>
      <c r="H161" s="18" t="n">
        <v>6</v>
      </c>
      <c r="I161" s="21" t="s">
        <v>216</v>
      </c>
      <c r="J161" s="22" t="n">
        <v>44371</v>
      </c>
      <c r="K161" s="23"/>
      <c r="L161" s="22" t="n">
        <v>44372</v>
      </c>
      <c r="M161" s="23" t="n">
        <v>0.356944444444444</v>
      </c>
      <c r="O161" s="1" t="s">
        <v>217</v>
      </c>
      <c r="P161" s="16" t="s">
        <v>203</v>
      </c>
      <c r="R161" s="16" t="s">
        <v>204</v>
      </c>
      <c r="S161" s="4" t="s">
        <v>215</v>
      </c>
      <c r="T161" s="24" t="n">
        <v>380</v>
      </c>
      <c r="U161" s="24" t="n">
        <v>2.3</v>
      </c>
      <c r="V161" s="24" t="n">
        <v>0.31</v>
      </c>
      <c r="W161" s="2" t="n">
        <v>0.4</v>
      </c>
      <c r="Z161" s="18"/>
      <c r="AA161" s="20"/>
      <c r="AB161" s="20"/>
      <c r="AC161" s="19" t="e">
        <f aca="false">(AB161-AA161)/AB161</f>
        <v>#DIV/0!</v>
      </c>
    </row>
    <row r="162" customFormat="false" ht="14.25" hidden="false" customHeight="true" outlineLevel="0" collapsed="false">
      <c r="A162" s="18" t="s">
        <v>200</v>
      </c>
      <c r="B162" s="18" t="s">
        <v>200</v>
      </c>
      <c r="C162" s="18" t="s">
        <v>40</v>
      </c>
      <c r="E162" s="2" t="n">
        <f aca="false">INDEX(FieldSites!F:F, MATCH(Ch2_FieldSurvey!B162,FieldSites!C:C,0))</f>
        <v>2157</v>
      </c>
      <c r="F162" s="2" t="n">
        <f aca="false">INDEX(FieldSites!G:G, MATCH(Ch2_FieldSurvey!B162,FieldSites!C:C,0))</f>
        <v>-119.772719</v>
      </c>
      <c r="G162" s="2" t="n">
        <f aca="false">INDEX(FieldSites!H:H, MATCH(Ch2_FieldSurvey!B162,FieldSites!C:C,0))</f>
        <v>37.767781</v>
      </c>
      <c r="H162" s="18" t="n">
        <v>7</v>
      </c>
      <c r="I162" s="21" t="s">
        <v>218</v>
      </c>
      <c r="J162" s="22" t="n">
        <v>44371</v>
      </c>
      <c r="K162" s="23"/>
      <c r="L162" s="22" t="n">
        <v>44372</v>
      </c>
      <c r="M162" s="23" t="n">
        <v>0.361111111111111</v>
      </c>
      <c r="O162" s="1" t="s">
        <v>219</v>
      </c>
      <c r="P162" s="16" t="s">
        <v>203</v>
      </c>
      <c r="R162" s="16" t="s">
        <v>204</v>
      </c>
      <c r="S162" s="4" t="s">
        <v>220</v>
      </c>
      <c r="T162" s="24" t="n">
        <v>292</v>
      </c>
      <c r="U162" s="24" t="n">
        <v>2.3</v>
      </c>
      <c r="V162" s="24" t="n">
        <v>0.3</v>
      </c>
      <c r="W162" s="2" t="n">
        <v>0.3</v>
      </c>
      <c r="Z162" s="18"/>
      <c r="AA162" s="20"/>
      <c r="AB162" s="20"/>
      <c r="AC162" s="19" t="e">
        <f aca="false">(AB162-AA162)/AB162</f>
        <v>#DIV/0!</v>
      </c>
    </row>
    <row r="163" customFormat="false" ht="14.25" hidden="false" customHeight="true" outlineLevel="0" collapsed="false">
      <c r="A163" s="18" t="s">
        <v>200</v>
      </c>
      <c r="B163" s="18" t="s">
        <v>200</v>
      </c>
      <c r="C163" s="18" t="s">
        <v>40</v>
      </c>
      <c r="E163" s="2" t="n">
        <f aca="false">INDEX(FieldSites!F:F, MATCH(Ch2_FieldSurvey!B163,FieldSites!C:C,0))</f>
        <v>2157</v>
      </c>
      <c r="F163" s="2" t="n">
        <f aca="false">INDEX(FieldSites!G:G, MATCH(Ch2_FieldSurvey!B163,FieldSites!C:C,0))</f>
        <v>-119.772719</v>
      </c>
      <c r="G163" s="2" t="n">
        <f aca="false">INDEX(FieldSites!H:H, MATCH(Ch2_FieldSurvey!B163,FieldSites!C:C,0))</f>
        <v>37.767781</v>
      </c>
      <c r="H163" s="18" t="n">
        <v>7</v>
      </c>
      <c r="I163" s="21" t="s">
        <v>218</v>
      </c>
      <c r="J163" s="22" t="n">
        <v>44371</v>
      </c>
      <c r="K163" s="23"/>
      <c r="L163" s="22" t="n">
        <v>44372</v>
      </c>
      <c r="M163" s="23" t="n">
        <v>0.361111111111111</v>
      </c>
      <c r="O163" s="1" t="s">
        <v>219</v>
      </c>
      <c r="P163" s="16" t="s">
        <v>203</v>
      </c>
      <c r="R163" s="16" t="s">
        <v>204</v>
      </c>
      <c r="S163" s="4" t="s">
        <v>220</v>
      </c>
      <c r="T163" s="24" t="n">
        <v>315</v>
      </c>
      <c r="U163" s="24" t="n">
        <v>2.3</v>
      </c>
      <c r="V163" s="24" t="n">
        <v>0.28</v>
      </c>
      <c r="W163" s="2" t="n">
        <v>0.3</v>
      </c>
      <c r="Z163" s="18"/>
      <c r="AA163" s="20"/>
      <c r="AB163" s="20"/>
      <c r="AC163" s="19" t="e">
        <f aca="false">(AB163-AA163)/AB163</f>
        <v>#DIV/0!</v>
      </c>
    </row>
    <row r="164" customFormat="false" ht="14.25" hidden="false" customHeight="true" outlineLevel="0" collapsed="false">
      <c r="A164" s="18" t="s">
        <v>200</v>
      </c>
      <c r="B164" s="18" t="s">
        <v>200</v>
      </c>
      <c r="C164" s="18" t="s">
        <v>40</v>
      </c>
      <c r="E164" s="2" t="n">
        <f aca="false">INDEX(FieldSites!F:F, MATCH(Ch2_FieldSurvey!B164,FieldSites!C:C,0))</f>
        <v>2157</v>
      </c>
      <c r="F164" s="2" t="n">
        <f aca="false">INDEX(FieldSites!G:G, MATCH(Ch2_FieldSurvey!B164,FieldSites!C:C,0))</f>
        <v>-119.772719</v>
      </c>
      <c r="G164" s="2" t="n">
        <f aca="false">INDEX(FieldSites!H:H, MATCH(Ch2_FieldSurvey!B164,FieldSites!C:C,0))</f>
        <v>37.767781</v>
      </c>
      <c r="H164" s="18" t="n">
        <v>7</v>
      </c>
      <c r="I164" s="21" t="s">
        <v>218</v>
      </c>
      <c r="J164" s="22" t="n">
        <v>44371</v>
      </c>
      <c r="K164" s="23"/>
      <c r="L164" s="22" t="n">
        <v>44372</v>
      </c>
      <c r="M164" s="23" t="n">
        <v>0.361111111111111</v>
      </c>
      <c r="O164" s="1" t="s">
        <v>219</v>
      </c>
      <c r="P164" s="16" t="s">
        <v>203</v>
      </c>
      <c r="R164" s="16" t="s">
        <v>204</v>
      </c>
      <c r="S164" s="4" t="s">
        <v>220</v>
      </c>
      <c r="T164" s="24" t="n">
        <v>330</v>
      </c>
      <c r="U164" s="24" t="n">
        <v>2.3</v>
      </c>
      <c r="V164" s="24" t="n">
        <v>0.33</v>
      </c>
      <c r="W164" s="2" t="n">
        <v>0.2</v>
      </c>
      <c r="Z164" s="18"/>
      <c r="AA164" s="20"/>
      <c r="AB164" s="20"/>
      <c r="AC164" s="19" t="e">
        <f aca="false">(AB164-AA164)/AB164</f>
        <v>#DIV/0!</v>
      </c>
    </row>
    <row r="165" customFormat="false" ht="14.25" hidden="false" customHeight="true" outlineLevel="0" collapsed="false">
      <c r="A165" s="18" t="s">
        <v>200</v>
      </c>
      <c r="B165" s="18" t="s">
        <v>200</v>
      </c>
      <c r="C165" s="18" t="s">
        <v>40</v>
      </c>
      <c r="E165" s="2" t="n">
        <f aca="false">INDEX(FieldSites!F:F, MATCH(Ch2_FieldSurvey!B165,FieldSites!C:C,0))</f>
        <v>2157</v>
      </c>
      <c r="F165" s="2" t="n">
        <f aca="false">INDEX(FieldSites!G:G, MATCH(Ch2_FieldSurvey!B165,FieldSites!C:C,0))</f>
        <v>-119.772719</v>
      </c>
      <c r="G165" s="2" t="n">
        <f aca="false">INDEX(FieldSites!H:H, MATCH(Ch2_FieldSurvey!B165,FieldSites!C:C,0))</f>
        <v>37.767781</v>
      </c>
      <c r="H165" s="18" t="n">
        <v>8</v>
      </c>
      <c r="I165" s="21" t="s">
        <v>221</v>
      </c>
      <c r="J165" s="22" t="n">
        <v>44371</v>
      </c>
      <c r="K165" s="23"/>
      <c r="L165" s="22" t="n">
        <v>44372</v>
      </c>
      <c r="M165" s="23" t="n">
        <v>0.361111111111111</v>
      </c>
      <c r="O165" s="1" t="s">
        <v>222</v>
      </c>
      <c r="P165" s="16" t="s">
        <v>203</v>
      </c>
      <c r="R165" s="16" t="s">
        <v>204</v>
      </c>
      <c r="S165" s="4" t="s">
        <v>220</v>
      </c>
      <c r="T165" s="24" t="n">
        <v>274</v>
      </c>
      <c r="U165" s="24" t="n">
        <v>2.8</v>
      </c>
      <c r="V165" s="24" t="n">
        <v>0.34</v>
      </c>
      <c r="W165" s="2" t="n">
        <v>0.4</v>
      </c>
      <c r="Z165" s="18"/>
      <c r="AA165" s="20"/>
      <c r="AB165" s="20"/>
      <c r="AC165" s="19" t="e">
        <f aca="false">(AB165-AA165)/AB165</f>
        <v>#DIV/0!</v>
      </c>
    </row>
    <row r="166" customFormat="false" ht="14.25" hidden="false" customHeight="true" outlineLevel="0" collapsed="false">
      <c r="A166" s="18" t="s">
        <v>200</v>
      </c>
      <c r="B166" s="18" t="s">
        <v>200</v>
      </c>
      <c r="C166" s="18" t="s">
        <v>40</v>
      </c>
      <c r="E166" s="2" t="n">
        <f aca="false">INDEX(FieldSites!F:F, MATCH(Ch2_FieldSurvey!B166,FieldSites!C:C,0))</f>
        <v>2157</v>
      </c>
      <c r="F166" s="2" t="n">
        <f aca="false">INDEX(FieldSites!G:G, MATCH(Ch2_FieldSurvey!B166,FieldSites!C:C,0))</f>
        <v>-119.772719</v>
      </c>
      <c r="G166" s="2" t="n">
        <f aca="false">INDEX(FieldSites!H:H, MATCH(Ch2_FieldSurvey!B166,FieldSites!C:C,0))</f>
        <v>37.767781</v>
      </c>
      <c r="H166" s="18" t="n">
        <v>8</v>
      </c>
      <c r="I166" s="21" t="s">
        <v>221</v>
      </c>
      <c r="J166" s="22" t="n">
        <v>44371</v>
      </c>
      <c r="K166" s="23"/>
      <c r="L166" s="22" t="n">
        <v>44372</v>
      </c>
      <c r="M166" s="23" t="n">
        <v>0.361111111111111</v>
      </c>
      <c r="O166" s="1" t="s">
        <v>222</v>
      </c>
      <c r="P166" s="16" t="s">
        <v>203</v>
      </c>
      <c r="R166" s="16" t="s">
        <v>204</v>
      </c>
      <c r="S166" s="4" t="s">
        <v>220</v>
      </c>
      <c r="T166" s="24" t="n">
        <v>275</v>
      </c>
      <c r="U166" s="24" t="n">
        <v>2.8</v>
      </c>
      <c r="V166" s="24" t="n">
        <v>0.29</v>
      </c>
      <c r="W166" s="2" t="n">
        <v>0.3</v>
      </c>
      <c r="Z166" s="18"/>
      <c r="AA166" s="20"/>
      <c r="AB166" s="20"/>
      <c r="AC166" s="19" t="e">
        <f aca="false">(AB166-AA166)/AB166</f>
        <v>#DIV/0!</v>
      </c>
    </row>
    <row r="167" customFormat="false" ht="14.25" hidden="false" customHeight="true" outlineLevel="0" collapsed="false">
      <c r="A167" s="18" t="s">
        <v>200</v>
      </c>
      <c r="B167" s="18" t="s">
        <v>200</v>
      </c>
      <c r="C167" s="18" t="s">
        <v>40</v>
      </c>
      <c r="E167" s="2" t="n">
        <f aca="false">INDEX(FieldSites!F:F, MATCH(Ch2_FieldSurvey!B167,FieldSites!C:C,0))</f>
        <v>2157</v>
      </c>
      <c r="F167" s="2" t="n">
        <f aca="false">INDEX(FieldSites!G:G, MATCH(Ch2_FieldSurvey!B167,FieldSites!C:C,0))</f>
        <v>-119.772719</v>
      </c>
      <c r="G167" s="2" t="n">
        <f aca="false">INDEX(FieldSites!H:H, MATCH(Ch2_FieldSurvey!B167,FieldSites!C:C,0))</f>
        <v>37.767781</v>
      </c>
      <c r="H167" s="18" t="n">
        <v>8</v>
      </c>
      <c r="I167" s="21" t="s">
        <v>221</v>
      </c>
      <c r="J167" s="22" t="n">
        <v>44371</v>
      </c>
      <c r="K167" s="23"/>
      <c r="L167" s="22" t="n">
        <v>44372</v>
      </c>
      <c r="M167" s="23" t="n">
        <v>0.361111111111111</v>
      </c>
      <c r="O167" s="1" t="s">
        <v>222</v>
      </c>
      <c r="P167" s="16" t="s">
        <v>203</v>
      </c>
      <c r="R167" s="16" t="s">
        <v>204</v>
      </c>
      <c r="S167" s="4" t="s">
        <v>220</v>
      </c>
      <c r="T167" s="24" t="n">
        <v>280</v>
      </c>
      <c r="U167" s="24" t="n">
        <v>2.6</v>
      </c>
      <c r="V167" s="24" t="n">
        <v>0.28</v>
      </c>
      <c r="Z167" s="18"/>
      <c r="AA167" s="20"/>
      <c r="AB167" s="20"/>
      <c r="AC167" s="19" t="e">
        <f aca="false">(AB167-AA167)/AB167</f>
        <v>#DIV/0!</v>
      </c>
    </row>
    <row r="168" customFormat="false" ht="14.25" hidden="false" customHeight="true" outlineLevel="0" collapsed="false">
      <c r="A168" s="18" t="s">
        <v>200</v>
      </c>
      <c r="B168" s="18" t="s">
        <v>200</v>
      </c>
      <c r="C168" s="18" t="s">
        <v>40</v>
      </c>
      <c r="E168" s="2" t="n">
        <f aca="false">INDEX(FieldSites!F:F, MATCH(Ch2_FieldSurvey!B168,FieldSites!C:C,0))</f>
        <v>2157</v>
      </c>
      <c r="F168" s="2" t="n">
        <f aca="false">INDEX(FieldSites!G:G, MATCH(Ch2_FieldSurvey!B168,FieldSites!C:C,0))</f>
        <v>-119.772719</v>
      </c>
      <c r="G168" s="2" t="n">
        <f aca="false">INDEX(FieldSites!H:H, MATCH(Ch2_FieldSurvey!B168,FieldSites!C:C,0))</f>
        <v>37.767781</v>
      </c>
      <c r="H168" s="18" t="n">
        <v>9</v>
      </c>
      <c r="I168" s="21" t="s">
        <v>223</v>
      </c>
      <c r="J168" s="22" t="n">
        <v>44371</v>
      </c>
      <c r="K168" s="23"/>
      <c r="L168" s="22" t="n">
        <v>44372</v>
      </c>
      <c r="M168" s="23" t="n">
        <v>0.364583333333333</v>
      </c>
      <c r="O168" s="1" t="s">
        <v>224</v>
      </c>
      <c r="P168" s="16" t="s">
        <v>203</v>
      </c>
      <c r="R168" s="16" t="s">
        <v>204</v>
      </c>
      <c r="S168" s="4" t="s">
        <v>225</v>
      </c>
      <c r="T168" s="24" t="n">
        <v>312</v>
      </c>
      <c r="U168" s="24" t="n">
        <v>2.6</v>
      </c>
      <c r="V168" s="24" t="n">
        <v>0.27</v>
      </c>
      <c r="W168" s="2" t="n">
        <v>0.7</v>
      </c>
      <c r="Z168" s="18"/>
      <c r="AA168" s="20"/>
      <c r="AB168" s="20"/>
      <c r="AC168" s="19" t="e">
        <f aca="false">(AB168-AA168)/AB168</f>
        <v>#DIV/0!</v>
      </c>
    </row>
    <row r="169" customFormat="false" ht="14.25" hidden="false" customHeight="true" outlineLevel="0" collapsed="false">
      <c r="A169" s="18" t="s">
        <v>200</v>
      </c>
      <c r="B169" s="18" t="s">
        <v>200</v>
      </c>
      <c r="C169" s="18" t="s">
        <v>40</v>
      </c>
      <c r="E169" s="2" t="n">
        <f aca="false">INDEX(FieldSites!F:F, MATCH(Ch2_FieldSurvey!B169,FieldSites!C:C,0))</f>
        <v>2157</v>
      </c>
      <c r="F169" s="2" t="n">
        <f aca="false">INDEX(FieldSites!G:G, MATCH(Ch2_FieldSurvey!B169,FieldSites!C:C,0))</f>
        <v>-119.772719</v>
      </c>
      <c r="G169" s="2" t="n">
        <f aca="false">INDEX(FieldSites!H:H, MATCH(Ch2_FieldSurvey!B169,FieldSites!C:C,0))</f>
        <v>37.767781</v>
      </c>
      <c r="H169" s="18" t="n">
        <v>9</v>
      </c>
      <c r="I169" s="21" t="s">
        <v>223</v>
      </c>
      <c r="J169" s="22" t="n">
        <v>44371</v>
      </c>
      <c r="K169" s="23"/>
      <c r="L169" s="22" t="n">
        <v>44372</v>
      </c>
      <c r="M169" s="23" t="n">
        <v>0.364583333333333</v>
      </c>
      <c r="O169" s="1" t="s">
        <v>224</v>
      </c>
      <c r="P169" s="16" t="s">
        <v>203</v>
      </c>
      <c r="R169" s="16" t="s">
        <v>204</v>
      </c>
      <c r="S169" s="4" t="s">
        <v>225</v>
      </c>
      <c r="T169" s="24" t="n">
        <v>421</v>
      </c>
      <c r="U169" s="24" t="n">
        <v>2.8</v>
      </c>
      <c r="V169" s="24" t="n">
        <v>0.21</v>
      </c>
      <c r="W169" s="2" t="n">
        <v>0.2</v>
      </c>
      <c r="Z169" s="18"/>
      <c r="AA169" s="20"/>
      <c r="AB169" s="20"/>
      <c r="AC169" s="19" t="e">
        <f aca="false">(AB169-AA169)/AB169</f>
        <v>#DIV/0!</v>
      </c>
    </row>
    <row r="170" customFormat="false" ht="14.25" hidden="false" customHeight="true" outlineLevel="0" collapsed="false">
      <c r="A170" s="18" t="s">
        <v>200</v>
      </c>
      <c r="B170" s="18" t="s">
        <v>200</v>
      </c>
      <c r="C170" s="18" t="s">
        <v>40</v>
      </c>
      <c r="E170" s="2" t="n">
        <f aca="false">INDEX(FieldSites!F:F, MATCH(Ch2_FieldSurvey!B170,FieldSites!C:C,0))</f>
        <v>2157</v>
      </c>
      <c r="F170" s="2" t="n">
        <f aca="false">INDEX(FieldSites!G:G, MATCH(Ch2_FieldSurvey!B170,FieldSites!C:C,0))</f>
        <v>-119.772719</v>
      </c>
      <c r="G170" s="2" t="n">
        <f aca="false">INDEX(FieldSites!H:H, MATCH(Ch2_FieldSurvey!B170,FieldSites!C:C,0))</f>
        <v>37.767781</v>
      </c>
      <c r="H170" s="18" t="n">
        <v>9</v>
      </c>
      <c r="I170" s="21" t="s">
        <v>223</v>
      </c>
      <c r="J170" s="22" t="n">
        <v>44371</v>
      </c>
      <c r="K170" s="23"/>
      <c r="L170" s="22" t="n">
        <v>44372</v>
      </c>
      <c r="M170" s="23" t="n">
        <v>0.364583333333333</v>
      </c>
      <c r="O170" s="1" t="s">
        <v>224</v>
      </c>
      <c r="P170" s="16" t="s">
        <v>203</v>
      </c>
      <c r="R170" s="16" t="s">
        <v>204</v>
      </c>
      <c r="S170" s="4" t="s">
        <v>225</v>
      </c>
      <c r="T170" s="24" t="n">
        <v>394</v>
      </c>
      <c r="U170" s="24" t="n">
        <v>2.8</v>
      </c>
      <c r="V170" s="24" t="n">
        <v>0.26</v>
      </c>
      <c r="W170" s="2" t="n">
        <v>0</v>
      </c>
      <c r="Z170" s="18"/>
      <c r="AA170" s="20"/>
      <c r="AB170" s="20"/>
      <c r="AC170" s="19" t="e">
        <f aca="false">(AB170-AA170)/AB170</f>
        <v>#DIV/0!</v>
      </c>
    </row>
    <row r="171" customFormat="false" ht="14.25" hidden="false" customHeight="true" outlineLevel="0" collapsed="false">
      <c r="A171" s="18" t="s">
        <v>200</v>
      </c>
      <c r="B171" s="18" t="s">
        <v>200</v>
      </c>
      <c r="C171" s="18" t="s">
        <v>40</v>
      </c>
      <c r="E171" s="2" t="n">
        <f aca="false">INDEX(FieldSites!F:F, MATCH(Ch2_FieldSurvey!B171,FieldSites!C:C,0))</f>
        <v>2157</v>
      </c>
      <c r="F171" s="2" t="n">
        <f aca="false">INDEX(FieldSites!G:G, MATCH(Ch2_FieldSurvey!B171,FieldSites!C:C,0))</f>
        <v>-119.772719</v>
      </c>
      <c r="G171" s="2" t="n">
        <f aca="false">INDEX(FieldSites!H:H, MATCH(Ch2_FieldSurvey!B171,FieldSites!C:C,0))</f>
        <v>37.767781</v>
      </c>
      <c r="H171" s="18" t="n">
        <v>10</v>
      </c>
      <c r="I171" s="21" t="s">
        <v>226</v>
      </c>
      <c r="J171" s="22" t="n">
        <v>44371</v>
      </c>
      <c r="K171" s="23"/>
      <c r="L171" s="22" t="n">
        <v>44372</v>
      </c>
      <c r="M171" s="23" t="n">
        <v>0.364583333333333</v>
      </c>
      <c r="O171" s="1" t="s">
        <v>227</v>
      </c>
      <c r="P171" s="16" t="s">
        <v>203</v>
      </c>
      <c r="R171" s="16" t="s">
        <v>204</v>
      </c>
      <c r="S171" s="4" t="s">
        <v>225</v>
      </c>
      <c r="T171" s="24" t="n">
        <v>370</v>
      </c>
      <c r="U171" s="24" t="n">
        <v>2.2</v>
      </c>
      <c r="V171" s="24" t="n">
        <v>0.39</v>
      </c>
      <c r="W171" s="2" t="n">
        <v>0.5</v>
      </c>
      <c r="Z171" s="18"/>
      <c r="AA171" s="20"/>
      <c r="AB171" s="20"/>
      <c r="AC171" s="19" t="e">
        <f aca="false">(AB171-AA171)/AB171</f>
        <v>#DIV/0!</v>
      </c>
    </row>
    <row r="172" customFormat="false" ht="14.25" hidden="false" customHeight="true" outlineLevel="0" collapsed="false">
      <c r="A172" s="18" t="s">
        <v>200</v>
      </c>
      <c r="B172" s="18" t="s">
        <v>200</v>
      </c>
      <c r="C172" s="18" t="s">
        <v>40</v>
      </c>
      <c r="E172" s="2" t="n">
        <f aca="false">INDEX(FieldSites!F:F, MATCH(Ch2_FieldSurvey!B172,FieldSites!C:C,0))</f>
        <v>2157</v>
      </c>
      <c r="F172" s="2" t="n">
        <f aca="false">INDEX(FieldSites!G:G, MATCH(Ch2_FieldSurvey!B172,FieldSites!C:C,0))</f>
        <v>-119.772719</v>
      </c>
      <c r="G172" s="2" t="n">
        <f aca="false">INDEX(FieldSites!H:H, MATCH(Ch2_FieldSurvey!B172,FieldSites!C:C,0))</f>
        <v>37.767781</v>
      </c>
      <c r="H172" s="18" t="n">
        <v>10</v>
      </c>
      <c r="I172" s="21" t="s">
        <v>226</v>
      </c>
      <c r="J172" s="22" t="n">
        <v>44371</v>
      </c>
      <c r="K172" s="23"/>
      <c r="L172" s="22" t="n">
        <v>44372</v>
      </c>
      <c r="M172" s="23" t="n">
        <v>0.364583333333333</v>
      </c>
      <c r="O172" s="1" t="s">
        <v>227</v>
      </c>
      <c r="P172" s="16" t="s">
        <v>203</v>
      </c>
      <c r="R172" s="16" t="s">
        <v>204</v>
      </c>
      <c r="S172" s="4" t="s">
        <v>225</v>
      </c>
      <c r="T172" s="24" t="n">
        <v>355</v>
      </c>
      <c r="U172" s="24" t="n">
        <v>2.3</v>
      </c>
      <c r="V172" s="24" t="n">
        <v>0.39</v>
      </c>
      <c r="W172" s="2" t="n">
        <v>0.3</v>
      </c>
      <c r="Z172" s="18"/>
      <c r="AA172" s="20"/>
      <c r="AB172" s="20"/>
      <c r="AC172" s="19" t="e">
        <f aca="false">(AB172-AA172)/AB172</f>
        <v>#DIV/0!</v>
      </c>
    </row>
    <row r="173" customFormat="false" ht="14.25" hidden="false" customHeight="true" outlineLevel="0" collapsed="false">
      <c r="A173" s="18" t="s">
        <v>200</v>
      </c>
      <c r="B173" s="18" t="s">
        <v>200</v>
      </c>
      <c r="C173" s="18" t="s">
        <v>40</v>
      </c>
      <c r="E173" s="2" t="n">
        <f aca="false">INDEX(FieldSites!F:F, MATCH(Ch2_FieldSurvey!B173,FieldSites!C:C,0))</f>
        <v>2157</v>
      </c>
      <c r="F173" s="2" t="n">
        <f aca="false">INDEX(FieldSites!G:G, MATCH(Ch2_FieldSurvey!B173,FieldSites!C:C,0))</f>
        <v>-119.772719</v>
      </c>
      <c r="G173" s="2" t="n">
        <f aca="false">INDEX(FieldSites!H:H, MATCH(Ch2_FieldSurvey!B173,FieldSites!C:C,0))</f>
        <v>37.767781</v>
      </c>
      <c r="H173" s="18" t="n">
        <v>10</v>
      </c>
      <c r="I173" s="21" t="s">
        <v>226</v>
      </c>
      <c r="J173" s="22" t="n">
        <v>44371</v>
      </c>
      <c r="K173" s="23"/>
      <c r="L173" s="22" t="n">
        <v>44372</v>
      </c>
      <c r="M173" s="23" t="n">
        <v>0.364583333333333</v>
      </c>
      <c r="O173" s="1" t="s">
        <v>227</v>
      </c>
      <c r="P173" s="16" t="s">
        <v>203</v>
      </c>
      <c r="R173" s="16" t="s">
        <v>204</v>
      </c>
      <c r="S173" s="4" t="s">
        <v>225</v>
      </c>
      <c r="T173" s="24" t="n">
        <v>340</v>
      </c>
      <c r="U173" s="24" t="n">
        <v>2.4</v>
      </c>
      <c r="V173" s="24" t="n">
        <v>0.31</v>
      </c>
      <c r="W173" s="2" t="n">
        <v>0.5</v>
      </c>
      <c r="Z173" s="18"/>
      <c r="AA173" s="20"/>
      <c r="AB173" s="20"/>
      <c r="AC173" s="19" t="e">
        <f aca="false">(AB173-AA173)/AB173</f>
        <v>#DIV/0!</v>
      </c>
    </row>
    <row r="174" customFormat="false" ht="14.25" hidden="false" customHeight="true" outlineLevel="0" collapsed="false">
      <c r="A174" s="18" t="s">
        <v>228</v>
      </c>
      <c r="B174" s="18" t="s">
        <v>228</v>
      </c>
      <c r="C174" s="18" t="s">
        <v>40</v>
      </c>
      <c r="E174" s="2" t="n">
        <f aca="false">INDEX(FieldSites!F:F, MATCH(Ch2_FieldSurvey!B174,FieldSites!C:C,0))</f>
        <v>1901</v>
      </c>
      <c r="F174" s="2" t="n">
        <f aca="false">INDEX(FieldSites!G:G, MATCH(Ch2_FieldSurvey!B174,FieldSites!C:C,0))</f>
        <v>-119.802952</v>
      </c>
      <c r="G174" s="2" t="n">
        <f aca="false">INDEX(FieldSites!H:H, MATCH(Ch2_FieldSurvey!B174,FieldSites!C:C,0))</f>
        <v>37.755986</v>
      </c>
      <c r="H174" s="18" t="n">
        <v>1</v>
      </c>
      <c r="I174" s="21" t="s">
        <v>229</v>
      </c>
      <c r="J174" s="22" t="n">
        <v>44371</v>
      </c>
      <c r="K174" s="23"/>
      <c r="L174" s="22" t="n">
        <v>44372</v>
      </c>
      <c r="M174" s="23" t="n">
        <v>0.369444444444444</v>
      </c>
      <c r="O174" s="1" t="s">
        <v>230</v>
      </c>
      <c r="P174" s="16" t="s">
        <v>203</v>
      </c>
      <c r="R174" s="16" t="s">
        <v>204</v>
      </c>
      <c r="S174" s="4" t="s">
        <v>231</v>
      </c>
      <c r="T174" s="24" t="n">
        <v>195</v>
      </c>
      <c r="U174" s="24" t="n">
        <v>2.2</v>
      </c>
      <c r="V174" s="24" t="n">
        <v>0.18</v>
      </c>
      <c r="W174" s="2" t="n">
        <v>0.1</v>
      </c>
      <c r="Z174" s="18"/>
      <c r="AA174" s="20"/>
      <c r="AB174" s="20"/>
      <c r="AC174" s="19" t="e">
        <f aca="false">(AB174-AA174)/AB174</f>
        <v>#DIV/0!</v>
      </c>
    </row>
    <row r="175" customFormat="false" ht="14.25" hidden="false" customHeight="true" outlineLevel="0" collapsed="false">
      <c r="A175" s="18" t="s">
        <v>228</v>
      </c>
      <c r="B175" s="18" t="s">
        <v>228</v>
      </c>
      <c r="C175" s="18" t="s">
        <v>40</v>
      </c>
      <c r="E175" s="2" t="n">
        <f aca="false">INDEX(FieldSites!F:F, MATCH(Ch2_FieldSurvey!B175,FieldSites!C:C,0))</f>
        <v>1901</v>
      </c>
      <c r="F175" s="2" t="n">
        <f aca="false">INDEX(FieldSites!G:G, MATCH(Ch2_FieldSurvey!B175,FieldSites!C:C,0))</f>
        <v>-119.802952</v>
      </c>
      <c r="G175" s="2" t="n">
        <f aca="false">INDEX(FieldSites!H:H, MATCH(Ch2_FieldSurvey!B175,FieldSites!C:C,0))</f>
        <v>37.755986</v>
      </c>
      <c r="H175" s="18" t="n">
        <v>1</v>
      </c>
      <c r="I175" s="21" t="s">
        <v>229</v>
      </c>
      <c r="J175" s="22" t="n">
        <v>44371</v>
      </c>
      <c r="K175" s="23"/>
      <c r="L175" s="22" t="n">
        <v>44372</v>
      </c>
      <c r="M175" s="23" t="n">
        <v>0.369444444444444</v>
      </c>
      <c r="O175" s="1" t="s">
        <v>230</v>
      </c>
      <c r="P175" s="16" t="s">
        <v>203</v>
      </c>
      <c r="R175" s="16" t="s">
        <v>204</v>
      </c>
      <c r="S175" s="4" t="s">
        <v>231</v>
      </c>
      <c r="T175" s="24" t="n">
        <v>228</v>
      </c>
      <c r="U175" s="24" t="n">
        <v>1.9</v>
      </c>
      <c r="V175" s="24" t="n">
        <v>0.15</v>
      </c>
      <c r="W175" s="2" t="n">
        <v>0.1</v>
      </c>
      <c r="Z175" s="18"/>
      <c r="AA175" s="20"/>
      <c r="AB175" s="20"/>
      <c r="AC175" s="19" t="e">
        <f aca="false">(AB175-AA175)/AB175</f>
        <v>#DIV/0!</v>
      </c>
    </row>
    <row r="176" customFormat="false" ht="14.25" hidden="false" customHeight="true" outlineLevel="0" collapsed="false">
      <c r="A176" s="18" t="s">
        <v>228</v>
      </c>
      <c r="B176" s="18" t="s">
        <v>228</v>
      </c>
      <c r="C176" s="18" t="s">
        <v>40</v>
      </c>
      <c r="E176" s="2" t="n">
        <f aca="false">INDEX(FieldSites!F:F, MATCH(Ch2_FieldSurvey!B176,FieldSites!C:C,0))</f>
        <v>1901</v>
      </c>
      <c r="F176" s="2" t="n">
        <f aca="false">INDEX(FieldSites!G:G, MATCH(Ch2_FieldSurvey!B176,FieldSites!C:C,0))</f>
        <v>-119.802952</v>
      </c>
      <c r="G176" s="2" t="n">
        <f aca="false">INDEX(FieldSites!H:H, MATCH(Ch2_FieldSurvey!B176,FieldSites!C:C,0))</f>
        <v>37.755986</v>
      </c>
      <c r="H176" s="18" t="n">
        <v>1</v>
      </c>
      <c r="I176" s="21" t="s">
        <v>229</v>
      </c>
      <c r="J176" s="22" t="n">
        <v>44371</v>
      </c>
      <c r="K176" s="23"/>
      <c r="L176" s="22" t="n">
        <v>44372</v>
      </c>
      <c r="M176" s="23" t="n">
        <v>0.369444444444444</v>
      </c>
      <c r="O176" s="1" t="s">
        <v>230</v>
      </c>
      <c r="P176" s="16" t="s">
        <v>203</v>
      </c>
      <c r="R176" s="16" t="s">
        <v>204</v>
      </c>
      <c r="S176" s="4" t="s">
        <v>231</v>
      </c>
      <c r="T176" s="24" t="n">
        <v>223</v>
      </c>
      <c r="U176" s="24" t="n">
        <v>2.1</v>
      </c>
      <c r="V176" s="24" t="n">
        <v>0.18</v>
      </c>
      <c r="W176" s="2" t="n">
        <v>0</v>
      </c>
      <c r="Z176" s="18"/>
      <c r="AA176" s="20"/>
      <c r="AB176" s="20"/>
      <c r="AC176" s="19" t="e">
        <f aca="false">(AB176-AA176)/AB176</f>
        <v>#DIV/0!</v>
      </c>
    </row>
    <row r="177" customFormat="false" ht="14.25" hidden="false" customHeight="true" outlineLevel="0" collapsed="false">
      <c r="A177" s="18" t="s">
        <v>228</v>
      </c>
      <c r="B177" s="18" t="s">
        <v>228</v>
      </c>
      <c r="C177" s="18" t="s">
        <v>40</v>
      </c>
      <c r="E177" s="2" t="n">
        <f aca="false">INDEX(FieldSites!F:F, MATCH(Ch2_FieldSurvey!B177,FieldSites!C:C,0))</f>
        <v>1901</v>
      </c>
      <c r="F177" s="2" t="n">
        <f aca="false">INDEX(FieldSites!G:G, MATCH(Ch2_FieldSurvey!B177,FieldSites!C:C,0))</f>
        <v>-119.802952</v>
      </c>
      <c r="G177" s="2" t="n">
        <f aca="false">INDEX(FieldSites!H:H, MATCH(Ch2_FieldSurvey!B177,FieldSites!C:C,0))</f>
        <v>37.755986</v>
      </c>
      <c r="H177" s="18" t="n">
        <v>2</v>
      </c>
      <c r="I177" s="21" t="s">
        <v>232</v>
      </c>
      <c r="J177" s="22" t="n">
        <v>44371</v>
      </c>
      <c r="K177" s="23"/>
      <c r="L177" s="22" t="n">
        <v>44372</v>
      </c>
      <c r="M177" s="23" t="n">
        <v>0.371527777777778</v>
      </c>
      <c r="O177" s="1" t="s">
        <v>233</v>
      </c>
      <c r="P177" s="16" t="s">
        <v>203</v>
      </c>
      <c r="R177" s="16" t="s">
        <v>204</v>
      </c>
      <c r="S177" s="4" t="s">
        <v>234</v>
      </c>
      <c r="T177" s="24" t="n">
        <v>265</v>
      </c>
      <c r="U177" s="24" t="n">
        <v>2.3</v>
      </c>
      <c r="V177" s="24" t="n">
        <v>0.15</v>
      </c>
      <c r="W177" s="2" t="n">
        <v>0.4</v>
      </c>
      <c r="Z177" s="18"/>
      <c r="AA177" s="20"/>
      <c r="AB177" s="20"/>
      <c r="AC177" s="19" t="e">
        <f aca="false">(AB177-AA177)/AB177</f>
        <v>#DIV/0!</v>
      </c>
    </row>
    <row r="178" customFormat="false" ht="14.25" hidden="false" customHeight="true" outlineLevel="0" collapsed="false">
      <c r="A178" s="18" t="s">
        <v>228</v>
      </c>
      <c r="B178" s="18" t="s">
        <v>228</v>
      </c>
      <c r="C178" s="18" t="s">
        <v>40</v>
      </c>
      <c r="E178" s="2" t="n">
        <f aca="false">INDEX(FieldSites!F:F, MATCH(Ch2_FieldSurvey!B178,FieldSites!C:C,0))</f>
        <v>1901</v>
      </c>
      <c r="F178" s="2" t="n">
        <f aca="false">INDEX(FieldSites!G:G, MATCH(Ch2_FieldSurvey!B178,FieldSites!C:C,0))</f>
        <v>-119.802952</v>
      </c>
      <c r="G178" s="2" t="n">
        <f aca="false">INDEX(FieldSites!H:H, MATCH(Ch2_FieldSurvey!B178,FieldSites!C:C,0))</f>
        <v>37.755986</v>
      </c>
      <c r="H178" s="18" t="n">
        <v>2</v>
      </c>
      <c r="I178" s="21" t="s">
        <v>232</v>
      </c>
      <c r="J178" s="22" t="n">
        <v>44371</v>
      </c>
      <c r="K178" s="23"/>
      <c r="L178" s="22" t="n">
        <v>44372</v>
      </c>
      <c r="M178" s="23" t="n">
        <v>0.371527777777778</v>
      </c>
      <c r="O178" s="1" t="s">
        <v>233</v>
      </c>
      <c r="P178" s="16" t="s">
        <v>203</v>
      </c>
      <c r="R178" s="16" t="s">
        <v>204</v>
      </c>
      <c r="S178" s="4" t="s">
        <v>234</v>
      </c>
      <c r="T178" s="24" t="n">
        <v>255</v>
      </c>
      <c r="U178" s="24" t="n">
        <v>2.7</v>
      </c>
      <c r="V178" s="24" t="n">
        <v>0.15</v>
      </c>
      <c r="W178" s="2" t="n">
        <v>0.4</v>
      </c>
      <c r="Z178" s="18"/>
      <c r="AA178" s="20"/>
      <c r="AB178" s="20"/>
      <c r="AC178" s="19" t="e">
        <f aca="false">(AB178-AA178)/AB178</f>
        <v>#DIV/0!</v>
      </c>
    </row>
    <row r="179" customFormat="false" ht="14.25" hidden="false" customHeight="true" outlineLevel="0" collapsed="false">
      <c r="A179" s="18" t="s">
        <v>228</v>
      </c>
      <c r="B179" s="18" t="s">
        <v>228</v>
      </c>
      <c r="C179" s="18" t="s">
        <v>40</v>
      </c>
      <c r="E179" s="2" t="n">
        <f aca="false">INDEX(FieldSites!F:F, MATCH(Ch2_FieldSurvey!B179,FieldSites!C:C,0))</f>
        <v>1901</v>
      </c>
      <c r="F179" s="2" t="n">
        <f aca="false">INDEX(FieldSites!G:G, MATCH(Ch2_FieldSurvey!B179,FieldSites!C:C,0))</f>
        <v>-119.802952</v>
      </c>
      <c r="G179" s="2" t="n">
        <f aca="false">INDEX(FieldSites!H:H, MATCH(Ch2_FieldSurvey!B179,FieldSites!C:C,0))</f>
        <v>37.755986</v>
      </c>
      <c r="H179" s="18" t="n">
        <v>2</v>
      </c>
      <c r="I179" s="21" t="s">
        <v>232</v>
      </c>
      <c r="J179" s="22" t="n">
        <v>44371</v>
      </c>
      <c r="K179" s="23"/>
      <c r="L179" s="22" t="n">
        <v>44372</v>
      </c>
      <c r="M179" s="23" t="n">
        <v>0.371527777777778</v>
      </c>
      <c r="O179" s="1" t="s">
        <v>233</v>
      </c>
      <c r="P179" s="16" t="s">
        <v>203</v>
      </c>
      <c r="R179" s="16" t="s">
        <v>204</v>
      </c>
      <c r="S179" s="4" t="s">
        <v>234</v>
      </c>
      <c r="T179" s="24" t="n">
        <v>238</v>
      </c>
      <c r="U179" s="24" t="n">
        <v>2.8</v>
      </c>
      <c r="V179" s="24" t="n">
        <v>0.15</v>
      </c>
      <c r="W179" s="2" t="n">
        <v>0.2</v>
      </c>
      <c r="Z179" s="18"/>
      <c r="AA179" s="20"/>
      <c r="AB179" s="20"/>
      <c r="AC179" s="19" t="e">
        <f aca="false">(AB179-AA179)/AB179</f>
        <v>#DIV/0!</v>
      </c>
    </row>
    <row r="180" customFormat="false" ht="14.25" hidden="false" customHeight="true" outlineLevel="0" collapsed="false">
      <c r="A180" s="18" t="s">
        <v>228</v>
      </c>
      <c r="B180" s="18" t="s">
        <v>228</v>
      </c>
      <c r="C180" s="18" t="s">
        <v>40</v>
      </c>
      <c r="E180" s="2" t="n">
        <f aca="false">INDEX(FieldSites!F:F, MATCH(Ch2_FieldSurvey!B180,FieldSites!C:C,0))</f>
        <v>1901</v>
      </c>
      <c r="F180" s="2" t="n">
        <f aca="false">INDEX(FieldSites!G:G, MATCH(Ch2_FieldSurvey!B180,FieldSites!C:C,0))</f>
        <v>-119.802952</v>
      </c>
      <c r="G180" s="2" t="n">
        <f aca="false">INDEX(FieldSites!H:H, MATCH(Ch2_FieldSurvey!B180,FieldSites!C:C,0))</f>
        <v>37.755986</v>
      </c>
      <c r="H180" s="18" t="n">
        <v>3</v>
      </c>
      <c r="I180" s="21" t="s">
        <v>235</v>
      </c>
      <c r="J180" s="22" t="n">
        <v>44371</v>
      </c>
      <c r="K180" s="23"/>
      <c r="L180" s="22" t="n">
        <v>44372</v>
      </c>
      <c r="M180" s="23" t="n">
        <v>0.374305555555556</v>
      </c>
      <c r="O180" s="1" t="s">
        <v>236</v>
      </c>
      <c r="P180" s="16" t="s">
        <v>203</v>
      </c>
      <c r="R180" s="16" t="s">
        <v>204</v>
      </c>
      <c r="S180" s="4" t="s">
        <v>237</v>
      </c>
      <c r="T180" s="24" t="n">
        <v>234</v>
      </c>
      <c r="U180" s="24" t="n">
        <v>2.1</v>
      </c>
      <c r="V180" s="24" t="n">
        <v>0.17</v>
      </c>
      <c r="W180" s="2" t="n">
        <v>0.1</v>
      </c>
      <c r="Z180" s="18"/>
      <c r="AA180" s="20"/>
      <c r="AB180" s="20"/>
      <c r="AC180" s="19" t="e">
        <f aca="false">(AB180-AA180)/AB180</f>
        <v>#DIV/0!</v>
      </c>
    </row>
    <row r="181" customFormat="false" ht="14.25" hidden="false" customHeight="true" outlineLevel="0" collapsed="false">
      <c r="A181" s="18" t="s">
        <v>228</v>
      </c>
      <c r="B181" s="18" t="s">
        <v>228</v>
      </c>
      <c r="C181" s="18" t="s">
        <v>40</v>
      </c>
      <c r="E181" s="2" t="n">
        <f aca="false">INDEX(FieldSites!F:F, MATCH(Ch2_FieldSurvey!B181,FieldSites!C:C,0))</f>
        <v>1901</v>
      </c>
      <c r="F181" s="2" t="n">
        <f aca="false">INDEX(FieldSites!G:G, MATCH(Ch2_FieldSurvey!B181,FieldSites!C:C,0))</f>
        <v>-119.802952</v>
      </c>
      <c r="G181" s="2" t="n">
        <f aca="false">INDEX(FieldSites!H:H, MATCH(Ch2_FieldSurvey!B181,FieldSites!C:C,0))</f>
        <v>37.755986</v>
      </c>
      <c r="H181" s="18" t="n">
        <v>3</v>
      </c>
      <c r="I181" s="21" t="s">
        <v>235</v>
      </c>
      <c r="J181" s="22" t="n">
        <v>44371</v>
      </c>
      <c r="K181" s="23"/>
      <c r="L181" s="22" t="n">
        <v>44372</v>
      </c>
      <c r="M181" s="23" t="n">
        <v>0.374305555555556</v>
      </c>
      <c r="O181" s="1" t="s">
        <v>236</v>
      </c>
      <c r="P181" s="16" t="s">
        <v>203</v>
      </c>
      <c r="R181" s="16" t="s">
        <v>204</v>
      </c>
      <c r="S181" s="4" t="s">
        <v>237</v>
      </c>
      <c r="T181" s="24" t="n">
        <v>271</v>
      </c>
      <c r="U181" s="24" t="n">
        <v>2.3</v>
      </c>
      <c r="V181" s="24" t="n">
        <v>0.19</v>
      </c>
      <c r="W181" s="2" t="n">
        <v>0.4</v>
      </c>
      <c r="Z181" s="18"/>
      <c r="AA181" s="20"/>
      <c r="AB181" s="20"/>
      <c r="AC181" s="19" t="e">
        <f aca="false">(AB181-AA181)/AB181</f>
        <v>#DIV/0!</v>
      </c>
    </row>
    <row r="182" customFormat="false" ht="14.25" hidden="false" customHeight="true" outlineLevel="0" collapsed="false">
      <c r="A182" s="18" t="s">
        <v>228</v>
      </c>
      <c r="B182" s="18" t="s">
        <v>228</v>
      </c>
      <c r="C182" s="18" t="s">
        <v>40</v>
      </c>
      <c r="E182" s="2" t="n">
        <f aca="false">INDEX(FieldSites!F:F, MATCH(Ch2_FieldSurvey!B182,FieldSites!C:C,0))</f>
        <v>1901</v>
      </c>
      <c r="F182" s="2" t="n">
        <f aca="false">INDEX(FieldSites!G:G, MATCH(Ch2_FieldSurvey!B182,FieldSites!C:C,0))</f>
        <v>-119.802952</v>
      </c>
      <c r="G182" s="2" t="n">
        <f aca="false">INDEX(FieldSites!H:H, MATCH(Ch2_FieldSurvey!B182,FieldSites!C:C,0))</f>
        <v>37.755986</v>
      </c>
      <c r="H182" s="18" t="n">
        <v>3</v>
      </c>
      <c r="I182" s="21" t="s">
        <v>235</v>
      </c>
      <c r="J182" s="22" t="n">
        <v>44371</v>
      </c>
      <c r="K182" s="23"/>
      <c r="L182" s="22" t="n">
        <v>44372</v>
      </c>
      <c r="M182" s="23" t="n">
        <v>0.374305555555556</v>
      </c>
      <c r="O182" s="1" t="s">
        <v>236</v>
      </c>
      <c r="P182" s="16" t="s">
        <v>203</v>
      </c>
      <c r="R182" s="16" t="s">
        <v>204</v>
      </c>
      <c r="S182" s="4" t="s">
        <v>237</v>
      </c>
      <c r="T182" s="24" t="n">
        <v>248</v>
      </c>
      <c r="U182" s="24" t="n">
        <v>2.5</v>
      </c>
      <c r="V182" s="24" t="n">
        <v>0.13</v>
      </c>
      <c r="W182" s="2" t="n">
        <v>0.2</v>
      </c>
      <c r="Z182" s="18"/>
      <c r="AA182" s="20"/>
      <c r="AB182" s="20"/>
      <c r="AC182" s="19" t="e">
        <f aca="false">(AB182-AA182)/AB182</f>
        <v>#DIV/0!</v>
      </c>
    </row>
    <row r="183" customFormat="false" ht="14.25" hidden="false" customHeight="true" outlineLevel="0" collapsed="false">
      <c r="A183" s="18" t="s">
        <v>228</v>
      </c>
      <c r="B183" s="18" t="s">
        <v>228</v>
      </c>
      <c r="C183" s="18" t="s">
        <v>40</v>
      </c>
      <c r="E183" s="2" t="n">
        <f aca="false">INDEX(FieldSites!F:F, MATCH(Ch2_FieldSurvey!B183,FieldSites!C:C,0))</f>
        <v>1901</v>
      </c>
      <c r="F183" s="2" t="n">
        <f aca="false">INDEX(FieldSites!G:G, MATCH(Ch2_FieldSurvey!B183,FieldSites!C:C,0))</f>
        <v>-119.802952</v>
      </c>
      <c r="G183" s="2" t="n">
        <f aca="false">INDEX(FieldSites!H:H, MATCH(Ch2_FieldSurvey!B183,FieldSites!C:C,0))</f>
        <v>37.755986</v>
      </c>
      <c r="H183" s="18" t="n">
        <v>4</v>
      </c>
      <c r="I183" s="21" t="s">
        <v>238</v>
      </c>
      <c r="J183" s="22" t="n">
        <v>44371</v>
      </c>
      <c r="K183" s="23"/>
      <c r="L183" s="22" t="n">
        <v>44372</v>
      </c>
      <c r="M183" s="23" t="n">
        <v>0.375694444444445</v>
      </c>
      <c r="O183" s="1" t="s">
        <v>239</v>
      </c>
      <c r="P183" s="16" t="s">
        <v>203</v>
      </c>
      <c r="R183" s="16" t="s">
        <v>204</v>
      </c>
      <c r="S183" s="4" t="s">
        <v>240</v>
      </c>
      <c r="T183" s="24" t="n">
        <v>262</v>
      </c>
      <c r="U183" s="24" t="n">
        <v>2.4</v>
      </c>
      <c r="V183" s="24" t="n">
        <v>0.17</v>
      </c>
      <c r="W183" s="2" t="n">
        <v>0.1</v>
      </c>
      <c r="Z183" s="18"/>
      <c r="AA183" s="20"/>
      <c r="AB183" s="20"/>
      <c r="AC183" s="19" t="e">
        <f aca="false">(AB183-AA183)/AB183</f>
        <v>#DIV/0!</v>
      </c>
    </row>
    <row r="184" customFormat="false" ht="14.25" hidden="false" customHeight="true" outlineLevel="0" collapsed="false">
      <c r="A184" s="18" t="s">
        <v>228</v>
      </c>
      <c r="B184" s="18" t="s">
        <v>228</v>
      </c>
      <c r="C184" s="18" t="s">
        <v>40</v>
      </c>
      <c r="E184" s="2" t="n">
        <f aca="false">INDEX(FieldSites!F:F, MATCH(Ch2_FieldSurvey!B184,FieldSites!C:C,0))</f>
        <v>1901</v>
      </c>
      <c r="F184" s="2" t="n">
        <f aca="false">INDEX(FieldSites!G:G, MATCH(Ch2_FieldSurvey!B184,FieldSites!C:C,0))</f>
        <v>-119.802952</v>
      </c>
      <c r="G184" s="2" t="n">
        <f aca="false">INDEX(FieldSites!H:H, MATCH(Ch2_FieldSurvey!B184,FieldSites!C:C,0))</f>
        <v>37.755986</v>
      </c>
      <c r="H184" s="18" t="n">
        <v>4</v>
      </c>
      <c r="I184" s="21" t="s">
        <v>238</v>
      </c>
      <c r="J184" s="22" t="n">
        <v>44371</v>
      </c>
      <c r="K184" s="23"/>
      <c r="L184" s="22" t="n">
        <v>44372</v>
      </c>
      <c r="M184" s="23" t="n">
        <v>0.375694444444445</v>
      </c>
      <c r="O184" s="1" t="s">
        <v>239</v>
      </c>
      <c r="P184" s="16" t="s">
        <v>203</v>
      </c>
      <c r="R184" s="16" t="s">
        <v>204</v>
      </c>
      <c r="S184" s="4" t="s">
        <v>240</v>
      </c>
      <c r="T184" s="24" t="n">
        <v>268</v>
      </c>
      <c r="U184" s="24" t="n">
        <v>2.3</v>
      </c>
      <c r="V184" s="24" t="n">
        <v>0.19</v>
      </c>
      <c r="W184" s="2" t="n">
        <v>0.2</v>
      </c>
      <c r="Z184" s="18"/>
      <c r="AA184" s="20"/>
      <c r="AB184" s="20"/>
      <c r="AC184" s="19" t="e">
        <f aca="false">(AB184-AA184)/AB184</f>
        <v>#DIV/0!</v>
      </c>
    </row>
    <row r="185" customFormat="false" ht="14.25" hidden="false" customHeight="true" outlineLevel="0" collapsed="false">
      <c r="A185" s="18" t="s">
        <v>228</v>
      </c>
      <c r="B185" s="18" t="s">
        <v>228</v>
      </c>
      <c r="C185" s="18" t="s">
        <v>40</v>
      </c>
      <c r="E185" s="2" t="n">
        <f aca="false">INDEX(FieldSites!F:F, MATCH(Ch2_FieldSurvey!B185,FieldSites!C:C,0))</f>
        <v>1901</v>
      </c>
      <c r="F185" s="2" t="n">
        <f aca="false">INDEX(FieldSites!G:G, MATCH(Ch2_FieldSurvey!B185,FieldSites!C:C,0))</f>
        <v>-119.802952</v>
      </c>
      <c r="G185" s="2" t="n">
        <f aca="false">INDEX(FieldSites!H:H, MATCH(Ch2_FieldSurvey!B185,FieldSites!C:C,0))</f>
        <v>37.755986</v>
      </c>
      <c r="H185" s="18" t="n">
        <v>4</v>
      </c>
      <c r="I185" s="21" t="s">
        <v>238</v>
      </c>
      <c r="J185" s="22" t="n">
        <v>44371</v>
      </c>
      <c r="K185" s="23"/>
      <c r="L185" s="22" t="n">
        <v>44372</v>
      </c>
      <c r="M185" s="23" t="n">
        <v>0.375694444444445</v>
      </c>
      <c r="O185" s="1" t="s">
        <v>239</v>
      </c>
      <c r="P185" s="16" t="s">
        <v>203</v>
      </c>
      <c r="R185" s="16" t="s">
        <v>204</v>
      </c>
      <c r="S185" s="4" t="s">
        <v>240</v>
      </c>
      <c r="T185" s="24" t="n">
        <v>234</v>
      </c>
      <c r="U185" s="24" t="n">
        <v>2.3</v>
      </c>
      <c r="V185" s="24" t="n">
        <v>0.21</v>
      </c>
      <c r="W185" s="2" t="n">
        <v>0.2</v>
      </c>
      <c r="Z185" s="18"/>
      <c r="AA185" s="20"/>
      <c r="AB185" s="20"/>
      <c r="AC185" s="19" t="e">
        <f aca="false">(AB185-AA185)/AB185</f>
        <v>#DIV/0!</v>
      </c>
    </row>
    <row r="186" customFormat="false" ht="14.25" hidden="false" customHeight="true" outlineLevel="0" collapsed="false">
      <c r="A186" s="18" t="s">
        <v>228</v>
      </c>
      <c r="B186" s="18" t="s">
        <v>228</v>
      </c>
      <c r="C186" s="18" t="s">
        <v>40</v>
      </c>
      <c r="E186" s="2" t="n">
        <f aca="false">INDEX(FieldSites!F:F, MATCH(Ch2_FieldSurvey!B186,FieldSites!C:C,0))</f>
        <v>1901</v>
      </c>
      <c r="F186" s="2" t="n">
        <f aca="false">INDEX(FieldSites!G:G, MATCH(Ch2_FieldSurvey!B186,FieldSites!C:C,0))</f>
        <v>-119.802952</v>
      </c>
      <c r="G186" s="2" t="n">
        <f aca="false">INDEX(FieldSites!H:H, MATCH(Ch2_FieldSurvey!B186,FieldSites!C:C,0))</f>
        <v>37.755986</v>
      </c>
      <c r="H186" s="18" t="n">
        <v>5</v>
      </c>
      <c r="I186" s="21" t="s">
        <v>241</v>
      </c>
      <c r="J186" s="22" t="n">
        <v>44371</v>
      </c>
      <c r="K186" s="23"/>
      <c r="L186" s="22" t="n">
        <v>44372</v>
      </c>
      <c r="M186" s="23" t="n">
        <v>0.382638888888889</v>
      </c>
      <c r="O186" s="1" t="s">
        <v>242</v>
      </c>
      <c r="P186" s="16" t="s">
        <v>203</v>
      </c>
      <c r="R186" s="16" t="s">
        <v>204</v>
      </c>
      <c r="S186" s="4" t="s">
        <v>243</v>
      </c>
      <c r="T186" s="24" t="n">
        <v>200</v>
      </c>
      <c r="U186" s="24" t="n">
        <v>2.4</v>
      </c>
      <c r="V186" s="24" t="n">
        <v>0.16</v>
      </c>
      <c r="W186" s="2" t="n">
        <v>0.2</v>
      </c>
      <c r="Z186" s="18"/>
      <c r="AA186" s="20"/>
      <c r="AB186" s="20"/>
      <c r="AC186" s="19" t="e">
        <f aca="false">(AB186-AA186)/AB186</f>
        <v>#DIV/0!</v>
      </c>
    </row>
    <row r="187" customFormat="false" ht="14.25" hidden="false" customHeight="true" outlineLevel="0" collapsed="false">
      <c r="A187" s="18" t="s">
        <v>228</v>
      </c>
      <c r="B187" s="18" t="s">
        <v>228</v>
      </c>
      <c r="C187" s="18" t="s">
        <v>40</v>
      </c>
      <c r="E187" s="2" t="n">
        <f aca="false">INDEX(FieldSites!F:F, MATCH(Ch2_FieldSurvey!B187,FieldSites!C:C,0))</f>
        <v>1901</v>
      </c>
      <c r="F187" s="2" t="n">
        <f aca="false">INDEX(FieldSites!G:G, MATCH(Ch2_FieldSurvey!B187,FieldSites!C:C,0))</f>
        <v>-119.802952</v>
      </c>
      <c r="G187" s="2" t="n">
        <f aca="false">INDEX(FieldSites!H:H, MATCH(Ch2_FieldSurvey!B187,FieldSites!C:C,0))</f>
        <v>37.755986</v>
      </c>
      <c r="H187" s="18" t="n">
        <v>5</v>
      </c>
      <c r="I187" s="21" t="s">
        <v>241</v>
      </c>
      <c r="J187" s="22" t="n">
        <v>44371</v>
      </c>
      <c r="K187" s="23"/>
      <c r="L187" s="22" t="n">
        <v>44372</v>
      </c>
      <c r="M187" s="23" t="n">
        <v>0.382638888888889</v>
      </c>
      <c r="O187" s="1" t="s">
        <v>242</v>
      </c>
      <c r="P187" s="16" t="s">
        <v>203</v>
      </c>
      <c r="R187" s="16" t="s">
        <v>204</v>
      </c>
      <c r="S187" s="4" t="s">
        <v>243</v>
      </c>
      <c r="T187" s="24" t="n">
        <v>209</v>
      </c>
      <c r="U187" s="24" t="n">
        <v>2.2</v>
      </c>
      <c r="V187" s="24" t="n">
        <v>0.16</v>
      </c>
      <c r="W187" s="2" t="n">
        <v>0.1</v>
      </c>
      <c r="Z187" s="18"/>
      <c r="AA187" s="20"/>
      <c r="AB187" s="20"/>
      <c r="AC187" s="19" t="e">
        <f aca="false">(AB187-AA187)/AB187</f>
        <v>#DIV/0!</v>
      </c>
    </row>
    <row r="188" customFormat="false" ht="14.25" hidden="false" customHeight="true" outlineLevel="0" collapsed="false">
      <c r="A188" s="18" t="s">
        <v>228</v>
      </c>
      <c r="B188" s="18" t="s">
        <v>228</v>
      </c>
      <c r="C188" s="18" t="s">
        <v>40</v>
      </c>
      <c r="E188" s="2" t="n">
        <f aca="false">INDEX(FieldSites!F:F, MATCH(Ch2_FieldSurvey!B188,FieldSites!C:C,0))</f>
        <v>1901</v>
      </c>
      <c r="F188" s="2" t="n">
        <f aca="false">INDEX(FieldSites!G:G, MATCH(Ch2_FieldSurvey!B188,FieldSites!C:C,0))</f>
        <v>-119.802952</v>
      </c>
      <c r="G188" s="2" t="n">
        <f aca="false">INDEX(FieldSites!H:H, MATCH(Ch2_FieldSurvey!B188,FieldSites!C:C,0))</f>
        <v>37.755986</v>
      </c>
      <c r="H188" s="18" t="n">
        <v>5</v>
      </c>
      <c r="I188" s="21" t="s">
        <v>241</v>
      </c>
      <c r="J188" s="22" t="n">
        <v>44371</v>
      </c>
      <c r="K188" s="23"/>
      <c r="L188" s="22" t="n">
        <v>44372</v>
      </c>
      <c r="M188" s="23" t="n">
        <v>0.382638888888889</v>
      </c>
      <c r="O188" s="1" t="s">
        <v>242</v>
      </c>
      <c r="P188" s="16" t="s">
        <v>203</v>
      </c>
      <c r="R188" s="16" t="s">
        <v>204</v>
      </c>
      <c r="S188" s="4" t="s">
        <v>243</v>
      </c>
      <c r="T188" s="24" t="n">
        <v>212</v>
      </c>
      <c r="U188" s="24" t="n">
        <v>2.1</v>
      </c>
      <c r="V188" s="24" t="n">
        <v>0.18</v>
      </c>
      <c r="W188" s="2" t="n">
        <v>0.2</v>
      </c>
      <c r="Z188" s="18"/>
      <c r="AA188" s="20"/>
      <c r="AB188" s="20"/>
      <c r="AC188" s="19" t="e">
        <f aca="false">(AB188-AA188)/AB188</f>
        <v>#DIV/0!</v>
      </c>
    </row>
    <row r="189" customFormat="false" ht="14.25" hidden="false" customHeight="true" outlineLevel="0" collapsed="false">
      <c r="A189" s="18" t="s">
        <v>228</v>
      </c>
      <c r="B189" s="18" t="s">
        <v>228</v>
      </c>
      <c r="C189" s="18" t="s">
        <v>40</v>
      </c>
      <c r="E189" s="2" t="n">
        <f aca="false">INDEX(FieldSites!F:F, MATCH(Ch2_FieldSurvey!B189,FieldSites!C:C,0))</f>
        <v>1901</v>
      </c>
      <c r="F189" s="2" t="n">
        <f aca="false">INDEX(FieldSites!G:G, MATCH(Ch2_FieldSurvey!B189,FieldSites!C:C,0))</f>
        <v>-119.802952</v>
      </c>
      <c r="G189" s="2" t="n">
        <f aca="false">INDEX(FieldSites!H:H, MATCH(Ch2_FieldSurvey!B189,FieldSites!C:C,0))</f>
        <v>37.755986</v>
      </c>
      <c r="H189" s="18" t="n">
        <v>6</v>
      </c>
      <c r="I189" s="21" t="s">
        <v>244</v>
      </c>
      <c r="J189" s="22" t="n">
        <v>44371</v>
      </c>
      <c r="K189" s="23"/>
      <c r="L189" s="22" t="n">
        <v>44372</v>
      </c>
      <c r="M189" s="23" t="n">
        <v>0.385416666666667</v>
      </c>
      <c r="O189" s="1" t="s">
        <v>245</v>
      </c>
      <c r="P189" s="16" t="s">
        <v>203</v>
      </c>
      <c r="R189" s="16" t="s">
        <v>204</v>
      </c>
      <c r="S189" s="4" t="s">
        <v>246</v>
      </c>
      <c r="T189" s="24" t="n">
        <v>221</v>
      </c>
      <c r="U189" s="24" t="n">
        <v>2.2</v>
      </c>
      <c r="V189" s="24" t="n">
        <v>0.17</v>
      </c>
      <c r="W189" s="2" t="n">
        <v>0.2</v>
      </c>
      <c r="Z189" s="18"/>
      <c r="AA189" s="20"/>
      <c r="AB189" s="20"/>
      <c r="AC189" s="19" t="e">
        <f aca="false">(AB189-AA189)/AB189</f>
        <v>#DIV/0!</v>
      </c>
    </row>
    <row r="190" customFormat="false" ht="14.25" hidden="false" customHeight="true" outlineLevel="0" collapsed="false">
      <c r="A190" s="18" t="s">
        <v>228</v>
      </c>
      <c r="B190" s="18" t="s">
        <v>228</v>
      </c>
      <c r="C190" s="18" t="s">
        <v>40</v>
      </c>
      <c r="E190" s="2" t="n">
        <f aca="false">INDEX(FieldSites!F:F, MATCH(Ch2_FieldSurvey!B190,FieldSites!C:C,0))</f>
        <v>1901</v>
      </c>
      <c r="F190" s="2" t="n">
        <f aca="false">INDEX(FieldSites!G:G, MATCH(Ch2_FieldSurvey!B190,FieldSites!C:C,0))</f>
        <v>-119.802952</v>
      </c>
      <c r="G190" s="2" t="n">
        <f aca="false">INDEX(FieldSites!H:H, MATCH(Ch2_FieldSurvey!B190,FieldSites!C:C,0))</f>
        <v>37.755986</v>
      </c>
      <c r="H190" s="18" t="n">
        <v>6</v>
      </c>
      <c r="I190" s="21" t="s">
        <v>244</v>
      </c>
      <c r="J190" s="22" t="n">
        <v>44371</v>
      </c>
      <c r="K190" s="23"/>
      <c r="L190" s="22" t="n">
        <v>44372</v>
      </c>
      <c r="M190" s="23" t="n">
        <v>0.385416666666667</v>
      </c>
      <c r="O190" s="1" t="s">
        <v>245</v>
      </c>
      <c r="P190" s="16" t="s">
        <v>203</v>
      </c>
      <c r="R190" s="16" t="s">
        <v>204</v>
      </c>
      <c r="S190" s="4" t="s">
        <v>246</v>
      </c>
      <c r="T190" s="24" t="n">
        <v>230</v>
      </c>
      <c r="U190" s="24" t="n">
        <v>2</v>
      </c>
      <c r="V190" s="24" t="n">
        <v>0.19</v>
      </c>
      <c r="W190" s="2" t="n">
        <v>0.2</v>
      </c>
      <c r="Z190" s="18"/>
      <c r="AA190" s="20"/>
      <c r="AB190" s="20"/>
      <c r="AC190" s="19" t="e">
        <f aca="false">(AB190-AA190)/AB190</f>
        <v>#DIV/0!</v>
      </c>
    </row>
    <row r="191" customFormat="false" ht="14.25" hidden="false" customHeight="true" outlineLevel="0" collapsed="false">
      <c r="A191" s="18" t="s">
        <v>228</v>
      </c>
      <c r="B191" s="18" t="s">
        <v>228</v>
      </c>
      <c r="C191" s="18" t="s">
        <v>40</v>
      </c>
      <c r="E191" s="2" t="n">
        <f aca="false">INDEX(FieldSites!F:F, MATCH(Ch2_FieldSurvey!B191,FieldSites!C:C,0))</f>
        <v>1901</v>
      </c>
      <c r="F191" s="2" t="n">
        <f aca="false">INDEX(FieldSites!G:G, MATCH(Ch2_FieldSurvey!B191,FieldSites!C:C,0))</f>
        <v>-119.802952</v>
      </c>
      <c r="G191" s="2" t="n">
        <f aca="false">INDEX(FieldSites!H:H, MATCH(Ch2_FieldSurvey!B191,FieldSites!C:C,0))</f>
        <v>37.755986</v>
      </c>
      <c r="H191" s="18" t="n">
        <v>6</v>
      </c>
      <c r="I191" s="21" t="s">
        <v>244</v>
      </c>
      <c r="J191" s="22" t="n">
        <v>44371</v>
      </c>
      <c r="K191" s="23"/>
      <c r="L191" s="22" t="n">
        <v>44372</v>
      </c>
      <c r="M191" s="23" t="n">
        <v>0.385416666666667</v>
      </c>
      <c r="O191" s="1" t="s">
        <v>245</v>
      </c>
      <c r="P191" s="16" t="s">
        <v>203</v>
      </c>
      <c r="R191" s="16" t="s">
        <v>204</v>
      </c>
      <c r="S191" s="4" t="s">
        <v>246</v>
      </c>
      <c r="T191" s="24" t="n">
        <v>245</v>
      </c>
      <c r="U191" s="24" t="n">
        <v>2.2</v>
      </c>
      <c r="V191" s="24" t="n">
        <v>0.2</v>
      </c>
      <c r="W191" s="2" t="n">
        <v>0.1</v>
      </c>
      <c r="Z191" s="18"/>
      <c r="AA191" s="20"/>
      <c r="AB191" s="20"/>
      <c r="AC191" s="19" t="e">
        <f aca="false">(AB191-AA191)/AB191</f>
        <v>#DIV/0!</v>
      </c>
    </row>
    <row r="192" customFormat="false" ht="14.25" hidden="false" customHeight="true" outlineLevel="0" collapsed="false">
      <c r="A192" s="18" t="s">
        <v>228</v>
      </c>
      <c r="B192" s="18" t="s">
        <v>228</v>
      </c>
      <c r="C192" s="18" t="s">
        <v>40</v>
      </c>
      <c r="E192" s="2" t="n">
        <f aca="false">INDEX(FieldSites!F:F, MATCH(Ch2_FieldSurvey!B192,FieldSites!C:C,0))</f>
        <v>1901</v>
      </c>
      <c r="F192" s="2" t="n">
        <f aca="false">INDEX(FieldSites!G:G, MATCH(Ch2_FieldSurvey!B192,FieldSites!C:C,0))</f>
        <v>-119.802952</v>
      </c>
      <c r="G192" s="2" t="n">
        <f aca="false">INDEX(FieldSites!H:H, MATCH(Ch2_FieldSurvey!B192,FieldSites!C:C,0))</f>
        <v>37.755986</v>
      </c>
      <c r="H192" s="18" t="n">
        <v>7</v>
      </c>
      <c r="I192" s="21" t="s">
        <v>247</v>
      </c>
      <c r="J192" s="22" t="n">
        <v>44371</v>
      </c>
      <c r="K192" s="23"/>
      <c r="L192" s="22" t="n">
        <v>44372</v>
      </c>
      <c r="M192" s="23" t="n">
        <v>0.3875</v>
      </c>
      <c r="O192" s="1" t="s">
        <v>248</v>
      </c>
      <c r="P192" s="16" t="s">
        <v>203</v>
      </c>
      <c r="R192" s="16" t="s">
        <v>204</v>
      </c>
      <c r="S192" s="4" t="s">
        <v>249</v>
      </c>
      <c r="T192" s="24" t="n">
        <v>240</v>
      </c>
      <c r="U192" s="24" t="n">
        <v>2.5</v>
      </c>
      <c r="V192" s="24" t="n">
        <v>0.18</v>
      </c>
      <c r="W192" s="2" t="n">
        <v>0.1</v>
      </c>
      <c r="Z192" s="18"/>
      <c r="AA192" s="20"/>
      <c r="AB192" s="20"/>
      <c r="AC192" s="19" t="e">
        <f aca="false">(AB192-AA192)/AB192</f>
        <v>#DIV/0!</v>
      </c>
    </row>
    <row r="193" customFormat="false" ht="14.25" hidden="false" customHeight="true" outlineLevel="0" collapsed="false">
      <c r="A193" s="18" t="s">
        <v>228</v>
      </c>
      <c r="B193" s="18" t="s">
        <v>228</v>
      </c>
      <c r="C193" s="18" t="s">
        <v>40</v>
      </c>
      <c r="E193" s="2" t="n">
        <f aca="false">INDEX(FieldSites!F:F, MATCH(Ch2_FieldSurvey!B193,FieldSites!C:C,0))</f>
        <v>1901</v>
      </c>
      <c r="F193" s="2" t="n">
        <f aca="false">INDEX(FieldSites!G:G, MATCH(Ch2_FieldSurvey!B193,FieldSites!C:C,0))</f>
        <v>-119.802952</v>
      </c>
      <c r="G193" s="2" t="n">
        <f aca="false">INDEX(FieldSites!H:H, MATCH(Ch2_FieldSurvey!B193,FieldSites!C:C,0))</f>
        <v>37.755986</v>
      </c>
      <c r="H193" s="18" t="n">
        <v>7</v>
      </c>
      <c r="I193" s="21" t="s">
        <v>247</v>
      </c>
      <c r="J193" s="22" t="n">
        <v>44371</v>
      </c>
      <c r="K193" s="23"/>
      <c r="L193" s="22" t="n">
        <v>44372</v>
      </c>
      <c r="M193" s="23" t="n">
        <v>0.3875</v>
      </c>
      <c r="O193" s="1" t="s">
        <v>248</v>
      </c>
      <c r="P193" s="16" t="s">
        <v>203</v>
      </c>
      <c r="R193" s="16" t="s">
        <v>204</v>
      </c>
      <c r="S193" s="4" t="s">
        <v>249</v>
      </c>
      <c r="T193" s="24" t="n">
        <v>246</v>
      </c>
      <c r="U193" s="24" t="n">
        <v>2.4</v>
      </c>
      <c r="V193" s="24" t="n">
        <v>0.16</v>
      </c>
      <c r="W193" s="2" t="n">
        <v>0.1</v>
      </c>
      <c r="Z193" s="18"/>
      <c r="AA193" s="20"/>
      <c r="AB193" s="20"/>
      <c r="AC193" s="19" t="e">
        <f aca="false">(AB193-AA193)/AB193</f>
        <v>#DIV/0!</v>
      </c>
    </row>
    <row r="194" customFormat="false" ht="14.25" hidden="false" customHeight="true" outlineLevel="0" collapsed="false">
      <c r="A194" s="18" t="s">
        <v>228</v>
      </c>
      <c r="B194" s="18" t="s">
        <v>228</v>
      </c>
      <c r="C194" s="18" t="s">
        <v>40</v>
      </c>
      <c r="E194" s="2" t="n">
        <f aca="false">INDEX(FieldSites!F:F, MATCH(Ch2_FieldSurvey!B194,FieldSites!C:C,0))</f>
        <v>1901</v>
      </c>
      <c r="F194" s="2" t="n">
        <f aca="false">INDEX(FieldSites!G:G, MATCH(Ch2_FieldSurvey!B194,FieldSites!C:C,0))</f>
        <v>-119.802952</v>
      </c>
      <c r="G194" s="2" t="n">
        <f aca="false">INDEX(FieldSites!H:H, MATCH(Ch2_FieldSurvey!B194,FieldSites!C:C,0))</f>
        <v>37.755986</v>
      </c>
      <c r="H194" s="18" t="n">
        <v>7</v>
      </c>
      <c r="I194" s="21" t="s">
        <v>247</v>
      </c>
      <c r="J194" s="22" t="n">
        <v>44371</v>
      </c>
      <c r="K194" s="23"/>
      <c r="L194" s="22" t="n">
        <v>44372</v>
      </c>
      <c r="M194" s="23" t="n">
        <v>0.3875</v>
      </c>
      <c r="O194" s="1" t="s">
        <v>248</v>
      </c>
      <c r="P194" s="16" t="s">
        <v>203</v>
      </c>
      <c r="R194" s="16" t="s">
        <v>204</v>
      </c>
      <c r="S194" s="4" t="s">
        <v>249</v>
      </c>
      <c r="T194" s="24" t="n">
        <v>255</v>
      </c>
      <c r="U194" s="24" t="n">
        <v>2.5</v>
      </c>
      <c r="V194" s="24" t="n">
        <v>0.15</v>
      </c>
      <c r="W194" s="2" t="n">
        <v>0</v>
      </c>
      <c r="Z194" s="18"/>
      <c r="AA194" s="20"/>
      <c r="AB194" s="20"/>
      <c r="AC194" s="19" t="e">
        <f aca="false">(AB194-AA194)/AB194</f>
        <v>#DIV/0!</v>
      </c>
    </row>
    <row r="195" customFormat="false" ht="14.25" hidden="false" customHeight="true" outlineLevel="0" collapsed="false">
      <c r="A195" s="18" t="s">
        <v>228</v>
      </c>
      <c r="B195" s="18" t="s">
        <v>228</v>
      </c>
      <c r="C195" s="18" t="s">
        <v>40</v>
      </c>
      <c r="E195" s="2" t="n">
        <f aca="false">INDEX(FieldSites!F:F, MATCH(Ch2_FieldSurvey!B195,FieldSites!C:C,0))</f>
        <v>1901</v>
      </c>
      <c r="F195" s="2" t="n">
        <f aca="false">INDEX(FieldSites!G:G, MATCH(Ch2_FieldSurvey!B195,FieldSites!C:C,0))</f>
        <v>-119.802952</v>
      </c>
      <c r="G195" s="2" t="n">
        <f aca="false">INDEX(FieldSites!H:H, MATCH(Ch2_FieldSurvey!B195,FieldSites!C:C,0))</f>
        <v>37.755986</v>
      </c>
      <c r="H195" s="18" t="n">
        <v>8</v>
      </c>
      <c r="I195" s="21" t="s">
        <v>250</v>
      </c>
      <c r="J195" s="22" t="n">
        <v>44371</v>
      </c>
      <c r="K195" s="23"/>
      <c r="L195" s="22" t="n">
        <v>44372</v>
      </c>
      <c r="M195" s="23" t="n">
        <v>0.389583333333333</v>
      </c>
      <c r="O195" s="1" t="s">
        <v>251</v>
      </c>
      <c r="P195" s="16" t="s">
        <v>203</v>
      </c>
      <c r="R195" s="16" t="s">
        <v>204</v>
      </c>
      <c r="S195" s="4" t="s">
        <v>252</v>
      </c>
      <c r="T195" s="24" t="n">
        <v>250</v>
      </c>
      <c r="U195" s="24" t="n">
        <v>2.6</v>
      </c>
      <c r="V195" s="24" t="n">
        <v>0.17</v>
      </c>
      <c r="W195" s="2" t="n">
        <v>0.3</v>
      </c>
      <c r="Z195" s="18"/>
      <c r="AA195" s="20"/>
      <c r="AB195" s="20"/>
      <c r="AC195" s="19" t="e">
        <f aca="false">(AB195-AA195)/AB195</f>
        <v>#DIV/0!</v>
      </c>
    </row>
    <row r="196" customFormat="false" ht="14.25" hidden="false" customHeight="true" outlineLevel="0" collapsed="false">
      <c r="A196" s="18" t="s">
        <v>228</v>
      </c>
      <c r="B196" s="18" t="s">
        <v>228</v>
      </c>
      <c r="C196" s="18" t="s">
        <v>40</v>
      </c>
      <c r="E196" s="2" t="n">
        <f aca="false">INDEX(FieldSites!F:F, MATCH(Ch2_FieldSurvey!B196,FieldSites!C:C,0))</f>
        <v>1901</v>
      </c>
      <c r="F196" s="2" t="n">
        <f aca="false">INDEX(FieldSites!G:G, MATCH(Ch2_FieldSurvey!B196,FieldSites!C:C,0))</f>
        <v>-119.802952</v>
      </c>
      <c r="G196" s="2" t="n">
        <f aca="false">INDEX(FieldSites!H:H, MATCH(Ch2_FieldSurvey!B196,FieldSites!C:C,0))</f>
        <v>37.755986</v>
      </c>
      <c r="H196" s="18" t="n">
        <v>8</v>
      </c>
      <c r="I196" s="21" t="s">
        <v>250</v>
      </c>
      <c r="J196" s="22" t="n">
        <v>44371</v>
      </c>
      <c r="K196" s="23"/>
      <c r="L196" s="22" t="n">
        <v>44372</v>
      </c>
      <c r="M196" s="23" t="n">
        <v>0.389583333333333</v>
      </c>
      <c r="O196" s="1" t="s">
        <v>251</v>
      </c>
      <c r="P196" s="16" t="s">
        <v>203</v>
      </c>
      <c r="R196" s="16" t="s">
        <v>204</v>
      </c>
      <c r="S196" s="4" t="s">
        <v>252</v>
      </c>
      <c r="T196" s="24" t="n">
        <v>275</v>
      </c>
      <c r="U196" s="24" t="n">
        <v>3</v>
      </c>
      <c r="V196" s="24" t="n">
        <v>0.15</v>
      </c>
      <c r="W196" s="2" t="n">
        <v>0.1</v>
      </c>
      <c r="Z196" s="18"/>
      <c r="AA196" s="20"/>
      <c r="AB196" s="20"/>
      <c r="AC196" s="19" t="e">
        <f aca="false">(AB196-AA196)/AB196</f>
        <v>#DIV/0!</v>
      </c>
    </row>
    <row r="197" customFormat="false" ht="14.25" hidden="false" customHeight="true" outlineLevel="0" collapsed="false">
      <c r="A197" s="18" t="s">
        <v>228</v>
      </c>
      <c r="B197" s="18" t="s">
        <v>228</v>
      </c>
      <c r="C197" s="18" t="s">
        <v>40</v>
      </c>
      <c r="E197" s="2" t="n">
        <f aca="false">INDEX(FieldSites!F:F, MATCH(Ch2_FieldSurvey!B197,FieldSites!C:C,0))</f>
        <v>1901</v>
      </c>
      <c r="F197" s="2" t="n">
        <f aca="false">INDEX(FieldSites!G:G, MATCH(Ch2_FieldSurvey!B197,FieldSites!C:C,0))</f>
        <v>-119.802952</v>
      </c>
      <c r="G197" s="2" t="n">
        <f aca="false">INDEX(FieldSites!H:H, MATCH(Ch2_FieldSurvey!B197,FieldSites!C:C,0))</f>
        <v>37.755986</v>
      </c>
      <c r="H197" s="18" t="n">
        <v>8</v>
      </c>
      <c r="I197" s="21" t="s">
        <v>250</v>
      </c>
      <c r="J197" s="22" t="n">
        <v>44371</v>
      </c>
      <c r="K197" s="23"/>
      <c r="L197" s="22" t="n">
        <v>44372</v>
      </c>
      <c r="M197" s="23" t="n">
        <v>0.389583333333333</v>
      </c>
      <c r="O197" s="1" t="s">
        <v>251</v>
      </c>
      <c r="P197" s="16" t="s">
        <v>203</v>
      </c>
      <c r="R197" s="16" t="s">
        <v>204</v>
      </c>
      <c r="S197" s="4" t="s">
        <v>252</v>
      </c>
      <c r="T197" s="24" t="n">
        <v>245</v>
      </c>
      <c r="U197" s="24" t="n">
        <v>2.6</v>
      </c>
      <c r="V197" s="24" t="n">
        <v>0.13</v>
      </c>
      <c r="W197" s="2" t="n">
        <v>0</v>
      </c>
      <c r="Z197" s="18"/>
      <c r="AA197" s="20"/>
      <c r="AB197" s="20"/>
      <c r="AC197" s="19" t="e">
        <f aca="false">(AB197-AA197)/AB197</f>
        <v>#DIV/0!</v>
      </c>
    </row>
    <row r="198" customFormat="false" ht="14.25" hidden="false" customHeight="true" outlineLevel="0" collapsed="false">
      <c r="A198" s="18" t="s">
        <v>228</v>
      </c>
      <c r="B198" s="18" t="s">
        <v>228</v>
      </c>
      <c r="C198" s="18" t="s">
        <v>40</v>
      </c>
      <c r="E198" s="2" t="n">
        <f aca="false">INDEX(FieldSites!F:F, MATCH(Ch2_FieldSurvey!B198,FieldSites!C:C,0))</f>
        <v>1901</v>
      </c>
      <c r="F198" s="2" t="n">
        <f aca="false">INDEX(FieldSites!G:G, MATCH(Ch2_FieldSurvey!B198,FieldSites!C:C,0))</f>
        <v>-119.802952</v>
      </c>
      <c r="G198" s="2" t="n">
        <f aca="false">INDEX(FieldSites!H:H, MATCH(Ch2_FieldSurvey!B198,FieldSites!C:C,0))</f>
        <v>37.755986</v>
      </c>
      <c r="H198" s="18" t="n">
        <v>9</v>
      </c>
      <c r="I198" s="21" t="s">
        <v>253</v>
      </c>
      <c r="J198" s="22" t="n">
        <v>44371</v>
      </c>
      <c r="K198" s="23"/>
      <c r="L198" s="22" t="n">
        <v>44372</v>
      </c>
      <c r="M198" s="23" t="n">
        <v>0.390972222222222</v>
      </c>
      <c r="O198" s="1" t="s">
        <v>254</v>
      </c>
      <c r="P198" s="16" t="s">
        <v>203</v>
      </c>
      <c r="R198" s="16" t="s">
        <v>204</v>
      </c>
      <c r="S198" s="4" t="s">
        <v>255</v>
      </c>
      <c r="T198" s="24" t="n">
        <v>215</v>
      </c>
      <c r="U198" s="24" t="n">
        <v>2.7</v>
      </c>
      <c r="V198" s="24" t="n">
        <v>0.18</v>
      </c>
      <c r="W198" s="2" t="n">
        <v>0.2</v>
      </c>
      <c r="Z198" s="18"/>
      <c r="AA198" s="20"/>
      <c r="AB198" s="20"/>
      <c r="AC198" s="19" t="e">
        <f aca="false">(AB198-AA198)/AB198</f>
        <v>#DIV/0!</v>
      </c>
    </row>
    <row r="199" customFormat="false" ht="14.25" hidden="false" customHeight="true" outlineLevel="0" collapsed="false">
      <c r="A199" s="18" t="s">
        <v>228</v>
      </c>
      <c r="B199" s="18" t="s">
        <v>228</v>
      </c>
      <c r="C199" s="18" t="s">
        <v>40</v>
      </c>
      <c r="E199" s="2" t="n">
        <f aca="false">INDEX(FieldSites!F:F, MATCH(Ch2_FieldSurvey!B199,FieldSites!C:C,0))</f>
        <v>1901</v>
      </c>
      <c r="F199" s="2" t="n">
        <f aca="false">INDEX(FieldSites!G:G, MATCH(Ch2_FieldSurvey!B199,FieldSites!C:C,0))</f>
        <v>-119.802952</v>
      </c>
      <c r="G199" s="2" t="n">
        <f aca="false">INDEX(FieldSites!H:H, MATCH(Ch2_FieldSurvey!B199,FieldSites!C:C,0))</f>
        <v>37.755986</v>
      </c>
      <c r="H199" s="18" t="n">
        <v>9</v>
      </c>
      <c r="I199" s="21" t="s">
        <v>253</v>
      </c>
      <c r="J199" s="22" t="n">
        <v>44371</v>
      </c>
      <c r="K199" s="23"/>
      <c r="L199" s="22" t="n">
        <v>44372</v>
      </c>
      <c r="M199" s="23" t="n">
        <v>0.390972222222222</v>
      </c>
      <c r="O199" s="1" t="s">
        <v>254</v>
      </c>
      <c r="P199" s="16" t="s">
        <v>203</v>
      </c>
      <c r="R199" s="16" t="s">
        <v>204</v>
      </c>
      <c r="S199" s="4" t="s">
        <v>255</v>
      </c>
      <c r="T199" s="24" t="n">
        <v>235</v>
      </c>
      <c r="U199" s="24" t="n">
        <v>2.5</v>
      </c>
      <c r="V199" s="24" t="n">
        <v>0.16</v>
      </c>
      <c r="W199" s="2" t="n">
        <v>0.1</v>
      </c>
      <c r="Z199" s="18"/>
      <c r="AA199" s="20"/>
      <c r="AB199" s="20"/>
      <c r="AC199" s="19" t="e">
        <f aca="false">(AB199-AA199)/AB199</f>
        <v>#DIV/0!</v>
      </c>
    </row>
    <row r="200" customFormat="false" ht="14.25" hidden="false" customHeight="true" outlineLevel="0" collapsed="false">
      <c r="A200" s="18" t="s">
        <v>228</v>
      </c>
      <c r="B200" s="18" t="s">
        <v>228</v>
      </c>
      <c r="C200" s="18" t="s">
        <v>40</v>
      </c>
      <c r="E200" s="2" t="n">
        <f aca="false">INDEX(FieldSites!F:F, MATCH(Ch2_FieldSurvey!B200,FieldSites!C:C,0))</f>
        <v>1901</v>
      </c>
      <c r="F200" s="2" t="n">
        <f aca="false">INDEX(FieldSites!G:G, MATCH(Ch2_FieldSurvey!B200,FieldSites!C:C,0))</f>
        <v>-119.802952</v>
      </c>
      <c r="G200" s="2" t="n">
        <f aca="false">INDEX(FieldSites!H:H, MATCH(Ch2_FieldSurvey!B200,FieldSites!C:C,0))</f>
        <v>37.755986</v>
      </c>
      <c r="H200" s="18" t="n">
        <v>9</v>
      </c>
      <c r="I200" s="21" t="s">
        <v>253</v>
      </c>
      <c r="J200" s="22" t="n">
        <v>44371</v>
      </c>
      <c r="K200" s="23"/>
      <c r="L200" s="22" t="n">
        <v>44372</v>
      </c>
      <c r="M200" s="23" t="n">
        <v>0.390972222222222</v>
      </c>
      <c r="O200" s="1" t="s">
        <v>254</v>
      </c>
      <c r="P200" s="16" t="s">
        <v>203</v>
      </c>
      <c r="R200" s="16" t="s">
        <v>204</v>
      </c>
      <c r="S200" s="4" t="s">
        <v>255</v>
      </c>
      <c r="T200" s="24" t="n">
        <v>211</v>
      </c>
      <c r="U200" s="24" t="n">
        <v>2.6</v>
      </c>
      <c r="V200" s="24" t="n">
        <v>0.17</v>
      </c>
      <c r="W200" s="2" t="n">
        <v>0.1</v>
      </c>
      <c r="Z200" s="18"/>
      <c r="AA200" s="20"/>
      <c r="AB200" s="20"/>
      <c r="AC200" s="19" t="e">
        <f aca="false">(AB200-AA200)/AB200</f>
        <v>#DIV/0!</v>
      </c>
    </row>
    <row r="201" customFormat="false" ht="14.25" hidden="false" customHeight="true" outlineLevel="0" collapsed="false">
      <c r="A201" s="18" t="s">
        <v>228</v>
      </c>
      <c r="B201" s="18" t="s">
        <v>228</v>
      </c>
      <c r="C201" s="18" t="s">
        <v>40</v>
      </c>
      <c r="E201" s="2" t="n">
        <f aca="false">INDEX(FieldSites!F:F, MATCH(Ch2_FieldSurvey!B201,FieldSites!C:C,0))</f>
        <v>1901</v>
      </c>
      <c r="F201" s="2" t="n">
        <f aca="false">INDEX(FieldSites!G:G, MATCH(Ch2_FieldSurvey!B201,FieldSites!C:C,0))</f>
        <v>-119.802952</v>
      </c>
      <c r="G201" s="2" t="n">
        <f aca="false">INDEX(FieldSites!H:H, MATCH(Ch2_FieldSurvey!B201,FieldSites!C:C,0))</f>
        <v>37.755986</v>
      </c>
      <c r="H201" s="18" t="n">
        <v>10</v>
      </c>
      <c r="I201" s="21" t="s">
        <v>256</v>
      </c>
      <c r="J201" s="22" t="n">
        <v>44371</v>
      </c>
      <c r="K201" s="23"/>
      <c r="L201" s="22" t="n">
        <v>44372</v>
      </c>
      <c r="M201" s="23" t="n">
        <v>0.393055555555556</v>
      </c>
      <c r="O201" s="1" t="s">
        <v>257</v>
      </c>
      <c r="P201" s="16" t="s">
        <v>203</v>
      </c>
      <c r="R201" s="16" t="s">
        <v>204</v>
      </c>
      <c r="S201" s="4" t="s">
        <v>258</v>
      </c>
      <c r="T201" s="24" t="n">
        <v>200</v>
      </c>
      <c r="U201" s="24" t="n">
        <v>2.5</v>
      </c>
      <c r="V201" s="24" t="n">
        <v>0.14</v>
      </c>
      <c r="W201" s="2" t="n">
        <v>0.1</v>
      </c>
      <c r="Z201" s="18"/>
      <c r="AA201" s="20"/>
      <c r="AB201" s="20"/>
      <c r="AC201" s="19" t="e">
        <f aca="false">(AB201-AA201)/AB201</f>
        <v>#DIV/0!</v>
      </c>
    </row>
    <row r="202" customFormat="false" ht="14.25" hidden="false" customHeight="true" outlineLevel="0" collapsed="false">
      <c r="A202" s="18" t="s">
        <v>228</v>
      </c>
      <c r="B202" s="18" t="s">
        <v>228</v>
      </c>
      <c r="C202" s="18" t="s">
        <v>40</v>
      </c>
      <c r="E202" s="2" t="n">
        <f aca="false">INDEX(FieldSites!F:F, MATCH(Ch2_FieldSurvey!B202,FieldSites!C:C,0))</f>
        <v>1901</v>
      </c>
      <c r="F202" s="2" t="n">
        <f aca="false">INDEX(FieldSites!G:G, MATCH(Ch2_FieldSurvey!B202,FieldSites!C:C,0))</f>
        <v>-119.802952</v>
      </c>
      <c r="G202" s="2" t="n">
        <f aca="false">INDEX(FieldSites!H:H, MATCH(Ch2_FieldSurvey!B202,FieldSites!C:C,0))</f>
        <v>37.755986</v>
      </c>
      <c r="H202" s="18" t="n">
        <v>10</v>
      </c>
      <c r="I202" s="21" t="s">
        <v>256</v>
      </c>
      <c r="J202" s="22" t="n">
        <v>44371</v>
      </c>
      <c r="K202" s="23"/>
      <c r="L202" s="22" t="n">
        <v>44372</v>
      </c>
      <c r="M202" s="23" t="n">
        <v>0.393055555555556</v>
      </c>
      <c r="O202" s="1" t="s">
        <v>257</v>
      </c>
      <c r="P202" s="16" t="s">
        <v>203</v>
      </c>
      <c r="R202" s="16" t="s">
        <v>204</v>
      </c>
      <c r="S202" s="4" t="s">
        <v>258</v>
      </c>
      <c r="T202" s="24" t="n">
        <v>215</v>
      </c>
      <c r="U202" s="24" t="n">
        <v>2.8</v>
      </c>
      <c r="V202" s="24" t="n">
        <v>0.17</v>
      </c>
      <c r="W202" s="2" t="n">
        <v>0.1</v>
      </c>
      <c r="Z202" s="18"/>
      <c r="AA202" s="20"/>
      <c r="AB202" s="20"/>
      <c r="AC202" s="19" t="e">
        <f aca="false">(AB202-AA202)/AB202</f>
        <v>#DIV/0!</v>
      </c>
    </row>
    <row r="203" customFormat="false" ht="14.25" hidden="false" customHeight="true" outlineLevel="0" collapsed="false">
      <c r="A203" s="18" t="s">
        <v>228</v>
      </c>
      <c r="B203" s="18" t="s">
        <v>228</v>
      </c>
      <c r="C203" s="18" t="s">
        <v>40</v>
      </c>
      <c r="E203" s="2" t="n">
        <f aca="false">INDEX(FieldSites!F:F, MATCH(Ch2_FieldSurvey!B203,FieldSites!C:C,0))</f>
        <v>1901</v>
      </c>
      <c r="F203" s="2" t="n">
        <f aca="false">INDEX(FieldSites!G:G, MATCH(Ch2_FieldSurvey!B203,FieldSites!C:C,0))</f>
        <v>-119.802952</v>
      </c>
      <c r="G203" s="2" t="n">
        <f aca="false">INDEX(FieldSites!H:H, MATCH(Ch2_FieldSurvey!B203,FieldSites!C:C,0))</f>
        <v>37.755986</v>
      </c>
      <c r="H203" s="18" t="n">
        <v>10</v>
      </c>
      <c r="I203" s="21" t="s">
        <v>256</v>
      </c>
      <c r="J203" s="22" t="n">
        <v>44371</v>
      </c>
      <c r="K203" s="23"/>
      <c r="L203" s="22" t="n">
        <v>44372</v>
      </c>
      <c r="M203" s="23" t="n">
        <v>0.393055555555556</v>
      </c>
      <c r="O203" s="1" t="s">
        <v>257</v>
      </c>
      <c r="P203" s="16" t="s">
        <v>203</v>
      </c>
      <c r="R203" s="16" t="s">
        <v>204</v>
      </c>
      <c r="S203" s="4" t="s">
        <v>258</v>
      </c>
      <c r="T203" s="24" t="n">
        <v>235</v>
      </c>
      <c r="U203" s="24" t="n">
        <v>2.5</v>
      </c>
      <c r="V203" s="24" t="n">
        <v>0.16</v>
      </c>
      <c r="Z203" s="18"/>
      <c r="AA203" s="20"/>
      <c r="AB203" s="20"/>
      <c r="AC203" s="19" t="e">
        <f aca="false">(AB203-AA203)/AB203</f>
        <v>#DIV/0!</v>
      </c>
    </row>
    <row r="204" customFormat="false" ht="14.25" hidden="false" customHeight="true" outlineLevel="0" collapsed="false">
      <c r="A204" s="18" t="s">
        <v>259</v>
      </c>
      <c r="B204" s="18" t="s">
        <v>259</v>
      </c>
      <c r="C204" s="18" t="s">
        <v>31</v>
      </c>
      <c r="E204" s="2" t="n">
        <f aca="false">INDEX(FieldSites!F:F, MATCH(Ch2_FieldSurvey!B204,FieldSites!C:C,0))</f>
        <v>1199</v>
      </c>
      <c r="F204" s="2" t="n">
        <f aca="false">INDEX(FieldSites!G:G, MATCH(Ch2_FieldSurvey!B204,FieldSites!C:C,0))</f>
        <v>-119.778553</v>
      </c>
      <c r="G204" s="2" t="n">
        <f aca="false">INDEX(FieldSites!H:H, MATCH(Ch2_FieldSurvey!B204,FieldSites!C:C,0))</f>
        <v>37.959056</v>
      </c>
      <c r="H204" s="18" t="n">
        <v>1</v>
      </c>
      <c r="I204" s="21" t="str">
        <f aca="false">CONCATENATE(B204,"_",C204,H204)</f>
        <v>HHBB_M. laciniatus1</v>
      </c>
      <c r="J204" s="22" t="n">
        <v>44671</v>
      </c>
      <c r="K204" s="23" t="n">
        <v>0.556944444444445</v>
      </c>
      <c r="L204" s="22" t="n">
        <v>44672</v>
      </c>
      <c r="M204" s="23" t="n">
        <v>0.445138888888889</v>
      </c>
      <c r="O204" s="1" t="s">
        <v>260</v>
      </c>
      <c r="P204" s="16" t="s">
        <v>261</v>
      </c>
      <c r="Q204" s="16" t="s">
        <v>262</v>
      </c>
      <c r="R204" s="16" t="s">
        <v>263</v>
      </c>
      <c r="S204" s="4" t="s">
        <v>264</v>
      </c>
      <c r="T204" s="24" t="n">
        <v>530</v>
      </c>
      <c r="U204" s="18"/>
      <c r="V204" s="24" t="n">
        <v>0.64</v>
      </c>
      <c r="Z204" s="18" t="s">
        <v>265</v>
      </c>
      <c r="AA204" s="20"/>
      <c r="AB204" s="20"/>
      <c r="AC204" s="19" t="e">
        <f aca="false">(AB204-AA204)/AB204</f>
        <v>#DIV/0!</v>
      </c>
      <c r="AD204" s="2" t="s">
        <v>266</v>
      </c>
    </row>
    <row r="205" customFormat="false" ht="14.25" hidden="false" customHeight="true" outlineLevel="0" collapsed="false">
      <c r="A205" s="18" t="s">
        <v>259</v>
      </c>
      <c r="B205" s="18" t="s">
        <v>259</v>
      </c>
      <c r="C205" s="18" t="s">
        <v>31</v>
      </c>
      <c r="E205" s="2" t="n">
        <f aca="false">INDEX(FieldSites!F:F, MATCH(Ch2_FieldSurvey!B205,FieldSites!C:C,0))</f>
        <v>1199</v>
      </c>
      <c r="F205" s="2" t="n">
        <f aca="false">INDEX(FieldSites!G:G, MATCH(Ch2_FieldSurvey!B205,FieldSites!C:C,0))</f>
        <v>-119.778553</v>
      </c>
      <c r="G205" s="2" t="n">
        <f aca="false">INDEX(FieldSites!H:H, MATCH(Ch2_FieldSurvey!B205,FieldSites!C:C,0))</f>
        <v>37.959056</v>
      </c>
      <c r="H205" s="18" t="n">
        <v>1</v>
      </c>
      <c r="I205" s="21" t="str">
        <f aca="false">CONCATENATE(B205,"_",C205,H205)</f>
        <v>HHBB_M. laciniatus1</v>
      </c>
      <c r="J205" s="22" t="n">
        <v>44671</v>
      </c>
      <c r="K205" s="23" t="n">
        <v>0.556944444444445</v>
      </c>
      <c r="L205" s="22" t="n">
        <v>44672</v>
      </c>
      <c r="M205" s="23" t="n">
        <v>0.445138888888889</v>
      </c>
      <c r="O205" s="1" t="s">
        <v>260</v>
      </c>
      <c r="P205" s="16" t="s">
        <v>261</v>
      </c>
      <c r="Q205" s="16" t="s">
        <v>262</v>
      </c>
      <c r="R205" s="16" t="s">
        <v>263</v>
      </c>
      <c r="S205" s="4" t="s">
        <v>264</v>
      </c>
      <c r="T205" s="24" t="n">
        <v>540</v>
      </c>
      <c r="U205" s="18"/>
      <c r="V205" s="24" t="n">
        <v>0.5</v>
      </c>
      <c r="Z205" s="18"/>
      <c r="AA205" s="20"/>
      <c r="AB205" s="20"/>
      <c r="AC205" s="19" t="e">
        <f aca="false">(AB205-AA205)/AB205</f>
        <v>#DIV/0!</v>
      </c>
      <c r="AD205" s="2" t="s">
        <v>266</v>
      </c>
    </row>
    <row r="206" customFormat="false" ht="14.25" hidden="false" customHeight="true" outlineLevel="0" collapsed="false">
      <c r="A206" s="18" t="s">
        <v>259</v>
      </c>
      <c r="B206" s="18" t="s">
        <v>259</v>
      </c>
      <c r="C206" s="18" t="s">
        <v>31</v>
      </c>
      <c r="E206" s="2" t="n">
        <f aca="false">INDEX(FieldSites!F:F, MATCH(Ch2_FieldSurvey!B206,FieldSites!C:C,0))</f>
        <v>1199</v>
      </c>
      <c r="F206" s="2" t="n">
        <f aca="false">INDEX(FieldSites!G:G, MATCH(Ch2_FieldSurvey!B206,FieldSites!C:C,0))</f>
        <v>-119.778553</v>
      </c>
      <c r="G206" s="2" t="n">
        <f aca="false">INDEX(FieldSites!H:H, MATCH(Ch2_FieldSurvey!B206,FieldSites!C:C,0))</f>
        <v>37.959056</v>
      </c>
      <c r="H206" s="18" t="n">
        <v>1</v>
      </c>
      <c r="I206" s="21" t="str">
        <f aca="false">CONCATENATE(B206,"_",C206,H206)</f>
        <v>HHBB_M. laciniatus1</v>
      </c>
      <c r="J206" s="22" t="n">
        <v>44671</v>
      </c>
      <c r="K206" s="23" t="n">
        <v>0.556944444444445</v>
      </c>
      <c r="L206" s="22" t="n">
        <v>44672</v>
      </c>
      <c r="M206" s="23" t="n">
        <v>0.445138888888889</v>
      </c>
      <c r="O206" s="1" t="s">
        <v>260</v>
      </c>
      <c r="P206" s="16" t="s">
        <v>261</v>
      </c>
      <c r="Q206" s="16" t="s">
        <v>262</v>
      </c>
      <c r="R206" s="16" t="s">
        <v>263</v>
      </c>
      <c r="S206" s="4" t="s">
        <v>264</v>
      </c>
      <c r="T206" s="24" t="n">
        <v>570</v>
      </c>
      <c r="U206" s="18"/>
      <c r="V206" s="24" t="n">
        <v>0.49</v>
      </c>
      <c r="Z206" s="18"/>
      <c r="AA206" s="20"/>
      <c r="AB206" s="20"/>
      <c r="AC206" s="19" t="e">
        <f aca="false">(AB206-AA206)/AB206</f>
        <v>#DIV/0!</v>
      </c>
      <c r="AD206" s="2" t="s">
        <v>266</v>
      </c>
    </row>
    <row r="207" customFormat="false" ht="14.25" hidden="false" customHeight="true" outlineLevel="0" collapsed="false">
      <c r="A207" s="18" t="s">
        <v>259</v>
      </c>
      <c r="B207" s="18" t="s">
        <v>259</v>
      </c>
      <c r="C207" s="18" t="s">
        <v>31</v>
      </c>
      <c r="E207" s="2" t="n">
        <f aca="false">INDEX(FieldSites!F:F, MATCH(Ch2_FieldSurvey!B207,FieldSites!C:C,0))</f>
        <v>1199</v>
      </c>
      <c r="F207" s="2" t="n">
        <f aca="false">INDEX(FieldSites!G:G, MATCH(Ch2_FieldSurvey!B207,FieldSites!C:C,0))</f>
        <v>-119.778553</v>
      </c>
      <c r="G207" s="2" t="n">
        <f aca="false">INDEX(FieldSites!H:H, MATCH(Ch2_FieldSurvey!B207,FieldSites!C:C,0))</f>
        <v>37.959056</v>
      </c>
      <c r="H207" s="18" t="n">
        <v>2</v>
      </c>
      <c r="I207" s="21" t="str">
        <f aca="false">CONCATENATE(B207,"_",C207,H207)</f>
        <v>HHBB_M. laciniatus2</v>
      </c>
      <c r="J207" s="22" t="n">
        <v>44671</v>
      </c>
      <c r="K207" s="23" t="n">
        <v>0.556944444444445</v>
      </c>
      <c r="L207" s="22" t="n">
        <v>44672</v>
      </c>
      <c r="M207" s="23" t="n">
        <v>0.450694444444444</v>
      </c>
      <c r="O207" s="1" t="s">
        <v>267</v>
      </c>
      <c r="P207" s="16" t="s">
        <v>261</v>
      </c>
      <c r="Q207" s="16" t="s">
        <v>262</v>
      </c>
      <c r="R207" s="16" t="s">
        <v>263</v>
      </c>
      <c r="S207" s="4" t="s">
        <v>268</v>
      </c>
      <c r="T207" s="24" t="n">
        <v>332</v>
      </c>
      <c r="U207" s="18"/>
      <c r="Z207" s="18" t="s">
        <v>269</v>
      </c>
      <c r="AA207" s="20"/>
      <c r="AB207" s="20"/>
      <c r="AC207" s="19" t="e">
        <f aca="false">(AB207-AA207)/AB207</f>
        <v>#DIV/0!</v>
      </c>
      <c r="AD207" s="2" t="s">
        <v>266</v>
      </c>
    </row>
    <row r="208" customFormat="false" ht="14.25" hidden="false" customHeight="true" outlineLevel="0" collapsed="false">
      <c r="A208" s="18" t="s">
        <v>259</v>
      </c>
      <c r="B208" s="18" t="s">
        <v>259</v>
      </c>
      <c r="C208" s="18" t="s">
        <v>31</v>
      </c>
      <c r="E208" s="2" t="n">
        <f aca="false">INDEX(FieldSites!F:F, MATCH(Ch2_FieldSurvey!B208,FieldSites!C:C,0))</f>
        <v>1199</v>
      </c>
      <c r="F208" s="2" t="n">
        <f aca="false">INDEX(FieldSites!G:G, MATCH(Ch2_FieldSurvey!B208,FieldSites!C:C,0))</f>
        <v>-119.778553</v>
      </c>
      <c r="G208" s="2" t="n">
        <f aca="false">INDEX(FieldSites!H:H, MATCH(Ch2_FieldSurvey!B208,FieldSites!C:C,0))</f>
        <v>37.959056</v>
      </c>
      <c r="H208" s="18" t="n">
        <v>2</v>
      </c>
      <c r="I208" s="21" t="str">
        <f aca="false">CONCATENATE(B208,"_",C208,H208)</f>
        <v>HHBB_M. laciniatus2</v>
      </c>
      <c r="J208" s="22" t="n">
        <v>44671</v>
      </c>
      <c r="K208" s="23" t="n">
        <v>0.556944444444445</v>
      </c>
      <c r="L208" s="22" t="n">
        <v>44672</v>
      </c>
      <c r="M208" s="23" t="n">
        <v>0.450694444444444</v>
      </c>
      <c r="O208" s="1" t="s">
        <v>267</v>
      </c>
      <c r="P208" s="16" t="s">
        <v>261</v>
      </c>
      <c r="Q208" s="16" t="s">
        <v>262</v>
      </c>
      <c r="R208" s="16" t="s">
        <v>263</v>
      </c>
      <c r="S208" s="4" t="s">
        <v>268</v>
      </c>
      <c r="T208" s="24" t="n">
        <v>380</v>
      </c>
      <c r="U208" s="18"/>
      <c r="Z208" s="18"/>
      <c r="AA208" s="20"/>
      <c r="AB208" s="20"/>
      <c r="AC208" s="19" t="e">
        <f aca="false">(AB208-AA208)/AB208</f>
        <v>#DIV/0!</v>
      </c>
      <c r="AD208" s="2" t="s">
        <v>266</v>
      </c>
    </row>
    <row r="209" customFormat="false" ht="14.25" hidden="false" customHeight="true" outlineLevel="0" collapsed="false">
      <c r="A209" s="18" t="s">
        <v>259</v>
      </c>
      <c r="B209" s="18" t="s">
        <v>259</v>
      </c>
      <c r="C209" s="18" t="s">
        <v>31</v>
      </c>
      <c r="E209" s="2" t="n">
        <f aca="false">INDEX(FieldSites!F:F, MATCH(Ch2_FieldSurvey!B209,FieldSites!C:C,0))</f>
        <v>1199</v>
      </c>
      <c r="F209" s="2" t="n">
        <f aca="false">INDEX(FieldSites!G:G, MATCH(Ch2_FieldSurvey!B209,FieldSites!C:C,0))</f>
        <v>-119.778553</v>
      </c>
      <c r="G209" s="2" t="n">
        <f aca="false">INDEX(FieldSites!H:H, MATCH(Ch2_FieldSurvey!B209,FieldSites!C:C,0))</f>
        <v>37.959056</v>
      </c>
      <c r="H209" s="18" t="n">
        <v>2</v>
      </c>
      <c r="I209" s="21" t="str">
        <f aca="false">CONCATENATE(B209,"_",C209,H209)</f>
        <v>HHBB_M. laciniatus2</v>
      </c>
      <c r="J209" s="22" t="n">
        <v>44671</v>
      </c>
      <c r="K209" s="23" t="n">
        <v>0.556944444444445</v>
      </c>
      <c r="L209" s="22" t="n">
        <v>44672</v>
      </c>
      <c r="M209" s="23" t="n">
        <v>0.450694444444444</v>
      </c>
      <c r="O209" s="1" t="s">
        <v>267</v>
      </c>
      <c r="P209" s="16" t="s">
        <v>261</v>
      </c>
      <c r="Q209" s="16" t="s">
        <v>262</v>
      </c>
      <c r="R209" s="16" t="s">
        <v>263</v>
      </c>
      <c r="S209" s="4" t="s">
        <v>268</v>
      </c>
      <c r="T209" s="24" t="n">
        <v>325</v>
      </c>
      <c r="U209" s="18"/>
      <c r="Z209" s="18"/>
      <c r="AA209" s="20"/>
      <c r="AB209" s="20"/>
      <c r="AC209" s="19" t="e">
        <f aca="false">(AB209-AA209)/AB209</f>
        <v>#DIV/0!</v>
      </c>
      <c r="AD209" s="2" t="s">
        <v>266</v>
      </c>
    </row>
    <row r="210" customFormat="false" ht="14.25" hidden="false" customHeight="true" outlineLevel="0" collapsed="false">
      <c r="A210" s="18" t="s">
        <v>259</v>
      </c>
      <c r="B210" s="18" t="s">
        <v>259</v>
      </c>
      <c r="C210" s="18" t="s">
        <v>31</v>
      </c>
      <c r="E210" s="2" t="n">
        <f aca="false">INDEX(FieldSites!F:F, MATCH(Ch2_FieldSurvey!B210,FieldSites!C:C,0))</f>
        <v>1199</v>
      </c>
      <c r="F210" s="2" t="n">
        <f aca="false">INDEX(FieldSites!G:G, MATCH(Ch2_FieldSurvey!B210,FieldSites!C:C,0))</f>
        <v>-119.778553</v>
      </c>
      <c r="G210" s="2" t="n">
        <f aca="false">INDEX(FieldSites!H:H, MATCH(Ch2_FieldSurvey!B210,FieldSites!C:C,0))</f>
        <v>37.959056</v>
      </c>
      <c r="H210" s="18" t="n">
        <v>3</v>
      </c>
      <c r="I210" s="21" t="str">
        <f aca="false">CONCATENATE(B210,"_",C210,H210)</f>
        <v>HHBB_M. laciniatus3</v>
      </c>
      <c r="J210" s="22" t="n">
        <v>44671</v>
      </c>
      <c r="K210" s="23" t="n">
        <v>0.556944444444445</v>
      </c>
      <c r="L210" s="22" t="n">
        <v>44672</v>
      </c>
      <c r="M210" s="23" t="n">
        <v>0.452777777777778</v>
      </c>
      <c r="O210" s="1" t="s">
        <v>270</v>
      </c>
      <c r="P210" s="16" t="s">
        <v>261</v>
      </c>
      <c r="Q210" s="16" t="s">
        <v>262</v>
      </c>
      <c r="R210" s="16" t="s">
        <v>263</v>
      </c>
      <c r="S210" s="4" t="s">
        <v>271</v>
      </c>
      <c r="T210" s="24" t="n">
        <v>360</v>
      </c>
      <c r="U210" s="18"/>
      <c r="V210" s="24"/>
      <c r="Z210" s="18" t="s">
        <v>269</v>
      </c>
      <c r="AA210" s="20"/>
      <c r="AB210" s="20"/>
      <c r="AC210" s="19" t="e">
        <f aca="false">(AB210-AA210)/AB210</f>
        <v>#DIV/0!</v>
      </c>
      <c r="AD210" s="2" t="s">
        <v>266</v>
      </c>
    </row>
    <row r="211" customFormat="false" ht="14.25" hidden="false" customHeight="true" outlineLevel="0" collapsed="false">
      <c r="A211" s="18" t="s">
        <v>259</v>
      </c>
      <c r="B211" s="18" t="s">
        <v>259</v>
      </c>
      <c r="C211" s="18" t="s">
        <v>31</v>
      </c>
      <c r="E211" s="2" t="n">
        <f aca="false">INDEX(FieldSites!F:F, MATCH(Ch2_FieldSurvey!B211,FieldSites!C:C,0))</f>
        <v>1199</v>
      </c>
      <c r="F211" s="2" t="n">
        <f aca="false">INDEX(FieldSites!G:G, MATCH(Ch2_FieldSurvey!B211,FieldSites!C:C,0))</f>
        <v>-119.778553</v>
      </c>
      <c r="G211" s="2" t="n">
        <f aca="false">INDEX(FieldSites!H:H, MATCH(Ch2_FieldSurvey!B211,FieldSites!C:C,0))</f>
        <v>37.959056</v>
      </c>
      <c r="H211" s="18" t="n">
        <v>3</v>
      </c>
      <c r="I211" s="21" t="str">
        <f aca="false">CONCATENATE(B211,"_",C211,H211)</f>
        <v>HHBB_M. laciniatus3</v>
      </c>
      <c r="J211" s="22" t="n">
        <v>44671</v>
      </c>
      <c r="K211" s="23" t="n">
        <v>0.556944444444445</v>
      </c>
      <c r="L211" s="22" t="n">
        <v>44672</v>
      </c>
      <c r="M211" s="23" t="n">
        <v>0.452777777777778</v>
      </c>
      <c r="O211" s="1" t="s">
        <v>270</v>
      </c>
      <c r="P211" s="16" t="s">
        <v>261</v>
      </c>
      <c r="Q211" s="16" t="s">
        <v>262</v>
      </c>
      <c r="R211" s="16" t="s">
        <v>263</v>
      </c>
      <c r="S211" s="4" t="s">
        <v>271</v>
      </c>
      <c r="T211" s="24" t="n">
        <v>380</v>
      </c>
      <c r="U211" s="18"/>
      <c r="V211" s="24"/>
      <c r="Z211" s="18"/>
      <c r="AA211" s="20"/>
      <c r="AB211" s="20"/>
      <c r="AC211" s="19" t="e">
        <f aca="false">(AB211-AA211)/AB211</f>
        <v>#DIV/0!</v>
      </c>
      <c r="AD211" s="2" t="s">
        <v>266</v>
      </c>
    </row>
    <row r="212" customFormat="false" ht="14.25" hidden="false" customHeight="true" outlineLevel="0" collapsed="false">
      <c r="A212" s="18" t="s">
        <v>259</v>
      </c>
      <c r="B212" s="18" t="s">
        <v>259</v>
      </c>
      <c r="C212" s="18" t="s">
        <v>31</v>
      </c>
      <c r="E212" s="2" t="n">
        <f aca="false">INDEX(FieldSites!F:F, MATCH(Ch2_FieldSurvey!B212,FieldSites!C:C,0))</f>
        <v>1199</v>
      </c>
      <c r="F212" s="2" t="n">
        <f aca="false">INDEX(FieldSites!G:G, MATCH(Ch2_FieldSurvey!B212,FieldSites!C:C,0))</f>
        <v>-119.778553</v>
      </c>
      <c r="G212" s="2" t="n">
        <f aca="false">INDEX(FieldSites!H:H, MATCH(Ch2_FieldSurvey!B212,FieldSites!C:C,0))</f>
        <v>37.959056</v>
      </c>
      <c r="H212" s="18" t="n">
        <v>3</v>
      </c>
      <c r="I212" s="21" t="str">
        <f aca="false">CONCATENATE(B212,"_",C212,H212)</f>
        <v>HHBB_M. laciniatus3</v>
      </c>
      <c r="J212" s="22" t="n">
        <v>44671</v>
      </c>
      <c r="K212" s="23" t="n">
        <v>0.556944444444445</v>
      </c>
      <c r="L212" s="22" t="n">
        <v>44672</v>
      </c>
      <c r="M212" s="23" t="n">
        <v>0.452777777777778</v>
      </c>
      <c r="O212" s="1" t="s">
        <v>270</v>
      </c>
      <c r="P212" s="16" t="s">
        <v>261</v>
      </c>
      <c r="Q212" s="16" t="s">
        <v>262</v>
      </c>
      <c r="R212" s="16" t="s">
        <v>263</v>
      </c>
      <c r="S212" s="4" t="s">
        <v>271</v>
      </c>
      <c r="T212" s="24" t="n">
        <v>450</v>
      </c>
      <c r="U212" s="18"/>
      <c r="V212" s="24"/>
      <c r="Z212" s="18"/>
      <c r="AA212" s="20"/>
      <c r="AB212" s="20"/>
      <c r="AC212" s="19" t="e">
        <f aca="false">(AB212-AA212)/AB212</f>
        <v>#DIV/0!</v>
      </c>
      <c r="AD212" s="2" t="s">
        <v>266</v>
      </c>
    </row>
    <row r="213" customFormat="false" ht="14.25" hidden="false" customHeight="true" outlineLevel="0" collapsed="false">
      <c r="A213" s="18" t="s">
        <v>259</v>
      </c>
      <c r="B213" s="18" t="s">
        <v>259</v>
      </c>
      <c r="C213" s="18" t="s">
        <v>31</v>
      </c>
      <c r="E213" s="2" t="n">
        <f aca="false">INDEX(FieldSites!F:F, MATCH(Ch2_FieldSurvey!B213,FieldSites!C:C,0))</f>
        <v>1199</v>
      </c>
      <c r="F213" s="2" t="n">
        <f aca="false">INDEX(FieldSites!G:G, MATCH(Ch2_FieldSurvey!B213,FieldSites!C:C,0))</f>
        <v>-119.778553</v>
      </c>
      <c r="G213" s="2" t="n">
        <f aca="false">INDEX(FieldSites!H:H, MATCH(Ch2_FieldSurvey!B213,FieldSites!C:C,0))</f>
        <v>37.959056</v>
      </c>
      <c r="H213" s="18" t="n">
        <v>4</v>
      </c>
      <c r="I213" s="21" t="str">
        <f aca="false">CONCATENATE(B213,"_",C213,H213)</f>
        <v>HHBB_M. laciniatus4</v>
      </c>
      <c r="J213" s="22" t="n">
        <v>44671</v>
      </c>
      <c r="K213" s="23" t="n">
        <v>0.556944444444445</v>
      </c>
      <c r="L213" s="22" t="n">
        <v>44672</v>
      </c>
      <c r="M213" s="23" t="n">
        <v>0.45625</v>
      </c>
      <c r="O213" s="1" t="s">
        <v>272</v>
      </c>
      <c r="P213" s="16" t="s">
        <v>261</v>
      </c>
      <c r="Q213" s="16" t="s">
        <v>262</v>
      </c>
      <c r="R213" s="16" t="s">
        <v>263</v>
      </c>
      <c r="S213" s="4" t="s">
        <v>273</v>
      </c>
      <c r="T213" s="24" t="n">
        <v>435</v>
      </c>
      <c r="U213" s="18"/>
      <c r="V213" s="24" t="n">
        <v>0.69</v>
      </c>
      <c r="Z213" s="18"/>
      <c r="AA213" s="20"/>
      <c r="AB213" s="20"/>
      <c r="AC213" s="19" t="e">
        <f aca="false">(AB213-AA213)/AB213</f>
        <v>#DIV/0!</v>
      </c>
      <c r="AD213" s="2" t="s">
        <v>266</v>
      </c>
    </row>
    <row r="214" customFormat="false" ht="14.25" hidden="false" customHeight="true" outlineLevel="0" collapsed="false">
      <c r="A214" s="18" t="s">
        <v>259</v>
      </c>
      <c r="B214" s="18" t="s">
        <v>259</v>
      </c>
      <c r="C214" s="18" t="s">
        <v>31</v>
      </c>
      <c r="E214" s="2" t="n">
        <f aca="false">INDEX(FieldSites!F:F, MATCH(Ch2_FieldSurvey!B214,FieldSites!C:C,0))</f>
        <v>1199</v>
      </c>
      <c r="F214" s="2" t="n">
        <f aca="false">INDEX(FieldSites!G:G, MATCH(Ch2_FieldSurvey!B214,FieldSites!C:C,0))</f>
        <v>-119.778553</v>
      </c>
      <c r="G214" s="2" t="n">
        <f aca="false">INDEX(FieldSites!H:H, MATCH(Ch2_FieldSurvey!B214,FieldSites!C:C,0))</f>
        <v>37.959056</v>
      </c>
      <c r="H214" s="18" t="n">
        <v>4</v>
      </c>
      <c r="I214" s="21" t="str">
        <f aca="false">CONCATENATE(B214,"_",C214,H214)</f>
        <v>HHBB_M. laciniatus4</v>
      </c>
      <c r="J214" s="22" t="n">
        <v>44671</v>
      </c>
      <c r="K214" s="23" t="n">
        <v>0.556944444444445</v>
      </c>
      <c r="L214" s="22" t="n">
        <v>44672</v>
      </c>
      <c r="M214" s="23" t="n">
        <v>0.45625</v>
      </c>
      <c r="O214" s="1" t="s">
        <v>272</v>
      </c>
      <c r="P214" s="16" t="s">
        <v>261</v>
      </c>
      <c r="Q214" s="16" t="s">
        <v>262</v>
      </c>
      <c r="R214" s="16" t="s">
        <v>263</v>
      </c>
      <c r="S214" s="4" t="s">
        <v>273</v>
      </c>
      <c r="T214" s="24" t="n">
        <v>390</v>
      </c>
      <c r="U214" s="18"/>
      <c r="V214" s="24" t="n">
        <v>0.78</v>
      </c>
      <c r="Z214" s="18"/>
      <c r="AA214" s="20"/>
      <c r="AB214" s="20"/>
      <c r="AC214" s="19" t="e">
        <f aca="false">(AB214-AA214)/AB214</f>
        <v>#DIV/0!</v>
      </c>
      <c r="AD214" s="2" t="s">
        <v>266</v>
      </c>
    </row>
    <row r="215" customFormat="false" ht="14.25" hidden="false" customHeight="true" outlineLevel="0" collapsed="false">
      <c r="A215" s="18" t="s">
        <v>259</v>
      </c>
      <c r="B215" s="18" t="s">
        <v>259</v>
      </c>
      <c r="C215" s="18" t="s">
        <v>31</v>
      </c>
      <c r="E215" s="2" t="n">
        <f aca="false">INDEX(FieldSites!F:F, MATCH(Ch2_FieldSurvey!B215,FieldSites!C:C,0))</f>
        <v>1199</v>
      </c>
      <c r="F215" s="2" t="n">
        <f aca="false">INDEX(FieldSites!G:G, MATCH(Ch2_FieldSurvey!B215,FieldSites!C:C,0))</f>
        <v>-119.778553</v>
      </c>
      <c r="G215" s="2" t="n">
        <f aca="false">INDEX(FieldSites!H:H, MATCH(Ch2_FieldSurvey!B215,FieldSites!C:C,0))</f>
        <v>37.959056</v>
      </c>
      <c r="H215" s="18" t="n">
        <v>4</v>
      </c>
      <c r="I215" s="21" t="str">
        <f aca="false">CONCATENATE(B215,"_",C215,H215)</f>
        <v>HHBB_M. laciniatus4</v>
      </c>
      <c r="J215" s="22" t="n">
        <v>44671</v>
      </c>
      <c r="K215" s="23" t="n">
        <v>0.556944444444445</v>
      </c>
      <c r="L215" s="22" t="n">
        <v>44672</v>
      </c>
      <c r="M215" s="23" t="n">
        <v>0.45625</v>
      </c>
      <c r="O215" s="1" t="s">
        <v>272</v>
      </c>
      <c r="P215" s="16" t="s">
        <v>261</v>
      </c>
      <c r="Q215" s="16" t="s">
        <v>262</v>
      </c>
      <c r="R215" s="16" t="s">
        <v>263</v>
      </c>
      <c r="S215" s="4" t="s">
        <v>273</v>
      </c>
      <c r="T215" s="24" t="n">
        <v>392</v>
      </c>
      <c r="U215" s="18"/>
      <c r="V215" s="24" t="n">
        <v>0.74</v>
      </c>
      <c r="Z215" s="18"/>
      <c r="AA215" s="20"/>
      <c r="AB215" s="20"/>
      <c r="AC215" s="19" t="e">
        <f aca="false">(AB215-AA215)/AB215</f>
        <v>#DIV/0!</v>
      </c>
      <c r="AD215" s="2" t="s">
        <v>266</v>
      </c>
    </row>
    <row r="216" customFormat="false" ht="14.25" hidden="false" customHeight="true" outlineLevel="0" collapsed="false">
      <c r="A216" s="18" t="s">
        <v>259</v>
      </c>
      <c r="B216" s="18" t="s">
        <v>259</v>
      </c>
      <c r="C216" s="18" t="s">
        <v>31</v>
      </c>
      <c r="E216" s="2" t="n">
        <f aca="false">INDEX(FieldSites!F:F, MATCH(Ch2_FieldSurvey!B216,FieldSites!C:C,0))</f>
        <v>1199</v>
      </c>
      <c r="F216" s="2" t="n">
        <f aca="false">INDEX(FieldSites!G:G, MATCH(Ch2_FieldSurvey!B216,FieldSites!C:C,0))</f>
        <v>-119.778553</v>
      </c>
      <c r="G216" s="2" t="n">
        <f aca="false">INDEX(FieldSites!H:H, MATCH(Ch2_FieldSurvey!B216,FieldSites!C:C,0))</f>
        <v>37.959056</v>
      </c>
      <c r="H216" s="18" t="n">
        <v>5</v>
      </c>
      <c r="I216" s="21" t="str">
        <f aca="false">CONCATENATE(B216,"_",C216,H216)</f>
        <v>HHBB_M. laciniatus5</v>
      </c>
      <c r="J216" s="22" t="n">
        <v>44671</v>
      </c>
      <c r="K216" s="23" t="n">
        <v>0.556944444444445</v>
      </c>
      <c r="L216" s="22" t="n">
        <v>44672</v>
      </c>
      <c r="M216" s="23" t="n">
        <v>0.458333333333333</v>
      </c>
      <c r="O216" s="1" t="s">
        <v>274</v>
      </c>
      <c r="P216" s="16" t="s">
        <v>261</v>
      </c>
      <c r="Q216" s="16" t="s">
        <v>262</v>
      </c>
      <c r="R216" s="16" t="s">
        <v>263</v>
      </c>
      <c r="S216" s="4" t="s">
        <v>171</v>
      </c>
      <c r="T216" s="24" t="n">
        <v>420</v>
      </c>
      <c r="U216" s="18"/>
      <c r="V216" s="24" t="n">
        <v>0.7</v>
      </c>
      <c r="Z216" s="18"/>
      <c r="AA216" s="20"/>
      <c r="AB216" s="20"/>
      <c r="AC216" s="19" t="e">
        <f aca="false">(AB216-AA216)/AB216</f>
        <v>#DIV/0!</v>
      </c>
      <c r="AD216" s="2" t="s">
        <v>266</v>
      </c>
    </row>
    <row r="217" customFormat="false" ht="14.25" hidden="false" customHeight="true" outlineLevel="0" collapsed="false">
      <c r="A217" s="18" t="s">
        <v>259</v>
      </c>
      <c r="B217" s="18" t="s">
        <v>259</v>
      </c>
      <c r="C217" s="18" t="s">
        <v>31</v>
      </c>
      <c r="E217" s="2" t="n">
        <f aca="false">INDEX(FieldSites!F:F, MATCH(Ch2_FieldSurvey!B217,FieldSites!C:C,0))</f>
        <v>1199</v>
      </c>
      <c r="F217" s="2" t="n">
        <f aca="false">INDEX(FieldSites!G:G, MATCH(Ch2_FieldSurvey!B217,FieldSites!C:C,0))</f>
        <v>-119.778553</v>
      </c>
      <c r="G217" s="2" t="n">
        <f aca="false">INDEX(FieldSites!H:H, MATCH(Ch2_FieldSurvey!B217,FieldSites!C:C,0))</f>
        <v>37.959056</v>
      </c>
      <c r="H217" s="18" t="n">
        <v>5</v>
      </c>
      <c r="I217" s="21" t="str">
        <f aca="false">CONCATENATE(B217,"_",C217,H217)</f>
        <v>HHBB_M. laciniatus5</v>
      </c>
      <c r="J217" s="22" t="n">
        <v>44671</v>
      </c>
      <c r="K217" s="23" t="n">
        <v>0.556944444444445</v>
      </c>
      <c r="L217" s="22" t="n">
        <v>44672</v>
      </c>
      <c r="M217" s="23" t="n">
        <v>0.458333333333333</v>
      </c>
      <c r="O217" s="1" t="s">
        <v>274</v>
      </c>
      <c r="P217" s="16" t="s">
        <v>261</v>
      </c>
      <c r="Q217" s="16" t="s">
        <v>262</v>
      </c>
      <c r="R217" s="16" t="s">
        <v>263</v>
      </c>
      <c r="S217" s="4" t="s">
        <v>171</v>
      </c>
      <c r="T217" s="24" t="n">
        <v>452</v>
      </c>
      <c r="U217" s="18"/>
      <c r="V217" s="24" t="n">
        <v>0.77</v>
      </c>
      <c r="Z217" s="18"/>
      <c r="AA217" s="20"/>
      <c r="AB217" s="20"/>
      <c r="AC217" s="19" t="e">
        <f aca="false">(AB217-AA217)/AB217</f>
        <v>#DIV/0!</v>
      </c>
      <c r="AD217" s="2" t="s">
        <v>266</v>
      </c>
    </row>
    <row r="218" customFormat="false" ht="14.25" hidden="false" customHeight="true" outlineLevel="0" collapsed="false">
      <c r="A218" s="18" t="s">
        <v>259</v>
      </c>
      <c r="B218" s="18" t="s">
        <v>259</v>
      </c>
      <c r="C218" s="18" t="s">
        <v>31</v>
      </c>
      <c r="E218" s="2" t="n">
        <f aca="false">INDEX(FieldSites!F:F, MATCH(Ch2_FieldSurvey!B218,FieldSites!C:C,0))</f>
        <v>1199</v>
      </c>
      <c r="F218" s="2" t="n">
        <f aca="false">INDEX(FieldSites!G:G, MATCH(Ch2_FieldSurvey!B218,FieldSites!C:C,0))</f>
        <v>-119.778553</v>
      </c>
      <c r="G218" s="2" t="n">
        <f aca="false">INDEX(FieldSites!H:H, MATCH(Ch2_FieldSurvey!B218,FieldSites!C:C,0))</f>
        <v>37.959056</v>
      </c>
      <c r="H218" s="18" t="n">
        <v>5</v>
      </c>
      <c r="I218" s="21" t="str">
        <f aca="false">CONCATENATE(B218,"_",C218,H218)</f>
        <v>HHBB_M. laciniatus5</v>
      </c>
      <c r="J218" s="22" t="n">
        <v>44671</v>
      </c>
      <c r="K218" s="23" t="n">
        <v>0.556944444444445</v>
      </c>
      <c r="L218" s="22" t="n">
        <v>44672</v>
      </c>
      <c r="M218" s="23" t="n">
        <v>0.458333333333333</v>
      </c>
      <c r="O218" s="1" t="s">
        <v>274</v>
      </c>
      <c r="P218" s="16" t="s">
        <v>261</v>
      </c>
      <c r="Q218" s="16" t="s">
        <v>262</v>
      </c>
      <c r="R218" s="16" t="s">
        <v>263</v>
      </c>
      <c r="S218" s="4" t="s">
        <v>171</v>
      </c>
      <c r="T218" s="24" t="n">
        <v>420</v>
      </c>
      <c r="U218" s="18"/>
      <c r="V218" s="24" t="n">
        <v>0.31</v>
      </c>
      <c r="Z218" s="18"/>
      <c r="AA218" s="20"/>
      <c r="AB218" s="20"/>
      <c r="AC218" s="19" t="e">
        <f aca="false">(AB218-AA218)/AB218</f>
        <v>#DIV/0!</v>
      </c>
      <c r="AD218" s="2" t="s">
        <v>266</v>
      </c>
    </row>
    <row r="219" customFormat="false" ht="14.25" hidden="false" customHeight="true" outlineLevel="0" collapsed="false">
      <c r="A219" s="18" t="s">
        <v>259</v>
      </c>
      <c r="B219" s="18" t="s">
        <v>259</v>
      </c>
      <c r="C219" s="18" t="s">
        <v>31</v>
      </c>
      <c r="E219" s="2" t="n">
        <f aca="false">INDEX(FieldSites!F:F, MATCH(Ch2_FieldSurvey!B219,FieldSites!C:C,0))</f>
        <v>1199</v>
      </c>
      <c r="F219" s="2" t="n">
        <f aca="false">INDEX(FieldSites!G:G, MATCH(Ch2_FieldSurvey!B219,FieldSites!C:C,0))</f>
        <v>-119.778553</v>
      </c>
      <c r="G219" s="2" t="n">
        <f aca="false">INDEX(FieldSites!H:H, MATCH(Ch2_FieldSurvey!B219,FieldSites!C:C,0))</f>
        <v>37.959056</v>
      </c>
      <c r="H219" s="18" t="n">
        <v>6</v>
      </c>
      <c r="I219" s="21" t="str">
        <f aca="false">CONCATENATE(B219,"_",C219,H219)</f>
        <v>HHBB_M. laciniatus6</v>
      </c>
      <c r="J219" s="22" t="n">
        <v>44671</v>
      </c>
      <c r="K219" s="23" t="n">
        <v>0.556944444444445</v>
      </c>
      <c r="L219" s="22" t="n">
        <v>44672</v>
      </c>
      <c r="M219" s="23" t="n">
        <v>0.461805555555556</v>
      </c>
      <c r="O219" s="1" t="s">
        <v>275</v>
      </c>
      <c r="P219" s="16" t="s">
        <v>261</v>
      </c>
      <c r="Q219" s="16" t="s">
        <v>262</v>
      </c>
      <c r="R219" s="16" t="s">
        <v>263</v>
      </c>
      <c r="S219" s="4" t="s">
        <v>276</v>
      </c>
      <c r="T219" s="24" t="n">
        <v>386</v>
      </c>
      <c r="U219" s="18"/>
      <c r="V219" s="24" t="n">
        <v>0.6</v>
      </c>
      <c r="Z219" s="18"/>
      <c r="AA219" s="20"/>
      <c r="AB219" s="20"/>
      <c r="AC219" s="19" t="e">
        <f aca="false">(AB219-AA219)/AB219</f>
        <v>#DIV/0!</v>
      </c>
      <c r="AD219" s="2" t="s">
        <v>266</v>
      </c>
    </row>
    <row r="220" customFormat="false" ht="14.25" hidden="false" customHeight="true" outlineLevel="0" collapsed="false">
      <c r="A220" s="18" t="s">
        <v>259</v>
      </c>
      <c r="B220" s="18" t="s">
        <v>259</v>
      </c>
      <c r="C220" s="18" t="s">
        <v>31</v>
      </c>
      <c r="E220" s="2" t="n">
        <f aca="false">INDEX(FieldSites!F:F, MATCH(Ch2_FieldSurvey!B220,FieldSites!C:C,0))</f>
        <v>1199</v>
      </c>
      <c r="F220" s="2" t="n">
        <f aca="false">INDEX(FieldSites!G:G, MATCH(Ch2_FieldSurvey!B220,FieldSites!C:C,0))</f>
        <v>-119.778553</v>
      </c>
      <c r="G220" s="2" t="n">
        <f aca="false">INDEX(FieldSites!H:H, MATCH(Ch2_FieldSurvey!B220,FieldSites!C:C,0))</f>
        <v>37.959056</v>
      </c>
      <c r="H220" s="18" t="n">
        <v>6</v>
      </c>
      <c r="I220" s="21" t="str">
        <f aca="false">CONCATENATE(B220,"_",C220,H220)</f>
        <v>HHBB_M. laciniatus6</v>
      </c>
      <c r="J220" s="22" t="n">
        <v>44671</v>
      </c>
      <c r="K220" s="23" t="n">
        <v>0.556944444444445</v>
      </c>
      <c r="L220" s="22" t="n">
        <v>44672</v>
      </c>
      <c r="M220" s="23" t="n">
        <v>0.461805555555556</v>
      </c>
      <c r="O220" s="1" t="s">
        <v>275</v>
      </c>
      <c r="P220" s="16" t="s">
        <v>261</v>
      </c>
      <c r="Q220" s="16" t="s">
        <v>262</v>
      </c>
      <c r="R220" s="16" t="s">
        <v>263</v>
      </c>
      <c r="S220" s="4" t="s">
        <v>276</v>
      </c>
      <c r="T220" s="24" t="n">
        <v>400</v>
      </c>
      <c r="U220" s="18"/>
      <c r="V220" s="24" t="n">
        <v>0.54</v>
      </c>
      <c r="Z220" s="18"/>
      <c r="AA220" s="20"/>
      <c r="AB220" s="20"/>
      <c r="AC220" s="19" t="e">
        <f aca="false">(AB220-AA220)/AB220</f>
        <v>#DIV/0!</v>
      </c>
      <c r="AD220" s="2" t="s">
        <v>266</v>
      </c>
    </row>
    <row r="221" customFormat="false" ht="14.25" hidden="false" customHeight="true" outlineLevel="0" collapsed="false">
      <c r="A221" s="18" t="s">
        <v>259</v>
      </c>
      <c r="B221" s="18" t="s">
        <v>259</v>
      </c>
      <c r="C221" s="18" t="s">
        <v>31</v>
      </c>
      <c r="E221" s="2" t="n">
        <f aca="false">INDEX(FieldSites!F:F, MATCH(Ch2_FieldSurvey!B221,FieldSites!C:C,0))</f>
        <v>1199</v>
      </c>
      <c r="F221" s="2" t="n">
        <f aca="false">INDEX(FieldSites!G:G, MATCH(Ch2_FieldSurvey!B221,FieldSites!C:C,0))</f>
        <v>-119.778553</v>
      </c>
      <c r="G221" s="2" t="n">
        <f aca="false">INDEX(FieldSites!H:H, MATCH(Ch2_FieldSurvey!B221,FieldSites!C:C,0))</f>
        <v>37.959056</v>
      </c>
      <c r="H221" s="18" t="n">
        <v>6</v>
      </c>
      <c r="I221" s="21" t="str">
        <f aca="false">CONCATENATE(B221,"_",C221,H221)</f>
        <v>HHBB_M. laciniatus6</v>
      </c>
      <c r="J221" s="22" t="n">
        <v>44671</v>
      </c>
      <c r="K221" s="23" t="n">
        <v>0.556944444444445</v>
      </c>
      <c r="L221" s="22" t="n">
        <v>44672</v>
      </c>
      <c r="M221" s="23" t="n">
        <v>0.461805555555556</v>
      </c>
      <c r="O221" s="1" t="s">
        <v>275</v>
      </c>
      <c r="P221" s="16" t="s">
        <v>261</v>
      </c>
      <c r="Q221" s="16" t="s">
        <v>262</v>
      </c>
      <c r="R221" s="16" t="s">
        <v>263</v>
      </c>
      <c r="S221" s="4" t="s">
        <v>276</v>
      </c>
      <c r="T221" s="24" t="n">
        <v>340</v>
      </c>
      <c r="U221" s="18"/>
      <c r="V221" s="24" t="n">
        <v>0.59</v>
      </c>
      <c r="Z221" s="18"/>
      <c r="AA221" s="20"/>
      <c r="AB221" s="20"/>
      <c r="AC221" s="19" t="e">
        <f aca="false">(AB221-AA221)/AB221</f>
        <v>#DIV/0!</v>
      </c>
      <c r="AD221" s="2" t="s">
        <v>266</v>
      </c>
    </row>
    <row r="222" customFormat="false" ht="14.25" hidden="false" customHeight="true" outlineLevel="0" collapsed="false">
      <c r="A222" s="18" t="s">
        <v>259</v>
      </c>
      <c r="B222" s="18" t="s">
        <v>259</v>
      </c>
      <c r="C222" s="18" t="s">
        <v>31</v>
      </c>
      <c r="E222" s="2" t="n">
        <f aca="false">INDEX(FieldSites!F:F, MATCH(Ch2_FieldSurvey!B222,FieldSites!C:C,0))</f>
        <v>1199</v>
      </c>
      <c r="F222" s="2" t="n">
        <f aca="false">INDEX(FieldSites!G:G, MATCH(Ch2_FieldSurvey!B222,FieldSites!C:C,0))</f>
        <v>-119.778553</v>
      </c>
      <c r="G222" s="2" t="n">
        <f aca="false">INDEX(FieldSites!H:H, MATCH(Ch2_FieldSurvey!B222,FieldSites!C:C,0))</f>
        <v>37.959056</v>
      </c>
      <c r="H222" s="18" t="n">
        <v>7</v>
      </c>
      <c r="I222" s="21" t="str">
        <f aca="false">CONCATENATE(B222,"_",C222,H222)</f>
        <v>HHBB_M. laciniatus7</v>
      </c>
      <c r="J222" s="22" t="n">
        <v>44671</v>
      </c>
      <c r="K222" s="23" t="n">
        <v>0.556944444444445</v>
      </c>
      <c r="L222" s="22" t="n">
        <v>44672</v>
      </c>
      <c r="M222" s="23" t="n">
        <v>0.463888888888889</v>
      </c>
      <c r="O222" s="1" t="s">
        <v>277</v>
      </c>
      <c r="P222" s="16" t="s">
        <v>261</v>
      </c>
      <c r="Q222" s="16" t="s">
        <v>262</v>
      </c>
      <c r="R222" s="16" t="s">
        <v>263</v>
      </c>
      <c r="S222" s="4" t="s">
        <v>278</v>
      </c>
      <c r="T222" s="24" t="n">
        <v>306</v>
      </c>
      <c r="U222" s="18"/>
      <c r="V222" s="24" t="n">
        <v>0.39</v>
      </c>
      <c r="W222" s="2" t="n">
        <v>0.3</v>
      </c>
      <c r="Z222" s="18" t="s">
        <v>265</v>
      </c>
      <c r="AA222" s="20"/>
      <c r="AB222" s="20"/>
      <c r="AC222" s="19" t="e">
        <f aca="false">(AB222-AA222)/AB222</f>
        <v>#DIV/0!</v>
      </c>
      <c r="AD222" s="2" t="s">
        <v>266</v>
      </c>
    </row>
    <row r="223" customFormat="false" ht="14.25" hidden="false" customHeight="true" outlineLevel="0" collapsed="false">
      <c r="A223" s="18" t="s">
        <v>259</v>
      </c>
      <c r="B223" s="18" t="s">
        <v>259</v>
      </c>
      <c r="C223" s="18" t="s">
        <v>31</v>
      </c>
      <c r="E223" s="2" t="n">
        <f aca="false">INDEX(FieldSites!F:F, MATCH(Ch2_FieldSurvey!B223,FieldSites!C:C,0))</f>
        <v>1199</v>
      </c>
      <c r="F223" s="2" t="n">
        <f aca="false">INDEX(FieldSites!G:G, MATCH(Ch2_FieldSurvey!B223,FieldSites!C:C,0))</f>
        <v>-119.778553</v>
      </c>
      <c r="G223" s="2" t="n">
        <f aca="false">INDEX(FieldSites!H:H, MATCH(Ch2_FieldSurvey!B223,FieldSites!C:C,0))</f>
        <v>37.959056</v>
      </c>
      <c r="H223" s="18" t="n">
        <v>7</v>
      </c>
      <c r="I223" s="21" t="str">
        <f aca="false">CONCATENATE(B223,"_",C223,H223)</f>
        <v>HHBB_M. laciniatus7</v>
      </c>
      <c r="J223" s="22" t="n">
        <v>44671</v>
      </c>
      <c r="K223" s="23" t="n">
        <v>0.556944444444445</v>
      </c>
      <c r="L223" s="22" t="n">
        <v>44672</v>
      </c>
      <c r="M223" s="23" t="n">
        <v>0.463888888888889</v>
      </c>
      <c r="O223" s="1" t="s">
        <v>277</v>
      </c>
      <c r="P223" s="16" t="s">
        <v>261</v>
      </c>
      <c r="Q223" s="16" t="s">
        <v>262</v>
      </c>
      <c r="R223" s="16" t="s">
        <v>263</v>
      </c>
      <c r="S223" s="4" t="s">
        <v>278</v>
      </c>
      <c r="T223" s="24" t="n">
        <v>313</v>
      </c>
      <c r="U223" s="18"/>
      <c r="V223" s="24" t="n">
        <v>0.37</v>
      </c>
      <c r="Z223" s="18"/>
      <c r="AA223" s="20"/>
      <c r="AB223" s="20"/>
      <c r="AC223" s="19" t="e">
        <f aca="false">(AB223-AA223)/AB223</f>
        <v>#DIV/0!</v>
      </c>
      <c r="AD223" s="2" t="s">
        <v>266</v>
      </c>
    </row>
    <row r="224" customFormat="false" ht="14.25" hidden="false" customHeight="true" outlineLevel="0" collapsed="false">
      <c r="A224" s="18" t="s">
        <v>259</v>
      </c>
      <c r="B224" s="18" t="s">
        <v>259</v>
      </c>
      <c r="C224" s="18" t="s">
        <v>31</v>
      </c>
      <c r="E224" s="2" t="n">
        <f aca="false">INDEX(FieldSites!F:F, MATCH(Ch2_FieldSurvey!B224,FieldSites!C:C,0))</f>
        <v>1199</v>
      </c>
      <c r="F224" s="2" t="n">
        <f aca="false">INDEX(FieldSites!G:G, MATCH(Ch2_FieldSurvey!B224,FieldSites!C:C,0))</f>
        <v>-119.778553</v>
      </c>
      <c r="G224" s="2" t="n">
        <f aca="false">INDEX(FieldSites!H:H, MATCH(Ch2_FieldSurvey!B224,FieldSites!C:C,0))</f>
        <v>37.959056</v>
      </c>
      <c r="H224" s="18" t="n">
        <v>7</v>
      </c>
      <c r="I224" s="21" t="str">
        <f aca="false">CONCATENATE(B224,"_",C224,H224)</f>
        <v>HHBB_M. laciniatus7</v>
      </c>
      <c r="J224" s="22" t="n">
        <v>44671</v>
      </c>
      <c r="K224" s="23" t="n">
        <v>0.556944444444445</v>
      </c>
      <c r="L224" s="22" t="n">
        <v>44672</v>
      </c>
      <c r="M224" s="23" t="n">
        <v>0.463888888888889</v>
      </c>
      <c r="O224" s="1" t="s">
        <v>277</v>
      </c>
      <c r="P224" s="16" t="s">
        <v>261</v>
      </c>
      <c r="Q224" s="16" t="s">
        <v>262</v>
      </c>
      <c r="R224" s="16" t="s">
        <v>263</v>
      </c>
      <c r="S224" s="4" t="s">
        <v>278</v>
      </c>
      <c r="T224" s="24" t="n">
        <v>309</v>
      </c>
      <c r="U224" s="18"/>
      <c r="V224" s="24" t="n">
        <v>0.58</v>
      </c>
      <c r="Z224" s="18"/>
      <c r="AA224" s="20"/>
      <c r="AB224" s="20"/>
      <c r="AC224" s="19" t="e">
        <f aca="false">(AB224-AA224)/AB224</f>
        <v>#DIV/0!</v>
      </c>
      <c r="AD224" s="2" t="s">
        <v>266</v>
      </c>
    </row>
    <row r="225" customFormat="false" ht="14.25" hidden="false" customHeight="true" outlineLevel="0" collapsed="false">
      <c r="A225" s="18" t="s">
        <v>259</v>
      </c>
      <c r="B225" s="18" t="s">
        <v>259</v>
      </c>
      <c r="C225" s="18" t="s">
        <v>31</v>
      </c>
      <c r="E225" s="2" t="n">
        <f aca="false">INDEX(FieldSites!F:F, MATCH(Ch2_FieldSurvey!B225,FieldSites!C:C,0))</f>
        <v>1199</v>
      </c>
      <c r="F225" s="2" t="n">
        <f aca="false">INDEX(FieldSites!G:G, MATCH(Ch2_FieldSurvey!B225,FieldSites!C:C,0))</f>
        <v>-119.778553</v>
      </c>
      <c r="G225" s="2" t="n">
        <f aca="false">INDEX(FieldSites!H:H, MATCH(Ch2_FieldSurvey!B225,FieldSites!C:C,0))</f>
        <v>37.959056</v>
      </c>
      <c r="H225" s="18" t="n">
        <v>8</v>
      </c>
      <c r="I225" s="21" t="str">
        <f aca="false">CONCATENATE(B225,"_",C225,H225)</f>
        <v>HHBB_M. laciniatus8</v>
      </c>
      <c r="J225" s="22" t="n">
        <v>44671</v>
      </c>
      <c r="K225" s="23" t="n">
        <v>0.556944444444445</v>
      </c>
      <c r="L225" s="22" t="n">
        <v>44672</v>
      </c>
      <c r="M225" s="23" t="n">
        <v>0.468055555555556</v>
      </c>
      <c r="O225" s="1" t="s">
        <v>279</v>
      </c>
      <c r="P225" s="16" t="s">
        <v>261</v>
      </c>
      <c r="Q225" s="16" t="s">
        <v>262</v>
      </c>
      <c r="R225" s="16" t="s">
        <v>263</v>
      </c>
      <c r="S225" s="4" t="s">
        <v>122</v>
      </c>
      <c r="T225" s="24" t="n">
        <v>485</v>
      </c>
      <c r="U225" s="18" t="n">
        <v>9.3</v>
      </c>
      <c r="V225" s="24" t="n">
        <v>0.33</v>
      </c>
      <c r="W225" s="2" t="n">
        <v>0.6</v>
      </c>
      <c r="Z225" s="18" t="s">
        <v>265</v>
      </c>
      <c r="AA225" s="20"/>
      <c r="AB225" s="20"/>
      <c r="AC225" s="19" t="e">
        <f aca="false">(AB225-AA225)/AB225</f>
        <v>#DIV/0!</v>
      </c>
      <c r="AD225" s="2" t="s">
        <v>266</v>
      </c>
    </row>
    <row r="226" customFormat="false" ht="14.25" hidden="false" customHeight="true" outlineLevel="0" collapsed="false">
      <c r="A226" s="18" t="s">
        <v>259</v>
      </c>
      <c r="B226" s="18" t="s">
        <v>259</v>
      </c>
      <c r="C226" s="18" t="s">
        <v>31</v>
      </c>
      <c r="E226" s="2" t="n">
        <f aca="false">INDEX(FieldSites!F:F, MATCH(Ch2_FieldSurvey!B226,FieldSites!C:C,0))</f>
        <v>1199</v>
      </c>
      <c r="F226" s="2" t="n">
        <f aca="false">INDEX(FieldSites!G:G, MATCH(Ch2_FieldSurvey!B226,FieldSites!C:C,0))</f>
        <v>-119.778553</v>
      </c>
      <c r="G226" s="2" t="n">
        <f aca="false">INDEX(FieldSites!H:H, MATCH(Ch2_FieldSurvey!B226,FieldSites!C:C,0))</f>
        <v>37.959056</v>
      </c>
      <c r="H226" s="18" t="n">
        <v>8</v>
      </c>
      <c r="I226" s="21" t="str">
        <f aca="false">CONCATENATE(B226,"_",C226,H226)</f>
        <v>HHBB_M. laciniatus8</v>
      </c>
      <c r="J226" s="22" t="n">
        <v>44671</v>
      </c>
      <c r="K226" s="23" t="n">
        <v>0.556944444444445</v>
      </c>
      <c r="L226" s="22" t="n">
        <v>44672</v>
      </c>
      <c r="M226" s="23" t="n">
        <v>0.468055555555556</v>
      </c>
      <c r="O226" s="1" t="s">
        <v>279</v>
      </c>
      <c r="P226" s="16" t="s">
        <v>261</v>
      </c>
      <c r="Q226" s="16" t="s">
        <v>262</v>
      </c>
      <c r="R226" s="16" t="s">
        <v>263</v>
      </c>
      <c r="S226" s="4" t="s">
        <v>122</v>
      </c>
      <c r="T226" s="24" t="n">
        <v>524</v>
      </c>
      <c r="U226" s="18" t="n">
        <v>5.1</v>
      </c>
      <c r="V226" s="24" t="n">
        <v>0.41</v>
      </c>
      <c r="Z226" s="18"/>
      <c r="AA226" s="20"/>
      <c r="AB226" s="20"/>
      <c r="AC226" s="19" t="e">
        <f aca="false">(AB226-AA226)/AB226</f>
        <v>#DIV/0!</v>
      </c>
      <c r="AD226" s="2" t="s">
        <v>266</v>
      </c>
    </row>
    <row r="227" customFormat="false" ht="14.25" hidden="false" customHeight="true" outlineLevel="0" collapsed="false">
      <c r="A227" s="18" t="s">
        <v>259</v>
      </c>
      <c r="B227" s="18" t="s">
        <v>259</v>
      </c>
      <c r="C227" s="18" t="s">
        <v>31</v>
      </c>
      <c r="E227" s="2" t="n">
        <f aca="false">INDEX(FieldSites!F:F, MATCH(Ch2_FieldSurvey!B227,FieldSites!C:C,0))</f>
        <v>1199</v>
      </c>
      <c r="F227" s="2" t="n">
        <f aca="false">INDEX(FieldSites!G:G, MATCH(Ch2_FieldSurvey!B227,FieldSites!C:C,0))</f>
        <v>-119.778553</v>
      </c>
      <c r="G227" s="2" t="n">
        <f aca="false">INDEX(FieldSites!H:H, MATCH(Ch2_FieldSurvey!B227,FieldSites!C:C,0))</f>
        <v>37.959056</v>
      </c>
      <c r="H227" s="18" t="n">
        <v>8</v>
      </c>
      <c r="I227" s="21" t="str">
        <f aca="false">CONCATENATE(B227,"_",C227,H227)</f>
        <v>HHBB_M. laciniatus8</v>
      </c>
      <c r="J227" s="22" t="n">
        <v>44671</v>
      </c>
      <c r="K227" s="23" t="n">
        <v>0.556944444444445</v>
      </c>
      <c r="L227" s="22" t="n">
        <v>44672</v>
      </c>
      <c r="M227" s="23" t="n">
        <v>0.468055555555556</v>
      </c>
      <c r="O227" s="1" t="s">
        <v>279</v>
      </c>
      <c r="P227" s="16" t="s">
        <v>261</v>
      </c>
      <c r="Q227" s="16" t="s">
        <v>262</v>
      </c>
      <c r="R227" s="16" t="s">
        <v>263</v>
      </c>
      <c r="S227" s="4" t="s">
        <v>122</v>
      </c>
      <c r="T227" s="24" t="n">
        <v>505</v>
      </c>
      <c r="U227" s="18" t="n">
        <v>4.4</v>
      </c>
      <c r="V227" s="24" t="n">
        <v>0.39</v>
      </c>
      <c r="Z227" s="18"/>
      <c r="AA227" s="20"/>
      <c r="AB227" s="20"/>
      <c r="AC227" s="19" t="e">
        <f aca="false">(AB227-AA227)/AB227</f>
        <v>#DIV/0!</v>
      </c>
      <c r="AD227" s="2" t="s">
        <v>266</v>
      </c>
    </row>
    <row r="228" customFormat="false" ht="14.25" hidden="false" customHeight="true" outlineLevel="0" collapsed="false">
      <c r="A228" s="18" t="s">
        <v>259</v>
      </c>
      <c r="B228" s="18" t="s">
        <v>259</v>
      </c>
      <c r="C228" s="18" t="s">
        <v>31</v>
      </c>
      <c r="E228" s="2" t="n">
        <f aca="false">INDEX(FieldSites!F:F, MATCH(Ch2_FieldSurvey!B228,FieldSites!C:C,0))</f>
        <v>1199</v>
      </c>
      <c r="F228" s="2" t="n">
        <f aca="false">INDEX(FieldSites!G:G, MATCH(Ch2_FieldSurvey!B228,FieldSites!C:C,0))</f>
        <v>-119.778553</v>
      </c>
      <c r="G228" s="2" t="n">
        <f aca="false">INDEX(FieldSites!H:H, MATCH(Ch2_FieldSurvey!B228,FieldSites!C:C,0))</f>
        <v>37.959056</v>
      </c>
      <c r="H228" s="18" t="n">
        <v>9</v>
      </c>
      <c r="I228" s="21" t="str">
        <f aca="false">CONCATENATE(B228,"_",C228,H228)</f>
        <v>HHBB_M. laciniatus9</v>
      </c>
      <c r="J228" s="22" t="n">
        <v>44671</v>
      </c>
      <c r="K228" s="23" t="n">
        <v>0.556944444444445</v>
      </c>
      <c r="L228" s="22" t="n">
        <v>44672</v>
      </c>
      <c r="M228" s="23" t="n">
        <v>0.471527777777778</v>
      </c>
      <c r="O228" s="1" t="s">
        <v>280</v>
      </c>
      <c r="P228" s="16" t="s">
        <v>261</v>
      </c>
      <c r="Q228" s="16" t="s">
        <v>262</v>
      </c>
      <c r="R228" s="16" t="s">
        <v>263</v>
      </c>
      <c r="S228" s="4" t="s">
        <v>131</v>
      </c>
      <c r="T228" s="24" t="n">
        <v>437</v>
      </c>
      <c r="U228" s="18" t="n">
        <v>5.6</v>
      </c>
      <c r="V228" s="24" t="n">
        <v>0.39</v>
      </c>
      <c r="W228" s="2" t="n">
        <v>0.7</v>
      </c>
      <c r="Z228" s="18" t="s">
        <v>265</v>
      </c>
      <c r="AA228" s="20"/>
      <c r="AB228" s="20"/>
      <c r="AC228" s="19" t="e">
        <f aca="false">(AB228-AA228)/AB228</f>
        <v>#DIV/0!</v>
      </c>
      <c r="AD228" s="2" t="s">
        <v>266</v>
      </c>
    </row>
    <row r="229" customFormat="false" ht="14.25" hidden="false" customHeight="true" outlineLevel="0" collapsed="false">
      <c r="A229" s="18" t="s">
        <v>259</v>
      </c>
      <c r="B229" s="18" t="s">
        <v>259</v>
      </c>
      <c r="C229" s="18" t="s">
        <v>31</v>
      </c>
      <c r="E229" s="2" t="n">
        <f aca="false">INDEX(FieldSites!F:F, MATCH(Ch2_FieldSurvey!B229,FieldSites!C:C,0))</f>
        <v>1199</v>
      </c>
      <c r="F229" s="2" t="n">
        <f aca="false">INDEX(FieldSites!G:G, MATCH(Ch2_FieldSurvey!B229,FieldSites!C:C,0))</f>
        <v>-119.778553</v>
      </c>
      <c r="G229" s="2" t="n">
        <f aca="false">INDEX(FieldSites!H:H, MATCH(Ch2_FieldSurvey!B229,FieldSites!C:C,0))</f>
        <v>37.959056</v>
      </c>
      <c r="H229" s="18" t="n">
        <v>9</v>
      </c>
      <c r="I229" s="21" t="str">
        <f aca="false">CONCATENATE(B229,"_",C229,H229)</f>
        <v>HHBB_M. laciniatus9</v>
      </c>
      <c r="J229" s="22" t="n">
        <v>44671</v>
      </c>
      <c r="K229" s="23" t="n">
        <v>0.556944444444445</v>
      </c>
      <c r="L229" s="22" t="n">
        <v>44672</v>
      </c>
      <c r="M229" s="23" t="n">
        <v>0.471527777777778</v>
      </c>
      <c r="O229" s="1" t="s">
        <v>280</v>
      </c>
      <c r="P229" s="16" t="s">
        <v>261</v>
      </c>
      <c r="Q229" s="16" t="s">
        <v>262</v>
      </c>
      <c r="R229" s="16" t="s">
        <v>263</v>
      </c>
      <c r="S229" s="4" t="s">
        <v>131</v>
      </c>
      <c r="T229" s="24" t="n">
        <v>572</v>
      </c>
      <c r="U229" s="18" t="n">
        <v>5</v>
      </c>
      <c r="V229" s="24" t="n">
        <v>0.38</v>
      </c>
      <c r="Z229" s="18"/>
      <c r="AA229" s="20"/>
      <c r="AB229" s="20"/>
      <c r="AC229" s="19" t="e">
        <f aca="false">(AB229-AA229)/AB229</f>
        <v>#DIV/0!</v>
      </c>
      <c r="AD229" s="2" t="s">
        <v>266</v>
      </c>
    </row>
    <row r="230" customFormat="false" ht="14.25" hidden="false" customHeight="true" outlineLevel="0" collapsed="false">
      <c r="A230" s="18" t="s">
        <v>259</v>
      </c>
      <c r="B230" s="18" t="s">
        <v>259</v>
      </c>
      <c r="C230" s="18" t="s">
        <v>31</v>
      </c>
      <c r="E230" s="2" t="n">
        <f aca="false">INDEX(FieldSites!F:F, MATCH(Ch2_FieldSurvey!B230,FieldSites!C:C,0))</f>
        <v>1199</v>
      </c>
      <c r="F230" s="2" t="n">
        <f aca="false">INDEX(FieldSites!G:G, MATCH(Ch2_FieldSurvey!B230,FieldSites!C:C,0))</f>
        <v>-119.778553</v>
      </c>
      <c r="G230" s="2" t="n">
        <f aca="false">INDEX(FieldSites!H:H, MATCH(Ch2_FieldSurvey!B230,FieldSites!C:C,0))</f>
        <v>37.959056</v>
      </c>
      <c r="H230" s="18" t="n">
        <v>9</v>
      </c>
      <c r="I230" s="21" t="str">
        <f aca="false">CONCATENATE(B230,"_",C230,H230)</f>
        <v>HHBB_M. laciniatus9</v>
      </c>
      <c r="J230" s="22" t="n">
        <v>44671</v>
      </c>
      <c r="K230" s="23" t="n">
        <v>0.556944444444445</v>
      </c>
      <c r="L230" s="22" t="n">
        <v>44672</v>
      </c>
      <c r="M230" s="23" t="n">
        <v>0.471527777777778</v>
      </c>
      <c r="O230" s="1" t="s">
        <v>280</v>
      </c>
      <c r="P230" s="16" t="s">
        <v>261</v>
      </c>
      <c r="Q230" s="16" t="s">
        <v>262</v>
      </c>
      <c r="R230" s="16" t="s">
        <v>263</v>
      </c>
      <c r="S230" s="4" t="s">
        <v>131</v>
      </c>
      <c r="T230" s="24" t="n">
        <v>450</v>
      </c>
      <c r="U230" s="18" t="n">
        <v>3.7</v>
      </c>
      <c r="V230" s="24" t="n">
        <v>0.29</v>
      </c>
      <c r="Z230" s="18"/>
      <c r="AA230" s="20"/>
      <c r="AB230" s="20"/>
      <c r="AC230" s="19" t="e">
        <f aca="false">(AB230-AA230)/AB230</f>
        <v>#DIV/0!</v>
      </c>
      <c r="AD230" s="2" t="s">
        <v>266</v>
      </c>
    </row>
    <row r="231" customFormat="false" ht="14.25" hidden="false" customHeight="true" outlineLevel="0" collapsed="false">
      <c r="A231" s="18" t="s">
        <v>259</v>
      </c>
      <c r="B231" s="18" t="s">
        <v>259</v>
      </c>
      <c r="C231" s="18" t="s">
        <v>31</v>
      </c>
      <c r="E231" s="2" t="n">
        <f aca="false">INDEX(FieldSites!F:F, MATCH(Ch2_FieldSurvey!B231,FieldSites!C:C,0))</f>
        <v>1199</v>
      </c>
      <c r="F231" s="2" t="n">
        <f aca="false">INDEX(FieldSites!G:G, MATCH(Ch2_FieldSurvey!B231,FieldSites!C:C,0))</f>
        <v>-119.778553</v>
      </c>
      <c r="G231" s="2" t="n">
        <f aca="false">INDEX(FieldSites!H:H, MATCH(Ch2_FieldSurvey!B231,FieldSites!C:C,0))</f>
        <v>37.959056</v>
      </c>
      <c r="H231" s="18" t="n">
        <v>10</v>
      </c>
      <c r="I231" s="21" t="str">
        <f aca="false">CONCATENATE(B231,"_",C231,H231)</f>
        <v>HHBB_M. laciniatus10</v>
      </c>
      <c r="J231" s="22" t="n">
        <v>44671</v>
      </c>
      <c r="K231" s="23" t="n">
        <v>0.556944444444445</v>
      </c>
      <c r="L231" s="22" t="n">
        <v>44672</v>
      </c>
      <c r="M231" s="23" t="n">
        <v>0.479861111111111</v>
      </c>
      <c r="O231" s="1" t="s">
        <v>281</v>
      </c>
      <c r="P231" s="16" t="s">
        <v>261</v>
      </c>
      <c r="Q231" s="16" t="s">
        <v>262</v>
      </c>
      <c r="R231" s="16" t="s">
        <v>263</v>
      </c>
      <c r="S231" s="4" t="s">
        <v>282</v>
      </c>
      <c r="T231" s="24" t="n">
        <v>376</v>
      </c>
      <c r="U231" s="18"/>
      <c r="V231" s="24" t="n">
        <v>0.27</v>
      </c>
      <c r="Z231" s="18"/>
      <c r="AA231" s="20"/>
      <c r="AB231" s="20"/>
      <c r="AC231" s="19" t="e">
        <f aca="false">(AB231-AA231)/AB231</f>
        <v>#DIV/0!</v>
      </c>
      <c r="AD231" s="2" t="s">
        <v>266</v>
      </c>
    </row>
    <row r="232" customFormat="false" ht="14.25" hidden="false" customHeight="true" outlineLevel="0" collapsed="false">
      <c r="A232" s="18" t="s">
        <v>259</v>
      </c>
      <c r="B232" s="18" t="s">
        <v>259</v>
      </c>
      <c r="C232" s="18" t="s">
        <v>31</v>
      </c>
      <c r="E232" s="2" t="n">
        <f aca="false">INDEX(FieldSites!F:F, MATCH(Ch2_FieldSurvey!B232,FieldSites!C:C,0))</f>
        <v>1199</v>
      </c>
      <c r="F232" s="2" t="n">
        <f aca="false">INDEX(FieldSites!G:G, MATCH(Ch2_FieldSurvey!B232,FieldSites!C:C,0))</f>
        <v>-119.778553</v>
      </c>
      <c r="G232" s="2" t="n">
        <f aca="false">INDEX(FieldSites!H:H, MATCH(Ch2_FieldSurvey!B232,FieldSites!C:C,0))</f>
        <v>37.959056</v>
      </c>
      <c r="H232" s="18" t="n">
        <v>10</v>
      </c>
      <c r="I232" s="21" t="str">
        <f aca="false">CONCATENATE(B232,"_",C232,H232)</f>
        <v>HHBB_M. laciniatus10</v>
      </c>
      <c r="J232" s="22" t="n">
        <v>44671</v>
      </c>
      <c r="K232" s="23" t="n">
        <v>0.556944444444445</v>
      </c>
      <c r="L232" s="22" t="n">
        <v>44672</v>
      </c>
      <c r="M232" s="23" t="n">
        <v>0.479861111111111</v>
      </c>
      <c r="O232" s="1" t="s">
        <v>281</v>
      </c>
      <c r="P232" s="16" t="s">
        <v>261</v>
      </c>
      <c r="Q232" s="16" t="s">
        <v>262</v>
      </c>
      <c r="R232" s="16" t="s">
        <v>263</v>
      </c>
      <c r="S232" s="4" t="s">
        <v>282</v>
      </c>
      <c r="T232" s="24" t="n">
        <v>363</v>
      </c>
      <c r="U232" s="18"/>
      <c r="V232" s="24" t="n">
        <v>0.28</v>
      </c>
      <c r="Z232" s="18"/>
      <c r="AA232" s="20"/>
      <c r="AB232" s="20"/>
      <c r="AC232" s="19" t="e">
        <f aca="false">(AB232-AA232)/AB232</f>
        <v>#DIV/0!</v>
      </c>
      <c r="AD232" s="2" t="s">
        <v>266</v>
      </c>
    </row>
    <row r="233" customFormat="false" ht="14.25" hidden="false" customHeight="true" outlineLevel="0" collapsed="false">
      <c r="A233" s="18" t="s">
        <v>259</v>
      </c>
      <c r="B233" s="18" t="s">
        <v>259</v>
      </c>
      <c r="C233" s="18" t="s">
        <v>31</v>
      </c>
      <c r="E233" s="2" t="n">
        <f aca="false">INDEX(FieldSites!F:F, MATCH(Ch2_FieldSurvey!B233,FieldSites!C:C,0))</f>
        <v>1199</v>
      </c>
      <c r="F233" s="2" t="n">
        <f aca="false">INDEX(FieldSites!G:G, MATCH(Ch2_FieldSurvey!B233,FieldSites!C:C,0))</f>
        <v>-119.778553</v>
      </c>
      <c r="G233" s="2" t="n">
        <f aca="false">INDEX(FieldSites!H:H, MATCH(Ch2_FieldSurvey!B233,FieldSites!C:C,0))</f>
        <v>37.959056</v>
      </c>
      <c r="H233" s="18" t="n">
        <v>10</v>
      </c>
      <c r="I233" s="21" t="str">
        <f aca="false">CONCATENATE(B233,"_",C233,H233)</f>
        <v>HHBB_M. laciniatus10</v>
      </c>
      <c r="J233" s="22" t="n">
        <v>44671</v>
      </c>
      <c r="K233" s="23" t="n">
        <v>0.556944444444445</v>
      </c>
      <c r="L233" s="22" t="n">
        <v>44672</v>
      </c>
      <c r="M233" s="23" t="n">
        <v>0.479861111111111</v>
      </c>
      <c r="O233" s="1" t="s">
        <v>281</v>
      </c>
      <c r="P233" s="16" t="s">
        <v>261</v>
      </c>
      <c r="Q233" s="16" t="s">
        <v>262</v>
      </c>
      <c r="R233" s="16" t="s">
        <v>263</v>
      </c>
      <c r="S233" s="4" t="s">
        <v>282</v>
      </c>
      <c r="T233" s="24" t="n">
        <v>370</v>
      </c>
      <c r="U233" s="18"/>
      <c r="V233" s="24" t="n">
        <v>0.3</v>
      </c>
      <c r="Z233" s="18"/>
      <c r="AA233" s="20"/>
      <c r="AB233" s="20"/>
      <c r="AC233" s="19" t="e">
        <f aca="false">(AB233-AA233)/AB233</f>
        <v>#DIV/0!</v>
      </c>
      <c r="AD233" s="2" t="s">
        <v>266</v>
      </c>
    </row>
    <row r="234" customFormat="false" ht="14.25" hidden="false" customHeight="true" outlineLevel="0" collapsed="false">
      <c r="A234" s="18" t="s">
        <v>259</v>
      </c>
      <c r="B234" s="18" t="s">
        <v>259</v>
      </c>
      <c r="C234" s="18" t="s">
        <v>40</v>
      </c>
      <c r="E234" s="2" t="n">
        <f aca="false">INDEX(FieldSites!F:F, MATCH(Ch2_FieldSurvey!B234,FieldSites!C:C,0))</f>
        <v>1199</v>
      </c>
      <c r="F234" s="2" t="n">
        <f aca="false">INDEX(FieldSites!G:G, MATCH(Ch2_FieldSurvey!B234,FieldSites!C:C,0))</f>
        <v>-119.778553</v>
      </c>
      <c r="G234" s="2" t="n">
        <f aca="false">INDEX(FieldSites!H:H, MATCH(Ch2_FieldSurvey!B234,FieldSites!C:C,0))</f>
        <v>37.959056</v>
      </c>
      <c r="H234" s="18" t="n">
        <v>1</v>
      </c>
      <c r="I234" s="21" t="str">
        <f aca="false">CONCATENATE(B234,"_",C234,H234)</f>
        <v>HHBB_M. guttatus1</v>
      </c>
      <c r="J234" s="22" t="n">
        <v>44671</v>
      </c>
      <c r="K234" s="23" t="n">
        <v>0.556944444444445</v>
      </c>
      <c r="L234" s="22" t="n">
        <v>44672</v>
      </c>
      <c r="M234" s="23" t="n">
        <v>0.490277777777778</v>
      </c>
      <c r="O234" s="1" t="s">
        <v>283</v>
      </c>
      <c r="P234" s="16" t="s">
        <v>261</v>
      </c>
      <c r="Q234" s="16" t="s">
        <v>262</v>
      </c>
      <c r="R234" s="16" t="s">
        <v>263</v>
      </c>
      <c r="S234" s="4" t="s">
        <v>284</v>
      </c>
      <c r="T234" s="24" t="n">
        <v>280</v>
      </c>
      <c r="U234" s="18" t="n">
        <v>2.8</v>
      </c>
      <c r="V234" s="24" t="n">
        <v>0.24</v>
      </c>
      <c r="W234" s="2" t="n">
        <v>0.2</v>
      </c>
      <c r="Z234" s="18" t="s">
        <v>285</v>
      </c>
      <c r="AA234" s="20"/>
      <c r="AB234" s="20"/>
      <c r="AC234" s="19" t="e">
        <f aca="false">(AB234-AA234)/AB234</f>
        <v>#DIV/0!</v>
      </c>
      <c r="AD234" s="2" t="s">
        <v>266</v>
      </c>
    </row>
    <row r="235" customFormat="false" ht="14.25" hidden="false" customHeight="true" outlineLevel="0" collapsed="false">
      <c r="A235" s="18" t="s">
        <v>259</v>
      </c>
      <c r="B235" s="18" t="s">
        <v>259</v>
      </c>
      <c r="C235" s="18" t="s">
        <v>40</v>
      </c>
      <c r="E235" s="2" t="n">
        <f aca="false">INDEX(FieldSites!F:F, MATCH(Ch2_FieldSurvey!B235,FieldSites!C:C,0))</f>
        <v>1199</v>
      </c>
      <c r="F235" s="2" t="n">
        <f aca="false">INDEX(FieldSites!G:G, MATCH(Ch2_FieldSurvey!B235,FieldSites!C:C,0))</f>
        <v>-119.778553</v>
      </c>
      <c r="G235" s="2" t="n">
        <f aca="false">INDEX(FieldSites!H:H, MATCH(Ch2_FieldSurvey!B235,FieldSites!C:C,0))</f>
        <v>37.959056</v>
      </c>
      <c r="H235" s="18" t="n">
        <v>1</v>
      </c>
      <c r="I235" s="21" t="str">
        <f aca="false">CONCATENATE(B235,"_",C235,H235)</f>
        <v>HHBB_M. guttatus1</v>
      </c>
      <c r="J235" s="22" t="n">
        <v>44671</v>
      </c>
      <c r="K235" s="23" t="n">
        <v>0.556944444444445</v>
      </c>
      <c r="L235" s="22" t="n">
        <v>44672</v>
      </c>
      <c r="M235" s="23" t="n">
        <v>0.490277777777778</v>
      </c>
      <c r="O235" s="1" t="s">
        <v>283</v>
      </c>
      <c r="P235" s="16" t="s">
        <v>261</v>
      </c>
      <c r="Q235" s="16" t="s">
        <v>262</v>
      </c>
      <c r="R235" s="16" t="s">
        <v>263</v>
      </c>
      <c r="S235" s="4" t="s">
        <v>284</v>
      </c>
      <c r="T235" s="24" t="n">
        <v>350</v>
      </c>
      <c r="U235" s="18" t="n">
        <v>2.6</v>
      </c>
      <c r="V235" s="24" t="n">
        <v>0.27</v>
      </c>
      <c r="W235" s="2" t="n">
        <v>0.3</v>
      </c>
      <c r="Z235" s="18"/>
      <c r="AA235" s="20"/>
      <c r="AB235" s="20"/>
      <c r="AC235" s="19" t="e">
        <f aca="false">(AB235-AA235)/AB235</f>
        <v>#DIV/0!</v>
      </c>
      <c r="AD235" s="2" t="s">
        <v>266</v>
      </c>
    </row>
    <row r="236" customFormat="false" ht="14.25" hidden="false" customHeight="true" outlineLevel="0" collapsed="false">
      <c r="A236" s="18" t="s">
        <v>259</v>
      </c>
      <c r="B236" s="18" t="s">
        <v>259</v>
      </c>
      <c r="C236" s="18" t="s">
        <v>40</v>
      </c>
      <c r="E236" s="2" t="n">
        <f aca="false">INDEX(FieldSites!F:F, MATCH(Ch2_FieldSurvey!B236,FieldSites!C:C,0))</f>
        <v>1199</v>
      </c>
      <c r="F236" s="2" t="n">
        <f aca="false">INDEX(FieldSites!G:G, MATCH(Ch2_FieldSurvey!B236,FieldSites!C:C,0))</f>
        <v>-119.778553</v>
      </c>
      <c r="G236" s="2" t="n">
        <f aca="false">INDEX(FieldSites!H:H, MATCH(Ch2_FieldSurvey!B236,FieldSites!C:C,0))</f>
        <v>37.959056</v>
      </c>
      <c r="H236" s="18" t="n">
        <v>1</v>
      </c>
      <c r="I236" s="21" t="str">
        <f aca="false">CONCATENATE(B236,"_",C236,H236)</f>
        <v>HHBB_M. guttatus1</v>
      </c>
      <c r="J236" s="22" t="n">
        <v>44671</v>
      </c>
      <c r="K236" s="23" t="n">
        <v>0.556944444444445</v>
      </c>
      <c r="L236" s="22" t="n">
        <v>44672</v>
      </c>
      <c r="M236" s="23" t="n">
        <v>0.490277777777778</v>
      </c>
      <c r="O236" s="1" t="s">
        <v>283</v>
      </c>
      <c r="P236" s="16" t="s">
        <v>261</v>
      </c>
      <c r="Q236" s="16" t="s">
        <v>262</v>
      </c>
      <c r="R236" s="16" t="s">
        <v>263</v>
      </c>
      <c r="S236" s="4" t="s">
        <v>284</v>
      </c>
      <c r="T236" s="24" t="n">
        <v>340</v>
      </c>
      <c r="U236" s="18" t="n">
        <v>2.7</v>
      </c>
      <c r="V236" s="24" t="n">
        <v>0.27</v>
      </c>
      <c r="Z236" s="18"/>
      <c r="AA236" s="20"/>
      <c r="AB236" s="20"/>
      <c r="AC236" s="19" t="e">
        <f aca="false">(AB236-AA236)/AB236</f>
        <v>#DIV/0!</v>
      </c>
      <c r="AD236" s="2" t="s">
        <v>266</v>
      </c>
    </row>
    <row r="237" customFormat="false" ht="14.25" hidden="false" customHeight="true" outlineLevel="0" collapsed="false">
      <c r="A237" s="18" t="s">
        <v>259</v>
      </c>
      <c r="B237" s="18" t="s">
        <v>259</v>
      </c>
      <c r="C237" s="18" t="s">
        <v>40</v>
      </c>
      <c r="E237" s="2" t="n">
        <f aca="false">INDEX(FieldSites!F:F, MATCH(Ch2_FieldSurvey!B237,FieldSites!C:C,0))</f>
        <v>1199</v>
      </c>
      <c r="F237" s="2" t="n">
        <f aca="false">INDEX(FieldSites!G:G, MATCH(Ch2_FieldSurvey!B237,FieldSites!C:C,0))</f>
        <v>-119.778553</v>
      </c>
      <c r="G237" s="2" t="n">
        <f aca="false">INDEX(FieldSites!H:H, MATCH(Ch2_FieldSurvey!B237,FieldSites!C:C,0))</f>
        <v>37.959056</v>
      </c>
      <c r="H237" s="18" t="n">
        <v>2</v>
      </c>
      <c r="I237" s="21" t="str">
        <f aca="false">CONCATENATE(B237,"_",C237,H237)</f>
        <v>HHBB_M. guttatus2</v>
      </c>
      <c r="J237" s="22" t="n">
        <v>44671</v>
      </c>
      <c r="K237" s="23" t="n">
        <v>0.556944444444445</v>
      </c>
      <c r="L237" s="22" t="n">
        <v>44672</v>
      </c>
      <c r="M237" s="23" t="n">
        <v>0.492361111111111</v>
      </c>
      <c r="O237" s="1" t="s">
        <v>286</v>
      </c>
      <c r="P237" s="16" t="s">
        <v>261</v>
      </c>
      <c r="Q237" s="16" t="s">
        <v>262</v>
      </c>
      <c r="R237" s="16" t="s">
        <v>263</v>
      </c>
      <c r="S237" s="4" t="s">
        <v>166</v>
      </c>
      <c r="T237" s="24" t="n">
        <v>500</v>
      </c>
      <c r="U237" s="18" t="n">
        <v>3</v>
      </c>
      <c r="V237" s="24" t="n">
        <v>0.83</v>
      </c>
      <c r="W237" s="2" t="n">
        <v>0.6</v>
      </c>
      <c r="Z237" s="18"/>
      <c r="AA237" s="20"/>
      <c r="AB237" s="20"/>
      <c r="AC237" s="19" t="e">
        <f aca="false">(AB237-AA237)/AB237</f>
        <v>#DIV/0!</v>
      </c>
      <c r="AD237" s="2" t="s">
        <v>266</v>
      </c>
    </row>
    <row r="238" customFormat="false" ht="14.25" hidden="false" customHeight="true" outlineLevel="0" collapsed="false">
      <c r="A238" s="18" t="s">
        <v>259</v>
      </c>
      <c r="B238" s="18" t="s">
        <v>259</v>
      </c>
      <c r="C238" s="18" t="s">
        <v>40</v>
      </c>
      <c r="E238" s="2" t="n">
        <f aca="false">INDEX(FieldSites!F:F, MATCH(Ch2_FieldSurvey!B238,FieldSites!C:C,0))</f>
        <v>1199</v>
      </c>
      <c r="F238" s="2" t="n">
        <f aca="false">INDEX(FieldSites!G:G, MATCH(Ch2_FieldSurvey!B238,FieldSites!C:C,0))</f>
        <v>-119.778553</v>
      </c>
      <c r="G238" s="2" t="n">
        <f aca="false">INDEX(FieldSites!H:H, MATCH(Ch2_FieldSurvey!B238,FieldSites!C:C,0))</f>
        <v>37.959056</v>
      </c>
      <c r="H238" s="18" t="n">
        <v>2</v>
      </c>
      <c r="I238" s="21" t="str">
        <f aca="false">CONCATENATE(B238,"_",C238,H238)</f>
        <v>HHBB_M. guttatus2</v>
      </c>
      <c r="J238" s="22" t="n">
        <v>44671</v>
      </c>
      <c r="K238" s="23" t="n">
        <v>0.556944444444445</v>
      </c>
      <c r="L238" s="22" t="n">
        <v>44672</v>
      </c>
      <c r="M238" s="23" t="n">
        <v>0.492361111111111</v>
      </c>
      <c r="O238" s="1" t="s">
        <v>286</v>
      </c>
      <c r="P238" s="16" t="s">
        <v>261</v>
      </c>
      <c r="Q238" s="16" t="s">
        <v>262</v>
      </c>
      <c r="R238" s="16" t="s">
        <v>263</v>
      </c>
      <c r="S238" s="4" t="s">
        <v>166</v>
      </c>
      <c r="T238" s="24" t="n">
        <v>420</v>
      </c>
      <c r="U238" s="18" t="n">
        <v>4</v>
      </c>
      <c r="V238" s="24" t="n">
        <v>0.57</v>
      </c>
      <c r="W238" s="2" t="n">
        <v>0.7</v>
      </c>
      <c r="Z238" s="18"/>
      <c r="AA238" s="20"/>
      <c r="AB238" s="20"/>
      <c r="AC238" s="19" t="e">
        <f aca="false">(AB238-AA238)/AB238</f>
        <v>#DIV/0!</v>
      </c>
      <c r="AD238" s="2" t="s">
        <v>266</v>
      </c>
    </row>
    <row r="239" customFormat="false" ht="14.25" hidden="false" customHeight="true" outlineLevel="0" collapsed="false">
      <c r="A239" s="18" t="s">
        <v>259</v>
      </c>
      <c r="B239" s="18" t="s">
        <v>259</v>
      </c>
      <c r="C239" s="18" t="s">
        <v>40</v>
      </c>
      <c r="E239" s="2" t="n">
        <f aca="false">INDEX(FieldSites!F:F, MATCH(Ch2_FieldSurvey!B239,FieldSites!C:C,0))</f>
        <v>1199</v>
      </c>
      <c r="F239" s="2" t="n">
        <f aca="false">INDEX(FieldSites!G:G, MATCH(Ch2_FieldSurvey!B239,FieldSites!C:C,0))</f>
        <v>-119.778553</v>
      </c>
      <c r="G239" s="2" t="n">
        <f aca="false">INDEX(FieldSites!H:H, MATCH(Ch2_FieldSurvey!B239,FieldSites!C:C,0))</f>
        <v>37.959056</v>
      </c>
      <c r="H239" s="18" t="n">
        <v>2</v>
      </c>
      <c r="I239" s="21" t="str">
        <f aca="false">CONCATENATE(B239,"_",C239,H239)</f>
        <v>HHBB_M. guttatus2</v>
      </c>
      <c r="J239" s="22" t="n">
        <v>44671</v>
      </c>
      <c r="K239" s="23" t="n">
        <v>0.556944444444445</v>
      </c>
      <c r="L239" s="22" t="n">
        <v>44672</v>
      </c>
      <c r="M239" s="23" t="n">
        <v>0.492361111111111</v>
      </c>
      <c r="O239" s="1" t="s">
        <v>286</v>
      </c>
      <c r="P239" s="16" t="s">
        <v>261</v>
      </c>
      <c r="Q239" s="16" t="s">
        <v>262</v>
      </c>
      <c r="R239" s="16" t="s">
        <v>263</v>
      </c>
      <c r="S239" s="4" t="s">
        <v>166</v>
      </c>
      <c r="T239" s="24" t="n">
        <v>570</v>
      </c>
      <c r="U239" s="18" t="n">
        <v>2.8</v>
      </c>
      <c r="V239" s="24" t="n">
        <v>0.75</v>
      </c>
      <c r="Z239" s="18"/>
      <c r="AA239" s="20"/>
      <c r="AB239" s="20"/>
      <c r="AC239" s="19" t="e">
        <f aca="false">(AB239-AA239)/AB239</f>
        <v>#DIV/0!</v>
      </c>
      <c r="AD239" s="2" t="s">
        <v>266</v>
      </c>
    </row>
    <row r="240" customFormat="false" ht="14.25" hidden="false" customHeight="true" outlineLevel="0" collapsed="false">
      <c r="A240" s="18" t="s">
        <v>259</v>
      </c>
      <c r="B240" s="18" t="s">
        <v>259</v>
      </c>
      <c r="C240" s="18" t="s">
        <v>40</v>
      </c>
      <c r="E240" s="2" t="n">
        <f aca="false">INDEX(FieldSites!F:F, MATCH(Ch2_FieldSurvey!B240,FieldSites!C:C,0))</f>
        <v>1199</v>
      </c>
      <c r="F240" s="2" t="n">
        <f aca="false">INDEX(FieldSites!G:G, MATCH(Ch2_FieldSurvey!B240,FieldSites!C:C,0))</f>
        <v>-119.778553</v>
      </c>
      <c r="G240" s="2" t="n">
        <f aca="false">INDEX(FieldSites!H:H, MATCH(Ch2_FieldSurvey!B240,FieldSites!C:C,0))</f>
        <v>37.959056</v>
      </c>
      <c r="H240" s="18" t="n">
        <v>3</v>
      </c>
      <c r="I240" s="21" t="str">
        <f aca="false">CONCATENATE(B240,"_",C240,H240)</f>
        <v>HHBB_M. guttatus3</v>
      </c>
      <c r="J240" s="22" t="n">
        <v>44671</v>
      </c>
      <c r="K240" s="23" t="n">
        <v>0.556944444444445</v>
      </c>
      <c r="L240" s="22" t="n">
        <v>44672</v>
      </c>
      <c r="M240" s="23" t="n">
        <v>0.525694444444445</v>
      </c>
      <c r="O240" s="1" t="s">
        <v>287</v>
      </c>
      <c r="P240" s="16" t="s">
        <v>261</v>
      </c>
      <c r="Q240" s="16" t="s">
        <v>262</v>
      </c>
      <c r="R240" s="16" t="s">
        <v>263</v>
      </c>
      <c r="S240" s="4" t="s">
        <v>288</v>
      </c>
      <c r="T240" s="24" t="n">
        <v>168</v>
      </c>
      <c r="U240" s="18" t="n">
        <v>2.7</v>
      </c>
      <c r="V240" s="24" t="n">
        <v>0.14</v>
      </c>
      <c r="W240" s="2" t="n">
        <v>0.1</v>
      </c>
      <c r="Z240" s="18"/>
      <c r="AA240" s="20"/>
      <c r="AB240" s="20"/>
      <c r="AC240" s="19" t="e">
        <f aca="false">(AB240-AA240)/AB240</f>
        <v>#DIV/0!</v>
      </c>
      <c r="AD240" s="2" t="s">
        <v>266</v>
      </c>
    </row>
    <row r="241" customFormat="false" ht="14.25" hidden="false" customHeight="true" outlineLevel="0" collapsed="false">
      <c r="A241" s="18" t="s">
        <v>259</v>
      </c>
      <c r="B241" s="18" t="s">
        <v>259</v>
      </c>
      <c r="C241" s="18" t="s">
        <v>40</v>
      </c>
      <c r="E241" s="2" t="n">
        <f aca="false">INDEX(FieldSites!F:F, MATCH(Ch2_FieldSurvey!B241,FieldSites!C:C,0))</f>
        <v>1199</v>
      </c>
      <c r="F241" s="2" t="n">
        <f aca="false">INDEX(FieldSites!G:G, MATCH(Ch2_FieldSurvey!B241,FieldSites!C:C,0))</f>
        <v>-119.778553</v>
      </c>
      <c r="G241" s="2" t="n">
        <f aca="false">INDEX(FieldSites!H:H, MATCH(Ch2_FieldSurvey!B241,FieldSites!C:C,0))</f>
        <v>37.959056</v>
      </c>
      <c r="H241" s="18" t="n">
        <v>3</v>
      </c>
      <c r="I241" s="21" t="str">
        <f aca="false">CONCATENATE(B241,"_",C241,H241)</f>
        <v>HHBB_M. guttatus3</v>
      </c>
      <c r="J241" s="22" t="n">
        <v>44671</v>
      </c>
      <c r="K241" s="23" t="n">
        <v>0.556944444444445</v>
      </c>
      <c r="L241" s="22" t="n">
        <v>44672</v>
      </c>
      <c r="M241" s="23" t="n">
        <v>0.525694444444445</v>
      </c>
      <c r="O241" s="1" t="s">
        <v>287</v>
      </c>
      <c r="P241" s="16" t="s">
        <v>261</v>
      </c>
      <c r="Q241" s="16" t="s">
        <v>262</v>
      </c>
      <c r="R241" s="16" t="s">
        <v>263</v>
      </c>
      <c r="S241" s="4" t="s">
        <v>288</v>
      </c>
      <c r="T241" s="24" t="n">
        <v>234</v>
      </c>
      <c r="U241" s="18" t="n">
        <v>2.5</v>
      </c>
      <c r="V241" s="24" t="n">
        <v>0.15</v>
      </c>
      <c r="W241" s="2" t="n">
        <v>0.1</v>
      </c>
      <c r="Z241" s="18"/>
      <c r="AA241" s="20"/>
      <c r="AB241" s="20"/>
      <c r="AC241" s="19" t="e">
        <f aca="false">(AB241-AA241)/AB241</f>
        <v>#DIV/0!</v>
      </c>
      <c r="AD241" s="2" t="s">
        <v>266</v>
      </c>
    </row>
    <row r="242" customFormat="false" ht="14.25" hidden="false" customHeight="true" outlineLevel="0" collapsed="false">
      <c r="A242" s="18" t="s">
        <v>259</v>
      </c>
      <c r="B242" s="18" t="s">
        <v>259</v>
      </c>
      <c r="C242" s="18" t="s">
        <v>40</v>
      </c>
      <c r="E242" s="2" t="n">
        <f aca="false">INDEX(FieldSites!F:F, MATCH(Ch2_FieldSurvey!B242,FieldSites!C:C,0))</f>
        <v>1199</v>
      </c>
      <c r="F242" s="2" t="n">
        <f aca="false">INDEX(FieldSites!G:G, MATCH(Ch2_FieldSurvey!B242,FieldSites!C:C,0))</f>
        <v>-119.778553</v>
      </c>
      <c r="G242" s="2" t="n">
        <f aca="false">INDEX(FieldSites!H:H, MATCH(Ch2_FieldSurvey!B242,FieldSites!C:C,0))</f>
        <v>37.959056</v>
      </c>
      <c r="H242" s="18" t="n">
        <v>3</v>
      </c>
      <c r="I242" s="21" t="str">
        <f aca="false">CONCATENATE(B242,"_",C242,H242)</f>
        <v>HHBB_M. guttatus3</v>
      </c>
      <c r="J242" s="22" t="n">
        <v>44671</v>
      </c>
      <c r="K242" s="23" t="n">
        <v>0.556944444444445</v>
      </c>
      <c r="L242" s="22" t="n">
        <v>44672</v>
      </c>
      <c r="M242" s="23" t="n">
        <v>0.525694444444445</v>
      </c>
      <c r="O242" s="1" t="s">
        <v>287</v>
      </c>
      <c r="P242" s="16" t="s">
        <v>261</v>
      </c>
      <c r="Q242" s="16" t="s">
        <v>262</v>
      </c>
      <c r="R242" s="16" t="s">
        <v>263</v>
      </c>
      <c r="S242" s="4" t="s">
        <v>288</v>
      </c>
      <c r="T242" s="24" t="n">
        <v>177</v>
      </c>
      <c r="U242" s="18" t="n">
        <v>2.9</v>
      </c>
      <c r="V242" s="24" t="n">
        <v>0.14</v>
      </c>
      <c r="Z242" s="18"/>
      <c r="AA242" s="20"/>
      <c r="AB242" s="20"/>
      <c r="AC242" s="19" t="e">
        <f aca="false">(AB242-AA242)/AB242</f>
        <v>#DIV/0!</v>
      </c>
      <c r="AD242" s="2" t="s">
        <v>266</v>
      </c>
    </row>
    <row r="243" customFormat="false" ht="14.25" hidden="false" customHeight="true" outlineLevel="0" collapsed="false">
      <c r="A243" s="18" t="s">
        <v>259</v>
      </c>
      <c r="B243" s="18" t="s">
        <v>259</v>
      </c>
      <c r="C243" s="18" t="s">
        <v>40</v>
      </c>
      <c r="E243" s="2" t="n">
        <f aca="false">INDEX(FieldSites!F:F, MATCH(Ch2_FieldSurvey!B243,FieldSites!C:C,0))</f>
        <v>1199</v>
      </c>
      <c r="F243" s="2" t="n">
        <f aca="false">INDEX(FieldSites!G:G, MATCH(Ch2_FieldSurvey!B243,FieldSites!C:C,0))</f>
        <v>-119.778553</v>
      </c>
      <c r="G243" s="2" t="n">
        <f aca="false">INDEX(FieldSites!H:H, MATCH(Ch2_FieldSurvey!B243,FieldSites!C:C,0))</f>
        <v>37.959056</v>
      </c>
      <c r="H243" s="18" t="n">
        <v>4</v>
      </c>
      <c r="I243" s="21" t="str">
        <f aca="false">CONCATENATE(B243,"_",C243,H243)</f>
        <v>HHBB_M. guttatus4</v>
      </c>
      <c r="J243" s="22" t="n">
        <v>44671</v>
      </c>
      <c r="K243" s="23" t="n">
        <v>0.556944444444445</v>
      </c>
      <c r="L243" s="22" t="n">
        <v>44672</v>
      </c>
      <c r="M243" s="23" t="n">
        <v>0.527777777777778</v>
      </c>
      <c r="O243" s="1" t="s">
        <v>289</v>
      </c>
      <c r="P243" s="16" t="s">
        <v>261</v>
      </c>
      <c r="Q243" s="16" t="s">
        <v>262</v>
      </c>
      <c r="R243" s="16" t="s">
        <v>263</v>
      </c>
      <c r="S243" s="4" t="s">
        <v>78</v>
      </c>
      <c r="T243" s="24" t="n">
        <v>209</v>
      </c>
      <c r="U243" s="18" t="n">
        <v>2.1</v>
      </c>
      <c r="V243" s="24" t="n">
        <v>0.1</v>
      </c>
      <c r="W243" s="2" t="n">
        <v>0</v>
      </c>
      <c r="Z243" s="18"/>
      <c r="AA243" s="20"/>
      <c r="AB243" s="20"/>
      <c r="AC243" s="19" t="e">
        <f aca="false">(AB243-AA243)/AB243</f>
        <v>#DIV/0!</v>
      </c>
      <c r="AD243" s="2" t="s">
        <v>266</v>
      </c>
    </row>
    <row r="244" customFormat="false" ht="14.25" hidden="false" customHeight="true" outlineLevel="0" collapsed="false">
      <c r="A244" s="18" t="s">
        <v>259</v>
      </c>
      <c r="B244" s="18" t="s">
        <v>259</v>
      </c>
      <c r="C244" s="18" t="s">
        <v>40</v>
      </c>
      <c r="E244" s="2" t="n">
        <f aca="false">INDEX(FieldSites!F:F, MATCH(Ch2_FieldSurvey!B244,FieldSites!C:C,0))</f>
        <v>1199</v>
      </c>
      <c r="F244" s="2" t="n">
        <f aca="false">INDEX(FieldSites!G:G, MATCH(Ch2_FieldSurvey!B244,FieldSites!C:C,0))</f>
        <v>-119.778553</v>
      </c>
      <c r="G244" s="2" t="n">
        <f aca="false">INDEX(FieldSites!H:H, MATCH(Ch2_FieldSurvey!B244,FieldSites!C:C,0))</f>
        <v>37.959056</v>
      </c>
      <c r="H244" s="18" t="n">
        <v>4</v>
      </c>
      <c r="I244" s="21" t="str">
        <f aca="false">CONCATENATE(B244,"_",C244,H244)</f>
        <v>HHBB_M. guttatus4</v>
      </c>
      <c r="J244" s="22" t="n">
        <v>44671</v>
      </c>
      <c r="K244" s="23" t="n">
        <v>0.556944444444445</v>
      </c>
      <c r="L244" s="22" t="n">
        <v>44672</v>
      </c>
      <c r="M244" s="23" t="n">
        <v>0.527777777777778</v>
      </c>
      <c r="O244" s="1" t="s">
        <v>289</v>
      </c>
      <c r="P244" s="16" t="s">
        <v>261</v>
      </c>
      <c r="Q244" s="16" t="s">
        <v>262</v>
      </c>
      <c r="R244" s="16" t="s">
        <v>263</v>
      </c>
      <c r="S244" s="4" t="s">
        <v>78</v>
      </c>
      <c r="T244" s="24" t="n">
        <v>254</v>
      </c>
      <c r="U244" s="18" t="n">
        <v>2.1</v>
      </c>
      <c r="V244" s="24" t="n">
        <v>0.11</v>
      </c>
      <c r="W244" s="2" t="n">
        <v>0.1</v>
      </c>
      <c r="Z244" s="18"/>
      <c r="AA244" s="20"/>
      <c r="AB244" s="20"/>
      <c r="AC244" s="19" t="e">
        <f aca="false">(AB244-AA244)/AB244</f>
        <v>#DIV/0!</v>
      </c>
      <c r="AD244" s="2" t="s">
        <v>266</v>
      </c>
    </row>
    <row r="245" customFormat="false" ht="14.25" hidden="false" customHeight="true" outlineLevel="0" collapsed="false">
      <c r="A245" s="18" t="s">
        <v>259</v>
      </c>
      <c r="B245" s="18" t="s">
        <v>259</v>
      </c>
      <c r="C245" s="18" t="s">
        <v>40</v>
      </c>
      <c r="E245" s="2" t="n">
        <f aca="false">INDEX(FieldSites!F:F, MATCH(Ch2_FieldSurvey!B245,FieldSites!C:C,0))</f>
        <v>1199</v>
      </c>
      <c r="F245" s="2" t="n">
        <f aca="false">INDEX(FieldSites!G:G, MATCH(Ch2_FieldSurvey!B245,FieldSites!C:C,0))</f>
        <v>-119.778553</v>
      </c>
      <c r="G245" s="2" t="n">
        <f aca="false">INDEX(FieldSites!H:H, MATCH(Ch2_FieldSurvey!B245,FieldSites!C:C,0))</f>
        <v>37.959056</v>
      </c>
      <c r="H245" s="18" t="n">
        <v>4</v>
      </c>
      <c r="I245" s="21" t="str">
        <f aca="false">CONCATENATE(B245,"_",C245,H245)</f>
        <v>HHBB_M. guttatus4</v>
      </c>
      <c r="J245" s="22" t="n">
        <v>44671</v>
      </c>
      <c r="K245" s="23" t="n">
        <v>0.556944444444445</v>
      </c>
      <c r="L245" s="22" t="n">
        <v>44672</v>
      </c>
      <c r="M245" s="23" t="n">
        <v>0.527777777777778</v>
      </c>
      <c r="O245" s="1" t="s">
        <v>289</v>
      </c>
      <c r="P245" s="16" t="s">
        <v>261</v>
      </c>
      <c r="Q245" s="16" t="s">
        <v>262</v>
      </c>
      <c r="R245" s="16" t="s">
        <v>263</v>
      </c>
      <c r="S245" s="4" t="s">
        <v>78</v>
      </c>
      <c r="T245" s="24" t="n">
        <v>250</v>
      </c>
      <c r="U245" s="18" t="n">
        <v>1.9</v>
      </c>
      <c r="V245" s="24" t="n">
        <v>0.14</v>
      </c>
      <c r="Z245" s="18"/>
      <c r="AA245" s="20"/>
      <c r="AB245" s="20"/>
      <c r="AC245" s="19" t="e">
        <f aca="false">(AB245-AA245)/AB245</f>
        <v>#DIV/0!</v>
      </c>
      <c r="AD245" s="2" t="s">
        <v>266</v>
      </c>
    </row>
    <row r="246" customFormat="false" ht="14.25" hidden="false" customHeight="true" outlineLevel="0" collapsed="false">
      <c r="A246" s="18" t="s">
        <v>259</v>
      </c>
      <c r="B246" s="18" t="s">
        <v>259</v>
      </c>
      <c r="C246" s="18" t="s">
        <v>40</v>
      </c>
      <c r="E246" s="2" t="n">
        <f aca="false">INDEX(FieldSites!F:F, MATCH(Ch2_FieldSurvey!B246,FieldSites!C:C,0))</f>
        <v>1199</v>
      </c>
      <c r="F246" s="2" t="n">
        <f aca="false">INDEX(FieldSites!G:G, MATCH(Ch2_FieldSurvey!B246,FieldSites!C:C,0))</f>
        <v>-119.778553</v>
      </c>
      <c r="G246" s="2" t="n">
        <f aca="false">INDEX(FieldSites!H:H, MATCH(Ch2_FieldSurvey!B246,FieldSites!C:C,0))</f>
        <v>37.959056</v>
      </c>
      <c r="H246" s="18" t="n">
        <v>5</v>
      </c>
      <c r="I246" s="21" t="str">
        <f aca="false">CONCATENATE(B246,"_",C246,H246)</f>
        <v>HHBB_M. guttatus5</v>
      </c>
      <c r="J246" s="22" t="n">
        <v>44671</v>
      </c>
      <c r="K246" s="23" t="n">
        <v>0.556944444444445</v>
      </c>
      <c r="L246" s="22" t="n">
        <v>44672</v>
      </c>
      <c r="M246" s="23" t="n">
        <v>0.530555555555556</v>
      </c>
      <c r="O246" s="1" t="s">
        <v>290</v>
      </c>
      <c r="P246" s="16" t="s">
        <v>261</v>
      </c>
      <c r="Q246" s="16" t="s">
        <v>262</v>
      </c>
      <c r="R246" s="16" t="s">
        <v>263</v>
      </c>
      <c r="S246" s="4" t="s">
        <v>291</v>
      </c>
      <c r="T246" s="24" t="n">
        <v>185</v>
      </c>
      <c r="U246" s="18" t="n">
        <v>1.8</v>
      </c>
      <c r="V246" s="24" t="n">
        <v>0.12</v>
      </c>
      <c r="W246" s="2" t="n">
        <v>0.1</v>
      </c>
      <c r="Z246" s="18"/>
      <c r="AA246" s="20"/>
      <c r="AB246" s="20"/>
      <c r="AC246" s="19" t="e">
        <f aca="false">(AB246-AA246)/AB246</f>
        <v>#DIV/0!</v>
      </c>
      <c r="AD246" s="2" t="s">
        <v>266</v>
      </c>
    </row>
    <row r="247" customFormat="false" ht="14.25" hidden="false" customHeight="true" outlineLevel="0" collapsed="false">
      <c r="A247" s="18" t="s">
        <v>259</v>
      </c>
      <c r="B247" s="18" t="s">
        <v>259</v>
      </c>
      <c r="C247" s="18" t="s">
        <v>40</v>
      </c>
      <c r="E247" s="2" t="n">
        <f aca="false">INDEX(FieldSites!F:F, MATCH(Ch2_FieldSurvey!B247,FieldSites!C:C,0))</f>
        <v>1199</v>
      </c>
      <c r="F247" s="2" t="n">
        <f aca="false">INDEX(FieldSites!G:G, MATCH(Ch2_FieldSurvey!B247,FieldSites!C:C,0))</f>
        <v>-119.778553</v>
      </c>
      <c r="G247" s="2" t="n">
        <f aca="false">INDEX(FieldSites!H:H, MATCH(Ch2_FieldSurvey!B247,FieldSites!C:C,0))</f>
        <v>37.959056</v>
      </c>
      <c r="H247" s="18" t="n">
        <v>5</v>
      </c>
      <c r="I247" s="21" t="str">
        <f aca="false">CONCATENATE(B247,"_",C247,H247)</f>
        <v>HHBB_M. guttatus5</v>
      </c>
      <c r="J247" s="22" t="n">
        <v>44671</v>
      </c>
      <c r="K247" s="23" t="n">
        <v>0.556944444444445</v>
      </c>
      <c r="L247" s="22" t="n">
        <v>44672</v>
      </c>
      <c r="M247" s="23" t="n">
        <v>0.530555555555556</v>
      </c>
      <c r="O247" s="1" t="s">
        <v>290</v>
      </c>
      <c r="P247" s="16" t="s">
        <v>261</v>
      </c>
      <c r="Q247" s="16" t="s">
        <v>262</v>
      </c>
      <c r="R247" s="16" t="s">
        <v>263</v>
      </c>
      <c r="S247" s="4" t="s">
        <v>291</v>
      </c>
      <c r="T247" s="24" t="n">
        <v>255</v>
      </c>
      <c r="U247" s="18" t="n">
        <v>2.2</v>
      </c>
      <c r="V247" s="24" t="n">
        <v>0.16</v>
      </c>
      <c r="W247" s="2" t="n">
        <v>0.1</v>
      </c>
      <c r="Z247" s="18"/>
      <c r="AA247" s="20"/>
      <c r="AB247" s="20"/>
      <c r="AC247" s="19" t="e">
        <f aca="false">(AB247-AA247)/AB247</f>
        <v>#DIV/0!</v>
      </c>
      <c r="AD247" s="2" t="s">
        <v>266</v>
      </c>
    </row>
    <row r="248" customFormat="false" ht="14.25" hidden="false" customHeight="true" outlineLevel="0" collapsed="false">
      <c r="A248" s="18" t="s">
        <v>259</v>
      </c>
      <c r="B248" s="18" t="s">
        <v>259</v>
      </c>
      <c r="C248" s="18" t="s">
        <v>40</v>
      </c>
      <c r="E248" s="2" t="n">
        <f aca="false">INDEX(FieldSites!F:F, MATCH(Ch2_FieldSurvey!B248,FieldSites!C:C,0))</f>
        <v>1199</v>
      </c>
      <c r="F248" s="2" t="n">
        <f aca="false">INDEX(FieldSites!G:G, MATCH(Ch2_FieldSurvey!B248,FieldSites!C:C,0))</f>
        <v>-119.778553</v>
      </c>
      <c r="G248" s="2" t="n">
        <f aca="false">INDEX(FieldSites!H:H, MATCH(Ch2_FieldSurvey!B248,FieldSites!C:C,0))</f>
        <v>37.959056</v>
      </c>
      <c r="H248" s="18" t="n">
        <v>5</v>
      </c>
      <c r="I248" s="21" t="str">
        <f aca="false">CONCATENATE(B248,"_",C248,H248)</f>
        <v>HHBB_M. guttatus5</v>
      </c>
      <c r="J248" s="22" t="n">
        <v>44671</v>
      </c>
      <c r="K248" s="23" t="n">
        <v>0.556944444444445</v>
      </c>
      <c r="L248" s="22" t="n">
        <v>44672</v>
      </c>
      <c r="M248" s="23" t="n">
        <v>0.530555555555556</v>
      </c>
      <c r="O248" s="1" t="s">
        <v>290</v>
      </c>
      <c r="P248" s="16" t="s">
        <v>261</v>
      </c>
      <c r="Q248" s="16" t="s">
        <v>262</v>
      </c>
      <c r="R248" s="16" t="s">
        <v>263</v>
      </c>
      <c r="S248" s="4" t="s">
        <v>291</v>
      </c>
      <c r="T248" s="24" t="n">
        <v>170</v>
      </c>
      <c r="U248" s="18" t="n">
        <v>1.8</v>
      </c>
      <c r="V248" s="24" t="n">
        <v>0.12</v>
      </c>
      <c r="Z248" s="18"/>
      <c r="AA248" s="20"/>
      <c r="AB248" s="20"/>
      <c r="AC248" s="19" t="e">
        <f aca="false">(AB248-AA248)/AB248</f>
        <v>#DIV/0!</v>
      </c>
      <c r="AD248" s="2" t="s">
        <v>266</v>
      </c>
    </row>
    <row r="249" customFormat="false" ht="14.25" hidden="false" customHeight="true" outlineLevel="0" collapsed="false">
      <c r="A249" s="18" t="s">
        <v>259</v>
      </c>
      <c r="B249" s="18" t="s">
        <v>259</v>
      </c>
      <c r="C249" s="18" t="s">
        <v>40</v>
      </c>
      <c r="E249" s="2" t="n">
        <f aca="false">INDEX(FieldSites!F:F, MATCH(Ch2_FieldSurvey!B249,FieldSites!C:C,0))</f>
        <v>1199</v>
      </c>
      <c r="F249" s="2" t="n">
        <f aca="false">INDEX(FieldSites!G:G, MATCH(Ch2_FieldSurvey!B249,FieldSites!C:C,0))</f>
        <v>-119.778553</v>
      </c>
      <c r="G249" s="2" t="n">
        <f aca="false">INDEX(FieldSites!H:H, MATCH(Ch2_FieldSurvey!B249,FieldSites!C:C,0))</f>
        <v>37.959056</v>
      </c>
      <c r="H249" s="18" t="n">
        <v>6</v>
      </c>
      <c r="I249" s="21" t="str">
        <f aca="false">CONCATENATE(B249,"_",C249,H249)</f>
        <v>HHBB_M. guttatus6</v>
      </c>
      <c r="J249" s="22" t="n">
        <v>44671</v>
      </c>
      <c r="K249" s="23" t="n">
        <v>0.556944444444445</v>
      </c>
      <c r="L249" s="22" t="n">
        <v>44672</v>
      </c>
      <c r="M249" s="23" t="n">
        <v>0.533333333333333</v>
      </c>
      <c r="O249" s="1" t="s">
        <v>292</v>
      </c>
      <c r="P249" s="16" t="s">
        <v>261</v>
      </c>
      <c r="Q249" s="16" t="s">
        <v>262</v>
      </c>
      <c r="R249" s="16" t="s">
        <v>263</v>
      </c>
      <c r="S249" s="4" t="s">
        <v>293</v>
      </c>
      <c r="T249" s="24" t="n">
        <v>252</v>
      </c>
      <c r="U249" s="18" t="n">
        <v>2</v>
      </c>
      <c r="V249" s="24" t="n">
        <v>0.11</v>
      </c>
      <c r="W249" s="2" t="n">
        <v>0</v>
      </c>
      <c r="Z249" s="18"/>
      <c r="AA249" s="20"/>
      <c r="AB249" s="20"/>
      <c r="AC249" s="19" t="e">
        <f aca="false">(AB249-AA249)/AB249</f>
        <v>#DIV/0!</v>
      </c>
      <c r="AD249" s="2" t="s">
        <v>266</v>
      </c>
    </row>
    <row r="250" customFormat="false" ht="14.25" hidden="false" customHeight="true" outlineLevel="0" collapsed="false">
      <c r="A250" s="18" t="s">
        <v>259</v>
      </c>
      <c r="B250" s="18" t="s">
        <v>259</v>
      </c>
      <c r="C250" s="18" t="s">
        <v>40</v>
      </c>
      <c r="E250" s="2" t="n">
        <f aca="false">INDEX(FieldSites!F:F, MATCH(Ch2_FieldSurvey!B250,FieldSites!C:C,0))</f>
        <v>1199</v>
      </c>
      <c r="F250" s="2" t="n">
        <f aca="false">INDEX(FieldSites!G:G, MATCH(Ch2_FieldSurvey!B250,FieldSites!C:C,0))</f>
        <v>-119.778553</v>
      </c>
      <c r="G250" s="2" t="n">
        <f aca="false">INDEX(FieldSites!H:H, MATCH(Ch2_FieldSurvey!B250,FieldSites!C:C,0))</f>
        <v>37.959056</v>
      </c>
      <c r="H250" s="18" t="n">
        <v>6</v>
      </c>
      <c r="I250" s="21" t="str">
        <f aca="false">CONCATENATE(B250,"_",C250,H250)</f>
        <v>HHBB_M. guttatus6</v>
      </c>
      <c r="J250" s="22" t="n">
        <v>44671</v>
      </c>
      <c r="K250" s="23" t="n">
        <v>0.556944444444445</v>
      </c>
      <c r="L250" s="22" t="n">
        <v>44672</v>
      </c>
      <c r="M250" s="23" t="n">
        <v>0.533333333333333</v>
      </c>
      <c r="O250" s="1" t="s">
        <v>292</v>
      </c>
      <c r="P250" s="16" t="s">
        <v>261</v>
      </c>
      <c r="Q250" s="16" t="s">
        <v>262</v>
      </c>
      <c r="R250" s="16" t="s">
        <v>263</v>
      </c>
      <c r="S250" s="4" t="s">
        <v>293</v>
      </c>
      <c r="T250" s="24" t="n">
        <v>242</v>
      </c>
      <c r="U250" s="18" t="n">
        <v>2</v>
      </c>
      <c r="V250" s="24" t="n">
        <v>0.15</v>
      </c>
      <c r="W250" s="2" t="n">
        <v>0.1</v>
      </c>
      <c r="Z250" s="18"/>
      <c r="AA250" s="20"/>
      <c r="AB250" s="20"/>
      <c r="AC250" s="19" t="e">
        <f aca="false">(AB250-AA250)/AB250</f>
        <v>#DIV/0!</v>
      </c>
      <c r="AD250" s="2" t="s">
        <v>266</v>
      </c>
    </row>
    <row r="251" customFormat="false" ht="14.25" hidden="false" customHeight="true" outlineLevel="0" collapsed="false">
      <c r="A251" s="18" t="s">
        <v>259</v>
      </c>
      <c r="B251" s="18" t="s">
        <v>259</v>
      </c>
      <c r="C251" s="18" t="s">
        <v>40</v>
      </c>
      <c r="E251" s="2" t="n">
        <f aca="false">INDEX(FieldSites!F:F, MATCH(Ch2_FieldSurvey!B251,FieldSites!C:C,0))</f>
        <v>1199</v>
      </c>
      <c r="F251" s="2" t="n">
        <f aca="false">INDEX(FieldSites!G:G, MATCH(Ch2_FieldSurvey!B251,FieldSites!C:C,0))</f>
        <v>-119.778553</v>
      </c>
      <c r="G251" s="2" t="n">
        <f aca="false">INDEX(FieldSites!H:H, MATCH(Ch2_FieldSurvey!B251,FieldSites!C:C,0))</f>
        <v>37.959056</v>
      </c>
      <c r="H251" s="18" t="n">
        <v>6</v>
      </c>
      <c r="I251" s="21" t="str">
        <f aca="false">CONCATENATE(B251,"_",C251,H251)</f>
        <v>HHBB_M. guttatus6</v>
      </c>
      <c r="J251" s="22" t="n">
        <v>44671</v>
      </c>
      <c r="K251" s="23" t="n">
        <v>0.556944444444445</v>
      </c>
      <c r="L251" s="22" t="n">
        <v>44672</v>
      </c>
      <c r="M251" s="23" t="n">
        <v>0.533333333333333</v>
      </c>
      <c r="O251" s="1" t="s">
        <v>292</v>
      </c>
      <c r="P251" s="16" t="s">
        <v>261</v>
      </c>
      <c r="Q251" s="16" t="s">
        <v>262</v>
      </c>
      <c r="R251" s="16" t="s">
        <v>263</v>
      </c>
      <c r="S251" s="4" t="s">
        <v>293</v>
      </c>
      <c r="T251" s="24" t="n">
        <v>252</v>
      </c>
      <c r="U251" s="18" t="n">
        <v>2.1</v>
      </c>
      <c r="V251" s="24" t="n">
        <v>0.12</v>
      </c>
      <c r="Z251" s="18"/>
      <c r="AA251" s="20"/>
      <c r="AB251" s="20"/>
      <c r="AC251" s="19" t="e">
        <f aca="false">(AB251-AA251)/AB251</f>
        <v>#DIV/0!</v>
      </c>
      <c r="AD251" s="2" t="s">
        <v>266</v>
      </c>
    </row>
    <row r="252" customFormat="false" ht="14.25" hidden="false" customHeight="true" outlineLevel="0" collapsed="false">
      <c r="A252" s="18" t="s">
        <v>259</v>
      </c>
      <c r="B252" s="18" t="s">
        <v>259</v>
      </c>
      <c r="C252" s="18" t="s">
        <v>40</v>
      </c>
      <c r="E252" s="2" t="n">
        <f aca="false">INDEX(FieldSites!F:F, MATCH(Ch2_FieldSurvey!B252,FieldSites!C:C,0))</f>
        <v>1199</v>
      </c>
      <c r="F252" s="2" t="n">
        <f aca="false">INDEX(FieldSites!G:G, MATCH(Ch2_FieldSurvey!B252,FieldSites!C:C,0))</f>
        <v>-119.778553</v>
      </c>
      <c r="G252" s="2" t="n">
        <f aca="false">INDEX(FieldSites!H:H, MATCH(Ch2_FieldSurvey!B252,FieldSites!C:C,0))</f>
        <v>37.959056</v>
      </c>
      <c r="H252" s="18" t="n">
        <v>7</v>
      </c>
      <c r="I252" s="21" t="str">
        <f aca="false">CONCATENATE(B252,"_",C252,H252)</f>
        <v>HHBB_M. guttatus7</v>
      </c>
      <c r="J252" s="22" t="n">
        <v>44671</v>
      </c>
      <c r="K252" s="23" t="n">
        <v>0.556944444444445</v>
      </c>
      <c r="L252" s="22" t="n">
        <v>44672</v>
      </c>
      <c r="M252" s="23" t="n">
        <v>0.536111111111111</v>
      </c>
      <c r="O252" s="1" t="s">
        <v>294</v>
      </c>
      <c r="P252" s="16" t="s">
        <v>261</v>
      </c>
      <c r="Q252" s="16" t="s">
        <v>262</v>
      </c>
      <c r="R252" s="16" t="s">
        <v>263</v>
      </c>
      <c r="S252" s="4" t="s">
        <v>295</v>
      </c>
      <c r="T252" s="24" t="n">
        <v>300</v>
      </c>
      <c r="U252" s="18" t="n">
        <v>2.9</v>
      </c>
      <c r="V252" s="24" t="n">
        <v>0.19</v>
      </c>
      <c r="W252" s="2" t="n">
        <v>0.2</v>
      </c>
      <c r="Z252" s="18"/>
      <c r="AA252" s="20"/>
      <c r="AB252" s="20"/>
      <c r="AC252" s="19" t="e">
        <f aca="false">(AB252-AA252)/AB252</f>
        <v>#DIV/0!</v>
      </c>
      <c r="AD252" s="2" t="s">
        <v>266</v>
      </c>
    </row>
    <row r="253" customFormat="false" ht="14.25" hidden="false" customHeight="true" outlineLevel="0" collapsed="false">
      <c r="A253" s="18" t="s">
        <v>259</v>
      </c>
      <c r="B253" s="18" t="s">
        <v>259</v>
      </c>
      <c r="C253" s="18" t="s">
        <v>40</v>
      </c>
      <c r="E253" s="2" t="n">
        <f aca="false">INDEX(FieldSites!F:F, MATCH(Ch2_FieldSurvey!B253,FieldSites!C:C,0))</f>
        <v>1199</v>
      </c>
      <c r="F253" s="2" t="n">
        <f aca="false">INDEX(FieldSites!G:G, MATCH(Ch2_FieldSurvey!B253,FieldSites!C:C,0))</f>
        <v>-119.778553</v>
      </c>
      <c r="G253" s="2" t="n">
        <f aca="false">INDEX(FieldSites!H:H, MATCH(Ch2_FieldSurvey!B253,FieldSites!C:C,0))</f>
        <v>37.959056</v>
      </c>
      <c r="H253" s="18" t="n">
        <v>7</v>
      </c>
      <c r="I253" s="21" t="str">
        <f aca="false">CONCATENATE(B253,"_",C253,H253)</f>
        <v>HHBB_M. guttatus7</v>
      </c>
      <c r="J253" s="22" t="n">
        <v>44671</v>
      </c>
      <c r="K253" s="23" t="n">
        <v>0.556944444444445</v>
      </c>
      <c r="L253" s="22" t="n">
        <v>44672</v>
      </c>
      <c r="M253" s="23" t="n">
        <v>0.536111111111111</v>
      </c>
      <c r="O253" s="1" t="s">
        <v>294</v>
      </c>
      <c r="P253" s="16" t="s">
        <v>261</v>
      </c>
      <c r="Q253" s="16" t="s">
        <v>262</v>
      </c>
      <c r="R253" s="16" t="s">
        <v>263</v>
      </c>
      <c r="S253" s="4" t="s">
        <v>295</v>
      </c>
      <c r="T253" s="24" t="n">
        <v>315</v>
      </c>
      <c r="U253" s="18" t="n">
        <v>2.7</v>
      </c>
      <c r="V253" s="24" t="n">
        <v>0.29</v>
      </c>
      <c r="W253" s="2" t="n">
        <v>0.1</v>
      </c>
      <c r="Z253" s="18"/>
      <c r="AA253" s="20"/>
      <c r="AB253" s="20"/>
      <c r="AC253" s="19" t="e">
        <f aca="false">(AB253-AA253)/AB253</f>
        <v>#DIV/0!</v>
      </c>
      <c r="AD253" s="2" t="s">
        <v>266</v>
      </c>
    </row>
    <row r="254" customFormat="false" ht="14.25" hidden="false" customHeight="true" outlineLevel="0" collapsed="false">
      <c r="A254" s="18" t="s">
        <v>259</v>
      </c>
      <c r="B254" s="18" t="s">
        <v>259</v>
      </c>
      <c r="C254" s="18" t="s">
        <v>40</v>
      </c>
      <c r="E254" s="2" t="n">
        <f aca="false">INDEX(FieldSites!F:F, MATCH(Ch2_FieldSurvey!B254,FieldSites!C:C,0))</f>
        <v>1199</v>
      </c>
      <c r="F254" s="2" t="n">
        <f aca="false">INDEX(FieldSites!G:G, MATCH(Ch2_FieldSurvey!B254,FieldSites!C:C,0))</f>
        <v>-119.778553</v>
      </c>
      <c r="G254" s="2" t="n">
        <f aca="false">INDEX(FieldSites!H:H, MATCH(Ch2_FieldSurvey!B254,FieldSites!C:C,0))</f>
        <v>37.959056</v>
      </c>
      <c r="H254" s="18" t="n">
        <v>7</v>
      </c>
      <c r="I254" s="21" t="str">
        <f aca="false">CONCATENATE(B254,"_",C254,H254)</f>
        <v>HHBB_M. guttatus7</v>
      </c>
      <c r="J254" s="22" t="n">
        <v>44671</v>
      </c>
      <c r="K254" s="23" t="n">
        <v>0.556944444444445</v>
      </c>
      <c r="L254" s="22" t="n">
        <v>44672</v>
      </c>
      <c r="M254" s="23" t="n">
        <v>0.536111111111111</v>
      </c>
      <c r="O254" s="1" t="s">
        <v>294</v>
      </c>
      <c r="P254" s="16" t="s">
        <v>261</v>
      </c>
      <c r="Q254" s="16" t="s">
        <v>262</v>
      </c>
      <c r="R254" s="16" t="s">
        <v>263</v>
      </c>
      <c r="S254" s="4" t="s">
        <v>295</v>
      </c>
      <c r="T254" s="24" t="n">
        <v>300</v>
      </c>
      <c r="U254" s="18" t="n">
        <v>2.7</v>
      </c>
      <c r="V254" s="24" t="n">
        <v>0.29</v>
      </c>
      <c r="Z254" s="18"/>
      <c r="AA254" s="20"/>
      <c r="AB254" s="20"/>
      <c r="AC254" s="19" t="e">
        <f aca="false">(AB254-AA254)/AB254</f>
        <v>#DIV/0!</v>
      </c>
      <c r="AD254" s="2" t="s">
        <v>266</v>
      </c>
    </row>
    <row r="255" customFormat="false" ht="14.25" hidden="false" customHeight="true" outlineLevel="0" collapsed="false">
      <c r="A255" s="18" t="s">
        <v>259</v>
      </c>
      <c r="B255" s="18" t="s">
        <v>259</v>
      </c>
      <c r="C255" s="18" t="s">
        <v>40</v>
      </c>
      <c r="E255" s="2" t="n">
        <f aca="false">INDEX(FieldSites!F:F, MATCH(Ch2_FieldSurvey!B255,FieldSites!C:C,0))</f>
        <v>1199</v>
      </c>
      <c r="F255" s="2" t="n">
        <f aca="false">INDEX(FieldSites!G:G, MATCH(Ch2_FieldSurvey!B255,FieldSites!C:C,0))</f>
        <v>-119.778553</v>
      </c>
      <c r="G255" s="2" t="n">
        <f aca="false">INDEX(FieldSites!H:H, MATCH(Ch2_FieldSurvey!B255,FieldSites!C:C,0))</f>
        <v>37.959056</v>
      </c>
      <c r="H255" s="18" t="n">
        <v>8</v>
      </c>
      <c r="I255" s="21" t="str">
        <f aca="false">CONCATENATE(B255,"_",C255,H255)</f>
        <v>HHBB_M. guttatus8</v>
      </c>
      <c r="J255" s="22" t="n">
        <v>44671</v>
      </c>
      <c r="K255" s="23" t="n">
        <v>0.556944444444445</v>
      </c>
      <c r="L255" s="22" t="n">
        <v>44672</v>
      </c>
      <c r="M255" s="23" t="n">
        <v>0.538194444444444</v>
      </c>
      <c r="O255" s="1" t="s">
        <v>296</v>
      </c>
      <c r="P255" s="16" t="s">
        <v>261</v>
      </c>
      <c r="Q255" s="16" t="s">
        <v>262</v>
      </c>
      <c r="R255" s="16" t="s">
        <v>263</v>
      </c>
      <c r="S255" s="4" t="s">
        <v>297</v>
      </c>
      <c r="T255" s="24" t="n">
        <v>202</v>
      </c>
      <c r="U255" s="18" t="n">
        <v>2</v>
      </c>
      <c r="V255" s="24" t="n">
        <v>0.13</v>
      </c>
      <c r="Z255" s="18"/>
      <c r="AA255" s="20"/>
      <c r="AB255" s="20"/>
      <c r="AC255" s="19" t="e">
        <f aca="false">(AB255-AA255)/AB255</f>
        <v>#DIV/0!</v>
      </c>
      <c r="AD255" s="2" t="s">
        <v>266</v>
      </c>
    </row>
    <row r="256" customFormat="false" ht="14.25" hidden="false" customHeight="true" outlineLevel="0" collapsed="false">
      <c r="A256" s="18" t="s">
        <v>259</v>
      </c>
      <c r="B256" s="18" t="s">
        <v>259</v>
      </c>
      <c r="C256" s="18" t="s">
        <v>40</v>
      </c>
      <c r="E256" s="2" t="n">
        <f aca="false">INDEX(FieldSites!F:F, MATCH(Ch2_FieldSurvey!B256,FieldSites!C:C,0))</f>
        <v>1199</v>
      </c>
      <c r="F256" s="2" t="n">
        <f aca="false">INDEX(FieldSites!G:G, MATCH(Ch2_FieldSurvey!B256,FieldSites!C:C,0))</f>
        <v>-119.778553</v>
      </c>
      <c r="G256" s="2" t="n">
        <f aca="false">INDEX(FieldSites!H:H, MATCH(Ch2_FieldSurvey!B256,FieldSites!C:C,0))</f>
        <v>37.959056</v>
      </c>
      <c r="H256" s="18" t="n">
        <v>8</v>
      </c>
      <c r="I256" s="21" t="str">
        <f aca="false">CONCATENATE(B256,"_",C256,H256)</f>
        <v>HHBB_M. guttatus8</v>
      </c>
      <c r="J256" s="22" t="n">
        <v>44671</v>
      </c>
      <c r="K256" s="23" t="n">
        <v>0.556944444444445</v>
      </c>
      <c r="L256" s="22" t="n">
        <v>44672</v>
      </c>
      <c r="M256" s="23" t="n">
        <v>0.538194444444444</v>
      </c>
      <c r="O256" s="1" t="s">
        <v>296</v>
      </c>
      <c r="P256" s="16" t="s">
        <v>261</v>
      </c>
      <c r="Q256" s="16" t="s">
        <v>262</v>
      </c>
      <c r="R256" s="16" t="s">
        <v>263</v>
      </c>
      <c r="S256" s="4" t="s">
        <v>297</v>
      </c>
      <c r="T256" s="24" t="n">
        <v>280</v>
      </c>
      <c r="U256" s="18" t="n">
        <v>2</v>
      </c>
      <c r="V256" s="24" t="n">
        <v>0.14</v>
      </c>
      <c r="W256" s="2" t="n">
        <v>0.1</v>
      </c>
      <c r="Z256" s="18"/>
      <c r="AA256" s="20"/>
      <c r="AB256" s="20"/>
      <c r="AC256" s="19" t="e">
        <f aca="false">(AB256-AA256)/AB256</f>
        <v>#DIV/0!</v>
      </c>
      <c r="AD256" s="2" t="s">
        <v>266</v>
      </c>
    </row>
    <row r="257" customFormat="false" ht="14.25" hidden="false" customHeight="true" outlineLevel="0" collapsed="false">
      <c r="A257" s="18" t="s">
        <v>259</v>
      </c>
      <c r="B257" s="18" t="s">
        <v>259</v>
      </c>
      <c r="C257" s="18" t="s">
        <v>40</v>
      </c>
      <c r="E257" s="2" t="n">
        <f aca="false">INDEX(FieldSites!F:F, MATCH(Ch2_FieldSurvey!B257,FieldSites!C:C,0))</f>
        <v>1199</v>
      </c>
      <c r="F257" s="2" t="n">
        <f aca="false">INDEX(FieldSites!G:G, MATCH(Ch2_FieldSurvey!B257,FieldSites!C:C,0))</f>
        <v>-119.778553</v>
      </c>
      <c r="G257" s="2" t="n">
        <f aca="false">INDEX(FieldSites!H:H, MATCH(Ch2_FieldSurvey!B257,FieldSites!C:C,0))</f>
        <v>37.959056</v>
      </c>
      <c r="H257" s="18" t="n">
        <v>8</v>
      </c>
      <c r="I257" s="21" t="str">
        <f aca="false">CONCATENATE(B257,"_",C257,H257)</f>
        <v>HHBB_M. guttatus8</v>
      </c>
      <c r="J257" s="22" t="n">
        <v>44671</v>
      </c>
      <c r="K257" s="23" t="n">
        <v>0.556944444444445</v>
      </c>
      <c r="L257" s="22" t="n">
        <v>44672</v>
      </c>
      <c r="M257" s="23" t="n">
        <v>0.538194444444444</v>
      </c>
      <c r="O257" s="1" t="s">
        <v>296</v>
      </c>
      <c r="P257" s="16" t="s">
        <v>261</v>
      </c>
      <c r="Q257" s="16" t="s">
        <v>262</v>
      </c>
      <c r="R257" s="16" t="s">
        <v>263</v>
      </c>
      <c r="S257" s="4" t="s">
        <v>297</v>
      </c>
      <c r="T257" s="24" t="n">
        <v>185</v>
      </c>
      <c r="U257" s="18" t="n">
        <v>2.7</v>
      </c>
      <c r="V257" s="24" t="n">
        <v>0.16</v>
      </c>
      <c r="W257" s="2" t="n">
        <v>0.1</v>
      </c>
      <c r="Z257" s="18"/>
      <c r="AA257" s="20"/>
      <c r="AB257" s="20"/>
      <c r="AC257" s="19" t="e">
        <f aca="false">(AB257-AA257)/AB257</f>
        <v>#DIV/0!</v>
      </c>
      <c r="AD257" s="2" t="s">
        <v>266</v>
      </c>
    </row>
    <row r="258" customFormat="false" ht="14.25" hidden="false" customHeight="true" outlineLevel="0" collapsed="false">
      <c r="A258" s="18" t="s">
        <v>259</v>
      </c>
      <c r="B258" s="18" t="s">
        <v>259</v>
      </c>
      <c r="C258" s="18" t="s">
        <v>40</v>
      </c>
      <c r="E258" s="2" t="n">
        <f aca="false">INDEX(FieldSites!F:F, MATCH(Ch2_FieldSurvey!B258,FieldSites!C:C,0))</f>
        <v>1199</v>
      </c>
      <c r="F258" s="2" t="n">
        <f aca="false">INDEX(FieldSites!G:G, MATCH(Ch2_FieldSurvey!B258,FieldSites!C:C,0))</f>
        <v>-119.778553</v>
      </c>
      <c r="G258" s="2" t="n">
        <f aca="false">INDEX(FieldSites!H:H, MATCH(Ch2_FieldSurvey!B258,FieldSites!C:C,0))</f>
        <v>37.959056</v>
      </c>
      <c r="H258" s="18" t="n">
        <v>9</v>
      </c>
      <c r="I258" s="21" t="str">
        <f aca="false">CONCATENATE(B258,"_",C258,H258)</f>
        <v>HHBB_M. guttatus9</v>
      </c>
      <c r="J258" s="22" t="n">
        <v>44671</v>
      </c>
      <c r="K258" s="23" t="n">
        <v>0.556944444444445</v>
      </c>
      <c r="L258" s="22" t="n">
        <v>44672</v>
      </c>
      <c r="M258" s="23" t="n">
        <v>0.543055555555556</v>
      </c>
      <c r="O258" s="1" t="s">
        <v>298</v>
      </c>
      <c r="P258" s="16" t="s">
        <v>261</v>
      </c>
      <c r="Q258" s="16" t="s">
        <v>262</v>
      </c>
      <c r="R258" s="16" t="s">
        <v>263</v>
      </c>
      <c r="S258" s="4" t="s">
        <v>299</v>
      </c>
      <c r="T258" s="24" t="n">
        <v>135</v>
      </c>
      <c r="U258" s="18" t="n">
        <v>2.2</v>
      </c>
      <c r="V258" s="24" t="n">
        <v>0.11</v>
      </c>
      <c r="Z258" s="18"/>
      <c r="AA258" s="20"/>
      <c r="AB258" s="20"/>
      <c r="AC258" s="19" t="e">
        <f aca="false">(AB258-AA258)/AB258</f>
        <v>#DIV/0!</v>
      </c>
      <c r="AD258" s="2" t="s">
        <v>266</v>
      </c>
    </row>
    <row r="259" customFormat="false" ht="14.25" hidden="false" customHeight="true" outlineLevel="0" collapsed="false">
      <c r="A259" s="18" t="s">
        <v>259</v>
      </c>
      <c r="B259" s="18" t="s">
        <v>259</v>
      </c>
      <c r="C259" s="18" t="s">
        <v>40</v>
      </c>
      <c r="E259" s="2" t="n">
        <f aca="false">INDEX(FieldSites!F:F, MATCH(Ch2_FieldSurvey!B259,FieldSites!C:C,0))</f>
        <v>1199</v>
      </c>
      <c r="F259" s="2" t="n">
        <f aca="false">INDEX(FieldSites!G:G, MATCH(Ch2_FieldSurvey!B259,FieldSites!C:C,0))</f>
        <v>-119.778553</v>
      </c>
      <c r="G259" s="2" t="n">
        <f aca="false">INDEX(FieldSites!H:H, MATCH(Ch2_FieldSurvey!B259,FieldSites!C:C,0))</f>
        <v>37.959056</v>
      </c>
      <c r="H259" s="18" t="n">
        <v>9</v>
      </c>
      <c r="I259" s="21" t="str">
        <f aca="false">CONCATENATE(B259,"_",C259,H259)</f>
        <v>HHBB_M. guttatus9</v>
      </c>
      <c r="J259" s="22" t="n">
        <v>44671</v>
      </c>
      <c r="K259" s="23" t="n">
        <v>0.556944444444445</v>
      </c>
      <c r="L259" s="22" t="n">
        <v>44672</v>
      </c>
      <c r="M259" s="23" t="n">
        <v>0.543055555555556</v>
      </c>
      <c r="O259" s="1" t="s">
        <v>298</v>
      </c>
      <c r="P259" s="16" t="s">
        <v>261</v>
      </c>
      <c r="Q259" s="16" t="s">
        <v>262</v>
      </c>
      <c r="R259" s="16" t="s">
        <v>263</v>
      </c>
      <c r="S259" s="4" t="s">
        <v>299</v>
      </c>
      <c r="T259" s="24" t="n">
        <v>155</v>
      </c>
      <c r="U259" s="18" t="n">
        <v>2.1</v>
      </c>
      <c r="V259" s="24" t="n">
        <v>0.1</v>
      </c>
      <c r="W259" s="2" t="n">
        <v>0.1</v>
      </c>
      <c r="Z259" s="18"/>
      <c r="AA259" s="20"/>
      <c r="AB259" s="20"/>
      <c r="AC259" s="19" t="e">
        <f aca="false">(AB259-AA259)/AB259</f>
        <v>#DIV/0!</v>
      </c>
      <c r="AD259" s="2" t="s">
        <v>266</v>
      </c>
    </row>
    <row r="260" customFormat="false" ht="14.25" hidden="false" customHeight="true" outlineLevel="0" collapsed="false">
      <c r="A260" s="18" t="s">
        <v>259</v>
      </c>
      <c r="B260" s="18" t="s">
        <v>259</v>
      </c>
      <c r="C260" s="18" t="s">
        <v>40</v>
      </c>
      <c r="E260" s="2" t="n">
        <f aca="false">INDEX(FieldSites!F:F, MATCH(Ch2_FieldSurvey!B260,FieldSites!C:C,0))</f>
        <v>1199</v>
      </c>
      <c r="F260" s="2" t="n">
        <f aca="false">INDEX(FieldSites!G:G, MATCH(Ch2_FieldSurvey!B260,FieldSites!C:C,0))</f>
        <v>-119.778553</v>
      </c>
      <c r="G260" s="2" t="n">
        <f aca="false">INDEX(FieldSites!H:H, MATCH(Ch2_FieldSurvey!B260,FieldSites!C:C,0))</f>
        <v>37.959056</v>
      </c>
      <c r="H260" s="18" t="n">
        <v>9</v>
      </c>
      <c r="I260" s="21" t="str">
        <f aca="false">CONCATENATE(B260,"_",C260,H260)</f>
        <v>HHBB_M. guttatus9</v>
      </c>
      <c r="J260" s="22" t="n">
        <v>44671</v>
      </c>
      <c r="K260" s="23" t="n">
        <v>0.556944444444445</v>
      </c>
      <c r="L260" s="22" t="n">
        <v>44672</v>
      </c>
      <c r="M260" s="23" t="n">
        <v>0.543055555555556</v>
      </c>
      <c r="O260" s="1" t="s">
        <v>298</v>
      </c>
      <c r="P260" s="16" t="s">
        <v>261</v>
      </c>
      <c r="Q260" s="16" t="s">
        <v>262</v>
      </c>
      <c r="R260" s="16" t="s">
        <v>263</v>
      </c>
      <c r="S260" s="4" t="s">
        <v>299</v>
      </c>
      <c r="T260" s="24" t="n">
        <v>190</v>
      </c>
      <c r="U260" s="18" t="n">
        <v>1.6</v>
      </c>
      <c r="V260" s="24" t="n">
        <v>0.1</v>
      </c>
      <c r="W260" s="2" t="n">
        <v>0.1</v>
      </c>
      <c r="Z260" s="18"/>
      <c r="AA260" s="20"/>
      <c r="AB260" s="20"/>
      <c r="AC260" s="19" t="e">
        <f aca="false">(AB260-AA260)/AB260</f>
        <v>#DIV/0!</v>
      </c>
      <c r="AD260" s="2" t="s">
        <v>266</v>
      </c>
    </row>
    <row r="261" customFormat="false" ht="14.25" hidden="false" customHeight="true" outlineLevel="0" collapsed="false">
      <c r="A261" s="18" t="s">
        <v>259</v>
      </c>
      <c r="B261" s="18" t="s">
        <v>259</v>
      </c>
      <c r="C261" s="18" t="s">
        <v>40</v>
      </c>
      <c r="E261" s="2" t="n">
        <f aca="false">INDEX(FieldSites!F:F, MATCH(Ch2_FieldSurvey!B261,FieldSites!C:C,0))</f>
        <v>1199</v>
      </c>
      <c r="F261" s="2" t="n">
        <f aca="false">INDEX(FieldSites!G:G, MATCH(Ch2_FieldSurvey!B261,FieldSites!C:C,0))</f>
        <v>-119.778553</v>
      </c>
      <c r="G261" s="2" t="n">
        <f aca="false">INDEX(FieldSites!H:H, MATCH(Ch2_FieldSurvey!B261,FieldSites!C:C,0))</f>
        <v>37.959056</v>
      </c>
      <c r="H261" s="18" t="n">
        <v>10</v>
      </c>
      <c r="I261" s="21" t="str">
        <f aca="false">CONCATENATE(B261,"_",C261,H261)</f>
        <v>HHBB_M. guttatus10</v>
      </c>
      <c r="J261" s="22" t="n">
        <v>44671</v>
      </c>
      <c r="K261" s="23" t="n">
        <v>0.556944444444445</v>
      </c>
      <c r="L261" s="22" t="n">
        <v>44672</v>
      </c>
      <c r="M261" s="23" t="n">
        <v>0.545138888888889</v>
      </c>
      <c r="O261" s="1" t="s">
        <v>300</v>
      </c>
      <c r="P261" s="16" t="s">
        <v>261</v>
      </c>
      <c r="Q261" s="16" t="s">
        <v>262</v>
      </c>
      <c r="R261" s="16" t="s">
        <v>263</v>
      </c>
      <c r="S261" s="4" t="s">
        <v>99</v>
      </c>
      <c r="T261" s="24" t="n">
        <v>300</v>
      </c>
      <c r="U261" s="18" t="n">
        <v>2.4</v>
      </c>
      <c r="V261" s="24" t="n">
        <v>0.2</v>
      </c>
      <c r="Z261" s="18" t="s">
        <v>301</v>
      </c>
      <c r="AA261" s="20"/>
      <c r="AB261" s="20"/>
      <c r="AC261" s="19" t="e">
        <f aca="false">(AB261-AA261)/AB261</f>
        <v>#DIV/0!</v>
      </c>
      <c r="AD261" s="2" t="s">
        <v>266</v>
      </c>
    </row>
    <row r="262" customFormat="false" ht="14.25" hidden="false" customHeight="true" outlineLevel="0" collapsed="false">
      <c r="A262" s="18" t="s">
        <v>259</v>
      </c>
      <c r="B262" s="18" t="s">
        <v>259</v>
      </c>
      <c r="C262" s="18" t="s">
        <v>40</v>
      </c>
      <c r="E262" s="2" t="n">
        <f aca="false">INDEX(FieldSites!F:F, MATCH(Ch2_FieldSurvey!B262,FieldSites!C:C,0))</f>
        <v>1199</v>
      </c>
      <c r="F262" s="2" t="n">
        <f aca="false">INDEX(FieldSites!G:G, MATCH(Ch2_FieldSurvey!B262,FieldSites!C:C,0))</f>
        <v>-119.778553</v>
      </c>
      <c r="G262" s="2" t="n">
        <f aca="false">INDEX(FieldSites!H:H, MATCH(Ch2_FieldSurvey!B262,FieldSites!C:C,0))</f>
        <v>37.959056</v>
      </c>
      <c r="H262" s="18" t="n">
        <v>10</v>
      </c>
      <c r="I262" s="21" t="str">
        <f aca="false">CONCATENATE(B262,"_",C262,H262)</f>
        <v>HHBB_M. guttatus10</v>
      </c>
      <c r="J262" s="22" t="n">
        <v>44671</v>
      </c>
      <c r="K262" s="23" t="n">
        <v>0.556944444444445</v>
      </c>
      <c r="L262" s="22" t="n">
        <v>44672</v>
      </c>
      <c r="M262" s="23" t="n">
        <v>0.545138888888889</v>
      </c>
      <c r="O262" s="1" t="s">
        <v>300</v>
      </c>
      <c r="P262" s="16" t="s">
        <v>261</v>
      </c>
      <c r="Q262" s="16" t="s">
        <v>262</v>
      </c>
      <c r="R262" s="16" t="s">
        <v>263</v>
      </c>
      <c r="S262" s="4" t="s">
        <v>99</v>
      </c>
      <c r="T262" s="24" t="n">
        <v>290</v>
      </c>
      <c r="U262" s="18" t="n">
        <v>2.4</v>
      </c>
      <c r="V262" s="24" t="n">
        <v>0.16</v>
      </c>
      <c r="W262" s="2" t="n">
        <v>0.2</v>
      </c>
      <c r="Z262" s="18"/>
      <c r="AA262" s="20"/>
      <c r="AB262" s="20"/>
      <c r="AC262" s="19" t="e">
        <f aca="false">(AB262-AA262)/AB262</f>
        <v>#DIV/0!</v>
      </c>
      <c r="AD262" s="2" t="s">
        <v>266</v>
      </c>
    </row>
    <row r="263" customFormat="false" ht="14.25" hidden="false" customHeight="true" outlineLevel="0" collapsed="false">
      <c r="A263" s="18" t="s">
        <v>259</v>
      </c>
      <c r="B263" s="18" t="s">
        <v>259</v>
      </c>
      <c r="C263" s="18" t="s">
        <v>40</v>
      </c>
      <c r="E263" s="2" t="n">
        <f aca="false">INDEX(FieldSites!F:F, MATCH(Ch2_FieldSurvey!B263,FieldSites!C:C,0))</f>
        <v>1199</v>
      </c>
      <c r="F263" s="2" t="n">
        <f aca="false">INDEX(FieldSites!G:G, MATCH(Ch2_FieldSurvey!B263,FieldSites!C:C,0))</f>
        <v>-119.778553</v>
      </c>
      <c r="G263" s="2" t="n">
        <f aca="false">INDEX(FieldSites!H:H, MATCH(Ch2_FieldSurvey!B263,FieldSites!C:C,0))</f>
        <v>37.959056</v>
      </c>
      <c r="H263" s="18" t="n">
        <v>10</v>
      </c>
      <c r="I263" s="21" t="str">
        <f aca="false">CONCATENATE(B263,"_",C263,H263)</f>
        <v>HHBB_M. guttatus10</v>
      </c>
      <c r="J263" s="22" t="n">
        <v>44671</v>
      </c>
      <c r="K263" s="23" t="n">
        <v>0.556944444444445</v>
      </c>
      <c r="L263" s="22" t="n">
        <v>44672</v>
      </c>
      <c r="M263" s="23" t="n">
        <v>0.545138888888889</v>
      </c>
      <c r="O263" s="1" t="s">
        <v>300</v>
      </c>
      <c r="P263" s="16" t="s">
        <v>261</v>
      </c>
      <c r="Q263" s="16" t="s">
        <v>262</v>
      </c>
      <c r="R263" s="16" t="s">
        <v>263</v>
      </c>
      <c r="S263" s="4" t="s">
        <v>99</v>
      </c>
      <c r="T263" s="24" t="n">
        <v>292</v>
      </c>
      <c r="U263" s="18" t="n">
        <v>3.3</v>
      </c>
      <c r="V263" s="24" t="n">
        <v>0.15</v>
      </c>
      <c r="W263" s="2" t="n">
        <v>0.2</v>
      </c>
      <c r="Z263" s="18"/>
      <c r="AA263" s="20"/>
      <c r="AB263" s="20"/>
      <c r="AC263" s="19" t="e">
        <f aca="false">(AB263-AA263)/AB263</f>
        <v>#DIV/0!</v>
      </c>
      <c r="AD263" s="2" t="s">
        <v>266</v>
      </c>
    </row>
    <row r="264" customFormat="false" ht="14.25" hidden="false" customHeight="true" outlineLevel="0" collapsed="false">
      <c r="A264" s="18" t="s">
        <v>302</v>
      </c>
      <c r="B264" s="18" t="s">
        <v>302</v>
      </c>
      <c r="C264" s="18" t="s">
        <v>40</v>
      </c>
      <c r="E264" s="2" t="n">
        <f aca="false">INDEX(FieldSites!F:F, MATCH(Ch2_FieldSurvey!B264,FieldSites!C:C,0))</f>
        <v>1209</v>
      </c>
      <c r="F264" s="2" t="n">
        <f aca="false">INDEX(FieldSites!G:G, MATCH(Ch2_FieldSurvey!B264,FieldSites!C:C,0))</f>
        <v>-119.393233</v>
      </c>
      <c r="G264" s="2" t="n">
        <f aca="false">INDEX(FieldSites!H:H, MATCH(Ch2_FieldSurvey!B264,FieldSites!C:C,0))</f>
        <v>37.053544</v>
      </c>
      <c r="H264" s="18" t="n">
        <v>1</v>
      </c>
      <c r="I264" s="21" t="str">
        <f aca="false">CONCATENATE(B264,"_",C264,H264)</f>
        <v>BHEB_M. guttatus1</v>
      </c>
      <c r="J264" s="22" t="n">
        <v>44673</v>
      </c>
      <c r="K264" s="23" t="n">
        <v>0.451388888888889</v>
      </c>
      <c r="L264" s="22" t="n">
        <v>44674</v>
      </c>
      <c r="M264" s="23" t="n">
        <v>0.529861111111111</v>
      </c>
      <c r="O264" s="1" t="s">
        <v>303</v>
      </c>
      <c r="P264" s="16" t="s">
        <v>304</v>
      </c>
      <c r="Q264" s="16" t="s">
        <v>305</v>
      </c>
      <c r="R264" s="16" t="s">
        <v>306</v>
      </c>
      <c r="S264" s="4" t="s">
        <v>307</v>
      </c>
      <c r="T264" s="24" t="n">
        <v>510</v>
      </c>
      <c r="U264" s="18" t="n">
        <v>5.2</v>
      </c>
      <c r="V264" s="24" t="n">
        <v>0.3</v>
      </c>
      <c r="W264" s="2" t="n">
        <v>0.3</v>
      </c>
      <c r="Z264" s="18"/>
      <c r="AA264" s="20" t="n">
        <v>1171224</v>
      </c>
      <c r="AB264" s="20" t="n">
        <v>1332652</v>
      </c>
      <c r="AC264" s="19" t="n">
        <f aca="false">(AB264-AA264)/AB264</f>
        <v>0.121132898911344</v>
      </c>
    </row>
    <row r="265" customFormat="false" ht="14.25" hidden="false" customHeight="true" outlineLevel="0" collapsed="false">
      <c r="A265" s="18" t="s">
        <v>302</v>
      </c>
      <c r="B265" s="18" t="s">
        <v>302</v>
      </c>
      <c r="C265" s="18" t="s">
        <v>40</v>
      </c>
      <c r="E265" s="2" t="n">
        <f aca="false">INDEX(FieldSites!F:F, MATCH(Ch2_FieldSurvey!B265,FieldSites!C:C,0))</f>
        <v>1209</v>
      </c>
      <c r="F265" s="2" t="n">
        <f aca="false">INDEX(FieldSites!G:G, MATCH(Ch2_FieldSurvey!B265,FieldSites!C:C,0))</f>
        <v>-119.393233</v>
      </c>
      <c r="G265" s="2" t="n">
        <f aca="false">INDEX(FieldSites!H:H, MATCH(Ch2_FieldSurvey!B265,FieldSites!C:C,0))</f>
        <v>37.053544</v>
      </c>
      <c r="H265" s="18" t="n">
        <v>1</v>
      </c>
      <c r="I265" s="21" t="str">
        <f aca="false">CONCATENATE(B265,"_",C265,H265)</f>
        <v>BHEB_M. guttatus1</v>
      </c>
      <c r="J265" s="22" t="n">
        <v>44673</v>
      </c>
      <c r="K265" s="23" t="n">
        <v>0.451388888888889</v>
      </c>
      <c r="L265" s="22" t="n">
        <v>44674</v>
      </c>
      <c r="M265" s="23" t="n">
        <v>0.529861111111111</v>
      </c>
      <c r="O265" s="1" t="s">
        <v>303</v>
      </c>
      <c r="P265" s="16" t="s">
        <v>304</v>
      </c>
      <c r="Q265" s="16" t="s">
        <v>305</v>
      </c>
      <c r="R265" s="16" t="s">
        <v>306</v>
      </c>
      <c r="S265" s="4" t="s">
        <v>307</v>
      </c>
      <c r="T265" s="24" t="n">
        <v>302</v>
      </c>
      <c r="U265" s="18" t="n">
        <v>5.3</v>
      </c>
      <c r="V265" s="24" t="n">
        <v>0.31</v>
      </c>
      <c r="W265" s="2" t="n">
        <v>0.3</v>
      </c>
      <c r="Z265" s="18"/>
      <c r="AA265" s="20"/>
      <c r="AB265" s="20"/>
      <c r="AC265" s="19" t="e">
        <f aca="false">(AB265-AA265)/AB265</f>
        <v>#DIV/0!</v>
      </c>
    </row>
    <row r="266" customFormat="false" ht="14.25" hidden="false" customHeight="true" outlineLevel="0" collapsed="false">
      <c r="A266" s="18" t="s">
        <v>302</v>
      </c>
      <c r="B266" s="18" t="s">
        <v>302</v>
      </c>
      <c r="C266" s="18" t="s">
        <v>40</v>
      </c>
      <c r="E266" s="2" t="n">
        <f aca="false">INDEX(FieldSites!F:F, MATCH(Ch2_FieldSurvey!B266,FieldSites!C:C,0))</f>
        <v>1209</v>
      </c>
      <c r="F266" s="2" t="n">
        <f aca="false">INDEX(FieldSites!G:G, MATCH(Ch2_FieldSurvey!B266,FieldSites!C:C,0))</f>
        <v>-119.393233</v>
      </c>
      <c r="G266" s="2" t="n">
        <f aca="false">INDEX(FieldSites!H:H, MATCH(Ch2_FieldSurvey!B266,FieldSites!C:C,0))</f>
        <v>37.053544</v>
      </c>
      <c r="H266" s="18" t="n">
        <v>1</v>
      </c>
      <c r="I266" s="21" t="str">
        <f aca="false">CONCATENATE(B266,"_",C266,H266)</f>
        <v>BHEB_M. guttatus1</v>
      </c>
      <c r="J266" s="22" t="n">
        <v>44673</v>
      </c>
      <c r="K266" s="23" t="n">
        <v>0.451388888888889</v>
      </c>
      <c r="L266" s="22" t="n">
        <v>44674</v>
      </c>
      <c r="M266" s="23" t="n">
        <v>0.529861111111111</v>
      </c>
      <c r="O266" s="1" t="s">
        <v>303</v>
      </c>
      <c r="P266" s="16" t="s">
        <v>304</v>
      </c>
      <c r="Q266" s="16" t="s">
        <v>305</v>
      </c>
      <c r="R266" s="16" t="s">
        <v>306</v>
      </c>
      <c r="S266" s="4" t="s">
        <v>307</v>
      </c>
      <c r="T266" s="24" t="n">
        <v>335</v>
      </c>
      <c r="U266" s="18" t="n">
        <v>5.5</v>
      </c>
      <c r="V266" s="24" t="n">
        <v>0.32</v>
      </c>
      <c r="W266" s="2" t="n">
        <v>0.2</v>
      </c>
      <c r="Z266" s="18"/>
      <c r="AA266" s="20"/>
      <c r="AB266" s="20"/>
      <c r="AC266" s="19" t="e">
        <f aca="false">(AB266-AA266)/AB266</f>
        <v>#DIV/0!</v>
      </c>
    </row>
    <row r="267" customFormat="false" ht="14.25" hidden="false" customHeight="true" outlineLevel="0" collapsed="false">
      <c r="A267" s="18" t="s">
        <v>302</v>
      </c>
      <c r="B267" s="18" t="s">
        <v>302</v>
      </c>
      <c r="C267" s="18" t="s">
        <v>40</v>
      </c>
      <c r="E267" s="2" t="n">
        <f aca="false">INDEX(FieldSites!F:F, MATCH(Ch2_FieldSurvey!B267,FieldSites!C:C,0))</f>
        <v>1209</v>
      </c>
      <c r="F267" s="2" t="n">
        <f aca="false">INDEX(FieldSites!G:G, MATCH(Ch2_FieldSurvey!B267,FieldSites!C:C,0))</f>
        <v>-119.393233</v>
      </c>
      <c r="G267" s="2" t="n">
        <f aca="false">INDEX(FieldSites!H:H, MATCH(Ch2_FieldSurvey!B267,FieldSites!C:C,0))</f>
        <v>37.053544</v>
      </c>
      <c r="H267" s="18" t="n">
        <v>2</v>
      </c>
      <c r="I267" s="21" t="str">
        <f aca="false">CONCATENATE(B267,"_",C267,H267)</f>
        <v>BHEB_M. guttatus2</v>
      </c>
      <c r="J267" s="22" t="n">
        <v>44673</v>
      </c>
      <c r="K267" s="23" t="n">
        <v>0.451388888888889</v>
      </c>
      <c r="L267" s="22" t="n">
        <v>44674</v>
      </c>
      <c r="M267" s="23" t="n">
        <v>0.534027777777778</v>
      </c>
      <c r="O267" s="1" t="s">
        <v>308</v>
      </c>
      <c r="P267" s="16" t="s">
        <v>304</v>
      </c>
      <c r="Q267" s="16" t="s">
        <v>305</v>
      </c>
      <c r="R267" s="16" t="s">
        <v>306</v>
      </c>
      <c r="S267" s="4" t="s">
        <v>309</v>
      </c>
      <c r="T267" s="24" t="n">
        <v>275</v>
      </c>
      <c r="U267" s="18" t="n">
        <v>3.2</v>
      </c>
      <c r="V267" s="24" t="n">
        <v>0.3</v>
      </c>
      <c r="W267" s="2" t="n">
        <v>0.2</v>
      </c>
      <c r="Z267" s="18"/>
      <c r="AA267" s="20" t="n">
        <v>1190763</v>
      </c>
      <c r="AB267" s="20" t="n">
        <v>1266398</v>
      </c>
      <c r="AC267" s="19" t="n">
        <f aca="false">(AB267-AA267)/AB267</f>
        <v>0.0597245099881712</v>
      </c>
    </row>
    <row r="268" customFormat="false" ht="14.25" hidden="false" customHeight="true" outlineLevel="0" collapsed="false">
      <c r="A268" s="18" t="s">
        <v>302</v>
      </c>
      <c r="B268" s="18" t="s">
        <v>302</v>
      </c>
      <c r="C268" s="18" t="s">
        <v>40</v>
      </c>
      <c r="E268" s="2" t="n">
        <f aca="false">INDEX(FieldSites!F:F, MATCH(Ch2_FieldSurvey!B268,FieldSites!C:C,0))</f>
        <v>1209</v>
      </c>
      <c r="F268" s="2" t="n">
        <f aca="false">INDEX(FieldSites!G:G, MATCH(Ch2_FieldSurvey!B268,FieldSites!C:C,0))</f>
        <v>-119.393233</v>
      </c>
      <c r="G268" s="2" t="n">
        <f aca="false">INDEX(FieldSites!H:H, MATCH(Ch2_FieldSurvey!B268,FieldSites!C:C,0))</f>
        <v>37.053544</v>
      </c>
      <c r="H268" s="18" t="n">
        <v>2</v>
      </c>
      <c r="I268" s="21" t="str">
        <f aca="false">CONCATENATE(B268,"_",C268,H268)</f>
        <v>BHEB_M. guttatus2</v>
      </c>
      <c r="J268" s="22" t="n">
        <v>44673</v>
      </c>
      <c r="K268" s="23" t="n">
        <v>0.451388888888889</v>
      </c>
      <c r="L268" s="22" t="n">
        <v>44674</v>
      </c>
      <c r="M268" s="23" t="n">
        <v>0.534027777777778</v>
      </c>
      <c r="O268" s="1" t="s">
        <v>308</v>
      </c>
      <c r="P268" s="16" t="s">
        <v>304</v>
      </c>
      <c r="Q268" s="16" t="s">
        <v>305</v>
      </c>
      <c r="R268" s="16" t="s">
        <v>306</v>
      </c>
      <c r="S268" s="4" t="s">
        <v>309</v>
      </c>
      <c r="T268" s="24" t="n">
        <v>256</v>
      </c>
      <c r="U268" s="18" t="n">
        <v>2.9</v>
      </c>
      <c r="V268" s="24" t="n">
        <v>0.19</v>
      </c>
      <c r="W268" s="2" t="n">
        <v>0.1</v>
      </c>
      <c r="Z268" s="18"/>
      <c r="AA268" s="20"/>
      <c r="AB268" s="20"/>
      <c r="AC268" s="19" t="e">
        <f aca="false">(AB268-AA268)/AB268</f>
        <v>#DIV/0!</v>
      </c>
    </row>
    <row r="269" customFormat="false" ht="14.25" hidden="false" customHeight="true" outlineLevel="0" collapsed="false">
      <c r="A269" s="18" t="s">
        <v>302</v>
      </c>
      <c r="B269" s="18" t="s">
        <v>302</v>
      </c>
      <c r="C269" s="18" t="s">
        <v>40</v>
      </c>
      <c r="E269" s="2" t="n">
        <f aca="false">INDEX(FieldSites!F:F, MATCH(Ch2_FieldSurvey!B269,FieldSites!C:C,0))</f>
        <v>1209</v>
      </c>
      <c r="F269" s="2" t="n">
        <f aca="false">INDEX(FieldSites!G:G, MATCH(Ch2_FieldSurvey!B269,FieldSites!C:C,0))</f>
        <v>-119.393233</v>
      </c>
      <c r="G269" s="2" t="n">
        <f aca="false">INDEX(FieldSites!H:H, MATCH(Ch2_FieldSurvey!B269,FieldSites!C:C,0))</f>
        <v>37.053544</v>
      </c>
      <c r="H269" s="18" t="n">
        <v>2</v>
      </c>
      <c r="I269" s="21" t="str">
        <f aca="false">CONCATENATE(B269,"_",C269,H269)</f>
        <v>BHEB_M. guttatus2</v>
      </c>
      <c r="J269" s="22" t="n">
        <v>44673</v>
      </c>
      <c r="K269" s="23" t="n">
        <v>0.451388888888889</v>
      </c>
      <c r="L269" s="22" t="n">
        <v>44674</v>
      </c>
      <c r="M269" s="23" t="n">
        <v>0.534027777777778</v>
      </c>
      <c r="O269" s="1" t="s">
        <v>308</v>
      </c>
      <c r="P269" s="16" t="s">
        <v>304</v>
      </c>
      <c r="Q269" s="16" t="s">
        <v>305</v>
      </c>
      <c r="R269" s="16" t="s">
        <v>306</v>
      </c>
      <c r="S269" s="4" t="s">
        <v>309</v>
      </c>
      <c r="T269" s="24" t="n">
        <v>375</v>
      </c>
      <c r="U269" s="18" t="n">
        <v>2.8</v>
      </c>
      <c r="V269" s="24" t="n">
        <v>0.21</v>
      </c>
      <c r="W269" s="2" t="n">
        <v>0.3</v>
      </c>
      <c r="Z269" s="18"/>
      <c r="AA269" s="20"/>
      <c r="AB269" s="20"/>
      <c r="AC269" s="19" t="e">
        <f aca="false">(AB269-AA269)/AB269</f>
        <v>#DIV/0!</v>
      </c>
    </row>
    <row r="270" customFormat="false" ht="14.25" hidden="false" customHeight="true" outlineLevel="0" collapsed="false">
      <c r="A270" s="18" t="s">
        <v>302</v>
      </c>
      <c r="B270" s="18" t="s">
        <v>302</v>
      </c>
      <c r="C270" s="18" t="s">
        <v>40</v>
      </c>
      <c r="E270" s="2" t="n">
        <f aca="false">INDEX(FieldSites!F:F, MATCH(Ch2_FieldSurvey!B270,FieldSites!C:C,0))</f>
        <v>1209</v>
      </c>
      <c r="F270" s="2" t="n">
        <f aca="false">INDEX(FieldSites!G:G, MATCH(Ch2_FieldSurvey!B270,FieldSites!C:C,0))</f>
        <v>-119.393233</v>
      </c>
      <c r="G270" s="2" t="n">
        <f aca="false">INDEX(FieldSites!H:H, MATCH(Ch2_FieldSurvey!B270,FieldSites!C:C,0))</f>
        <v>37.053544</v>
      </c>
      <c r="H270" s="18" t="n">
        <v>3</v>
      </c>
      <c r="I270" s="21" t="str">
        <f aca="false">CONCATENATE(B270,"_",C270,H270)</f>
        <v>BHEB_M. guttatus3</v>
      </c>
      <c r="J270" s="22" t="n">
        <v>44673</v>
      </c>
      <c r="K270" s="23" t="n">
        <v>0.451388888888889</v>
      </c>
      <c r="L270" s="22" t="n">
        <v>44674</v>
      </c>
      <c r="M270" s="23" t="n">
        <v>0.538888888888889</v>
      </c>
      <c r="O270" s="1" t="s">
        <v>310</v>
      </c>
      <c r="P270" s="16" t="s">
        <v>304</v>
      </c>
      <c r="Q270" s="16" t="s">
        <v>305</v>
      </c>
      <c r="R270" s="16" t="s">
        <v>306</v>
      </c>
      <c r="S270" s="4" t="s">
        <v>311</v>
      </c>
      <c r="T270" s="24" t="n">
        <v>370</v>
      </c>
      <c r="U270" s="18" t="n">
        <v>4.4</v>
      </c>
      <c r="V270" s="24" t="n">
        <v>0.3</v>
      </c>
      <c r="W270" s="2" t="n">
        <v>0.2</v>
      </c>
      <c r="Z270" s="18"/>
      <c r="AA270" s="20" t="n">
        <v>881947</v>
      </c>
      <c r="AB270" s="20" t="n">
        <v>1027989</v>
      </c>
      <c r="AC270" s="19" t="n">
        <f aca="false">(AB270-AA270)/AB270</f>
        <v>0.14206572249314</v>
      </c>
    </row>
    <row r="271" customFormat="false" ht="14.25" hidden="false" customHeight="true" outlineLevel="0" collapsed="false">
      <c r="A271" s="18" t="s">
        <v>302</v>
      </c>
      <c r="B271" s="18" t="s">
        <v>302</v>
      </c>
      <c r="C271" s="18" t="s">
        <v>40</v>
      </c>
      <c r="E271" s="2" t="n">
        <f aca="false">INDEX(FieldSites!F:F, MATCH(Ch2_FieldSurvey!B271,FieldSites!C:C,0))</f>
        <v>1209</v>
      </c>
      <c r="F271" s="2" t="n">
        <f aca="false">INDEX(FieldSites!G:G, MATCH(Ch2_FieldSurvey!B271,FieldSites!C:C,0))</f>
        <v>-119.393233</v>
      </c>
      <c r="G271" s="2" t="n">
        <f aca="false">INDEX(FieldSites!H:H, MATCH(Ch2_FieldSurvey!B271,FieldSites!C:C,0))</f>
        <v>37.053544</v>
      </c>
      <c r="H271" s="18" t="n">
        <v>3</v>
      </c>
      <c r="I271" s="21" t="str">
        <f aca="false">CONCATENATE(B271,"_",C271,H271)</f>
        <v>BHEB_M. guttatus3</v>
      </c>
      <c r="J271" s="22" t="n">
        <v>44673</v>
      </c>
      <c r="K271" s="23" t="n">
        <v>0.451388888888889</v>
      </c>
      <c r="L271" s="22" t="n">
        <v>44674</v>
      </c>
      <c r="M271" s="23" t="n">
        <v>0.538888888888889</v>
      </c>
      <c r="O271" s="1" t="s">
        <v>310</v>
      </c>
      <c r="P271" s="16" t="s">
        <v>304</v>
      </c>
      <c r="Q271" s="16" t="s">
        <v>305</v>
      </c>
      <c r="R271" s="16" t="s">
        <v>306</v>
      </c>
      <c r="S271" s="4" t="s">
        <v>311</v>
      </c>
      <c r="T271" s="24" t="n">
        <v>500</v>
      </c>
      <c r="U271" s="18" t="n">
        <v>4.8</v>
      </c>
      <c r="V271" s="24" t="n">
        <v>0.37</v>
      </c>
      <c r="W271" s="2" t="n">
        <v>0.3</v>
      </c>
      <c r="Z271" s="18"/>
      <c r="AA271" s="20"/>
      <c r="AB271" s="20"/>
      <c r="AC271" s="19" t="e">
        <f aca="false">(AB271-AA271)/AB271</f>
        <v>#DIV/0!</v>
      </c>
    </row>
    <row r="272" customFormat="false" ht="14.25" hidden="false" customHeight="true" outlineLevel="0" collapsed="false">
      <c r="A272" s="18" t="s">
        <v>302</v>
      </c>
      <c r="B272" s="18" t="s">
        <v>302</v>
      </c>
      <c r="C272" s="18" t="s">
        <v>40</v>
      </c>
      <c r="E272" s="2" t="n">
        <f aca="false">INDEX(FieldSites!F:F, MATCH(Ch2_FieldSurvey!B272,FieldSites!C:C,0))</f>
        <v>1209</v>
      </c>
      <c r="F272" s="2" t="n">
        <f aca="false">INDEX(FieldSites!G:G, MATCH(Ch2_FieldSurvey!B272,FieldSites!C:C,0))</f>
        <v>-119.393233</v>
      </c>
      <c r="G272" s="2" t="n">
        <f aca="false">INDEX(FieldSites!H:H, MATCH(Ch2_FieldSurvey!B272,FieldSites!C:C,0))</f>
        <v>37.053544</v>
      </c>
      <c r="H272" s="18" t="n">
        <v>3</v>
      </c>
      <c r="I272" s="21" t="str">
        <f aca="false">CONCATENATE(B272,"_",C272,H272)</f>
        <v>BHEB_M. guttatus3</v>
      </c>
      <c r="J272" s="22" t="n">
        <v>44673</v>
      </c>
      <c r="K272" s="23" t="n">
        <v>0.451388888888889</v>
      </c>
      <c r="L272" s="22" t="n">
        <v>44674</v>
      </c>
      <c r="M272" s="23" t="n">
        <v>0.538888888888889</v>
      </c>
      <c r="O272" s="1" t="s">
        <v>310</v>
      </c>
      <c r="P272" s="16" t="s">
        <v>304</v>
      </c>
      <c r="Q272" s="16" t="s">
        <v>305</v>
      </c>
      <c r="R272" s="16" t="s">
        <v>306</v>
      </c>
      <c r="S272" s="4" t="s">
        <v>311</v>
      </c>
      <c r="T272" s="24" t="n">
        <v>455</v>
      </c>
      <c r="U272" s="18" t="n">
        <v>4.4</v>
      </c>
      <c r="V272" s="24" t="n">
        <v>0.37</v>
      </c>
      <c r="W272" s="2" t="n">
        <v>0.1</v>
      </c>
      <c r="Z272" s="18"/>
      <c r="AA272" s="20"/>
      <c r="AB272" s="20"/>
      <c r="AC272" s="19" t="e">
        <f aca="false">(AB272-AA272)/AB272</f>
        <v>#DIV/0!</v>
      </c>
    </row>
    <row r="273" customFormat="false" ht="14.25" hidden="false" customHeight="true" outlineLevel="0" collapsed="false">
      <c r="A273" s="18" t="s">
        <v>302</v>
      </c>
      <c r="B273" s="18" t="s">
        <v>302</v>
      </c>
      <c r="C273" s="18" t="s">
        <v>40</v>
      </c>
      <c r="E273" s="2" t="n">
        <f aca="false">INDEX(FieldSites!F:F, MATCH(Ch2_FieldSurvey!B273,FieldSites!C:C,0))</f>
        <v>1209</v>
      </c>
      <c r="F273" s="2" t="n">
        <f aca="false">INDEX(FieldSites!G:G, MATCH(Ch2_FieldSurvey!B273,FieldSites!C:C,0))</f>
        <v>-119.393233</v>
      </c>
      <c r="G273" s="2" t="n">
        <f aca="false">INDEX(FieldSites!H:H, MATCH(Ch2_FieldSurvey!B273,FieldSites!C:C,0))</f>
        <v>37.053544</v>
      </c>
      <c r="H273" s="18" t="n">
        <v>4</v>
      </c>
      <c r="I273" s="21" t="str">
        <f aca="false">CONCATENATE(B273,"_",C273,H273)</f>
        <v>BHEB_M. guttatus4</v>
      </c>
      <c r="J273" s="22" t="n">
        <v>44673</v>
      </c>
      <c r="K273" s="23" t="n">
        <v>0.451388888888889</v>
      </c>
      <c r="L273" s="22" t="n">
        <v>44674</v>
      </c>
      <c r="M273" s="23" t="n">
        <v>0.542361111111111</v>
      </c>
      <c r="O273" s="1" t="s">
        <v>312</v>
      </c>
      <c r="P273" s="16" t="s">
        <v>304</v>
      </c>
      <c r="Q273" s="16" t="s">
        <v>305</v>
      </c>
      <c r="R273" s="16" t="s">
        <v>306</v>
      </c>
      <c r="S273" s="4" t="s">
        <v>313</v>
      </c>
      <c r="T273" s="24" t="n">
        <v>375</v>
      </c>
      <c r="U273" s="18" t="n">
        <v>2.8</v>
      </c>
      <c r="V273" s="24" t="n">
        <v>0.14</v>
      </c>
      <c r="W273" s="2" t="n">
        <v>0.1</v>
      </c>
      <c r="Z273" s="18"/>
      <c r="AA273" s="20" t="n">
        <v>750150</v>
      </c>
      <c r="AB273" s="20" t="n">
        <v>800454</v>
      </c>
      <c r="AC273" s="19" t="n">
        <f aca="false">(AB273-AA273)/AB273</f>
        <v>0.0628443358394111</v>
      </c>
    </row>
    <row r="274" customFormat="false" ht="14.25" hidden="false" customHeight="true" outlineLevel="0" collapsed="false">
      <c r="A274" s="18" t="s">
        <v>302</v>
      </c>
      <c r="B274" s="18" t="s">
        <v>302</v>
      </c>
      <c r="C274" s="18" t="s">
        <v>40</v>
      </c>
      <c r="E274" s="2" t="n">
        <f aca="false">INDEX(FieldSites!F:F, MATCH(Ch2_FieldSurvey!B274,FieldSites!C:C,0))</f>
        <v>1209</v>
      </c>
      <c r="F274" s="2" t="n">
        <f aca="false">INDEX(FieldSites!G:G, MATCH(Ch2_FieldSurvey!B274,FieldSites!C:C,0))</f>
        <v>-119.393233</v>
      </c>
      <c r="G274" s="2" t="n">
        <f aca="false">INDEX(FieldSites!H:H, MATCH(Ch2_FieldSurvey!B274,FieldSites!C:C,0))</f>
        <v>37.053544</v>
      </c>
      <c r="H274" s="18" t="n">
        <v>4</v>
      </c>
      <c r="I274" s="21" t="str">
        <f aca="false">CONCATENATE(B274,"_",C274,H274)</f>
        <v>BHEB_M. guttatus4</v>
      </c>
      <c r="J274" s="22" t="n">
        <v>44673</v>
      </c>
      <c r="K274" s="23" t="n">
        <v>0.451388888888889</v>
      </c>
      <c r="L274" s="22" t="n">
        <v>44674</v>
      </c>
      <c r="M274" s="23" t="n">
        <v>0.542361111111111</v>
      </c>
      <c r="O274" s="1" t="s">
        <v>312</v>
      </c>
      <c r="P274" s="16" t="s">
        <v>304</v>
      </c>
      <c r="Q274" s="16" t="s">
        <v>305</v>
      </c>
      <c r="R274" s="16" t="s">
        <v>306</v>
      </c>
      <c r="S274" s="4" t="s">
        <v>313</v>
      </c>
      <c r="T274" s="24" t="n">
        <v>415</v>
      </c>
      <c r="U274" s="18" t="n">
        <v>2.4</v>
      </c>
      <c r="V274" s="24" t="n">
        <v>0.17</v>
      </c>
      <c r="W274" s="2" t="n">
        <v>0.2</v>
      </c>
      <c r="Z274" s="18"/>
      <c r="AA274" s="20"/>
      <c r="AB274" s="20"/>
      <c r="AC274" s="19" t="e">
        <f aca="false">(AB274-AA274)/AB274</f>
        <v>#DIV/0!</v>
      </c>
    </row>
    <row r="275" customFormat="false" ht="14.25" hidden="false" customHeight="true" outlineLevel="0" collapsed="false">
      <c r="A275" s="18" t="s">
        <v>302</v>
      </c>
      <c r="B275" s="18" t="s">
        <v>302</v>
      </c>
      <c r="C275" s="18" t="s">
        <v>40</v>
      </c>
      <c r="E275" s="2" t="n">
        <f aca="false">INDEX(FieldSites!F:F, MATCH(Ch2_FieldSurvey!B275,FieldSites!C:C,0))</f>
        <v>1209</v>
      </c>
      <c r="F275" s="2" t="n">
        <f aca="false">INDEX(FieldSites!G:G, MATCH(Ch2_FieldSurvey!B275,FieldSites!C:C,0))</f>
        <v>-119.393233</v>
      </c>
      <c r="G275" s="2" t="n">
        <f aca="false">INDEX(FieldSites!H:H, MATCH(Ch2_FieldSurvey!B275,FieldSites!C:C,0))</f>
        <v>37.053544</v>
      </c>
      <c r="H275" s="18" t="n">
        <v>4</v>
      </c>
      <c r="I275" s="21" t="str">
        <f aca="false">CONCATENATE(B275,"_",C275,H275)</f>
        <v>BHEB_M. guttatus4</v>
      </c>
      <c r="J275" s="22" t="n">
        <v>44673</v>
      </c>
      <c r="K275" s="23" t="n">
        <v>0.451388888888889</v>
      </c>
      <c r="L275" s="22" t="n">
        <v>44674</v>
      </c>
      <c r="M275" s="23" t="n">
        <v>0.542361111111111</v>
      </c>
      <c r="O275" s="1" t="s">
        <v>312</v>
      </c>
      <c r="P275" s="16" t="s">
        <v>304</v>
      </c>
      <c r="Q275" s="16" t="s">
        <v>305</v>
      </c>
      <c r="R275" s="16" t="s">
        <v>306</v>
      </c>
      <c r="S275" s="4" t="s">
        <v>313</v>
      </c>
      <c r="T275" s="24" t="n">
        <v>455</v>
      </c>
      <c r="U275" s="18" t="n">
        <v>2.9</v>
      </c>
      <c r="V275" s="24" t="n">
        <v>0.19</v>
      </c>
      <c r="W275" s="2" t="n">
        <v>0.1</v>
      </c>
      <c r="Z275" s="18"/>
      <c r="AA275" s="20"/>
      <c r="AB275" s="20"/>
      <c r="AC275" s="19" t="e">
        <f aca="false">(AB275-AA275)/AB275</f>
        <v>#DIV/0!</v>
      </c>
    </row>
    <row r="276" customFormat="false" ht="14.25" hidden="false" customHeight="true" outlineLevel="0" collapsed="false">
      <c r="A276" s="18" t="s">
        <v>302</v>
      </c>
      <c r="B276" s="18" t="s">
        <v>302</v>
      </c>
      <c r="C276" s="18" t="s">
        <v>40</v>
      </c>
      <c r="E276" s="2" t="n">
        <f aca="false">INDEX(FieldSites!F:F, MATCH(Ch2_FieldSurvey!B276,FieldSites!C:C,0))</f>
        <v>1209</v>
      </c>
      <c r="F276" s="2" t="n">
        <f aca="false">INDEX(FieldSites!G:G, MATCH(Ch2_FieldSurvey!B276,FieldSites!C:C,0))</f>
        <v>-119.393233</v>
      </c>
      <c r="G276" s="2" t="n">
        <f aca="false">INDEX(FieldSites!H:H, MATCH(Ch2_FieldSurvey!B276,FieldSites!C:C,0))</f>
        <v>37.053544</v>
      </c>
      <c r="H276" s="18" t="n">
        <v>5</v>
      </c>
      <c r="I276" s="21" t="str">
        <f aca="false">CONCATENATE(B276,"_",C276,H276)</f>
        <v>BHEB_M. guttatus5</v>
      </c>
      <c r="J276" s="22" t="n">
        <v>44673</v>
      </c>
      <c r="K276" s="23" t="n">
        <v>0.451388888888889</v>
      </c>
      <c r="L276" s="22" t="n">
        <v>44674</v>
      </c>
      <c r="M276" s="23" t="n">
        <v>0.545833333333333</v>
      </c>
      <c r="O276" s="1" t="s">
        <v>314</v>
      </c>
      <c r="P276" s="16" t="s">
        <v>304</v>
      </c>
      <c r="Q276" s="16" t="s">
        <v>305</v>
      </c>
      <c r="R276" s="16" t="s">
        <v>306</v>
      </c>
      <c r="S276" s="4" t="s">
        <v>315</v>
      </c>
      <c r="T276" s="24" t="n">
        <v>485</v>
      </c>
      <c r="U276" s="18" t="n">
        <v>4.9</v>
      </c>
      <c r="V276" s="24" t="n">
        <v>0.25</v>
      </c>
      <c r="W276" s="2" t="n">
        <v>0.4</v>
      </c>
      <c r="Z276" s="18"/>
      <c r="AA276" s="20" t="n">
        <v>1517303</v>
      </c>
      <c r="AB276" s="20" t="n">
        <v>1709165</v>
      </c>
      <c r="AC276" s="19" t="n">
        <f aca="false">(AB276-AA276)/AB276</f>
        <v>0.112254814485436</v>
      </c>
    </row>
    <row r="277" customFormat="false" ht="14.25" hidden="false" customHeight="true" outlineLevel="0" collapsed="false">
      <c r="A277" s="18" t="s">
        <v>302</v>
      </c>
      <c r="B277" s="18" t="s">
        <v>302</v>
      </c>
      <c r="C277" s="18" t="s">
        <v>40</v>
      </c>
      <c r="E277" s="2" t="n">
        <f aca="false">INDEX(FieldSites!F:F, MATCH(Ch2_FieldSurvey!B277,FieldSites!C:C,0))</f>
        <v>1209</v>
      </c>
      <c r="F277" s="2" t="n">
        <f aca="false">INDEX(FieldSites!G:G, MATCH(Ch2_FieldSurvey!B277,FieldSites!C:C,0))</f>
        <v>-119.393233</v>
      </c>
      <c r="G277" s="2" t="n">
        <f aca="false">INDEX(FieldSites!H:H, MATCH(Ch2_FieldSurvey!B277,FieldSites!C:C,0))</f>
        <v>37.053544</v>
      </c>
      <c r="H277" s="18" t="n">
        <v>5</v>
      </c>
      <c r="I277" s="21" t="str">
        <f aca="false">CONCATENATE(B277,"_",C277,H277)</f>
        <v>BHEB_M. guttatus5</v>
      </c>
      <c r="J277" s="22" t="n">
        <v>44673</v>
      </c>
      <c r="K277" s="23" t="n">
        <v>0.451388888888889</v>
      </c>
      <c r="L277" s="22" t="n">
        <v>44674</v>
      </c>
      <c r="M277" s="23" t="n">
        <v>0.545833333333333</v>
      </c>
      <c r="O277" s="1" t="s">
        <v>314</v>
      </c>
      <c r="P277" s="16" t="s">
        <v>304</v>
      </c>
      <c r="Q277" s="16" t="s">
        <v>305</v>
      </c>
      <c r="R277" s="16" t="s">
        <v>306</v>
      </c>
      <c r="S277" s="4" t="s">
        <v>315</v>
      </c>
      <c r="T277" s="24" t="n">
        <v>510</v>
      </c>
      <c r="U277" s="18" t="n">
        <v>4.9</v>
      </c>
      <c r="V277" s="24" t="n">
        <v>0.41</v>
      </c>
      <c r="W277" s="2" t="n">
        <v>0.4</v>
      </c>
      <c r="Z277" s="18"/>
      <c r="AA277" s="20"/>
      <c r="AB277" s="20"/>
      <c r="AC277" s="19" t="e">
        <f aca="false">(AB277-AA277)/AB277</f>
        <v>#DIV/0!</v>
      </c>
    </row>
    <row r="278" customFormat="false" ht="14.25" hidden="false" customHeight="true" outlineLevel="0" collapsed="false">
      <c r="A278" s="18" t="s">
        <v>302</v>
      </c>
      <c r="B278" s="18" t="s">
        <v>302</v>
      </c>
      <c r="C278" s="18" t="s">
        <v>40</v>
      </c>
      <c r="E278" s="2" t="n">
        <f aca="false">INDEX(FieldSites!F:F, MATCH(Ch2_FieldSurvey!B278,FieldSites!C:C,0))</f>
        <v>1209</v>
      </c>
      <c r="F278" s="2" t="n">
        <f aca="false">INDEX(FieldSites!G:G, MATCH(Ch2_FieldSurvey!B278,FieldSites!C:C,0))</f>
        <v>-119.393233</v>
      </c>
      <c r="G278" s="2" t="n">
        <f aca="false">INDEX(FieldSites!H:H, MATCH(Ch2_FieldSurvey!B278,FieldSites!C:C,0))</f>
        <v>37.053544</v>
      </c>
      <c r="H278" s="18" t="n">
        <v>5</v>
      </c>
      <c r="I278" s="21" t="str">
        <f aca="false">CONCATENATE(B278,"_",C278,H278)</f>
        <v>BHEB_M. guttatus5</v>
      </c>
      <c r="J278" s="22" t="n">
        <v>44673</v>
      </c>
      <c r="K278" s="23" t="n">
        <v>0.451388888888889</v>
      </c>
      <c r="L278" s="22" t="n">
        <v>44674</v>
      </c>
      <c r="M278" s="23" t="n">
        <v>0.545833333333333</v>
      </c>
      <c r="O278" s="1" t="s">
        <v>314</v>
      </c>
      <c r="P278" s="16" t="s">
        <v>304</v>
      </c>
      <c r="Q278" s="16" t="s">
        <v>305</v>
      </c>
      <c r="R278" s="16" t="s">
        <v>306</v>
      </c>
      <c r="S278" s="4" t="s">
        <v>315</v>
      </c>
      <c r="T278" s="24" t="n">
        <v>454</v>
      </c>
      <c r="U278" s="18" t="n">
        <v>4.3</v>
      </c>
      <c r="V278" s="24" t="n">
        <v>0.29</v>
      </c>
      <c r="W278" s="2" t="n">
        <v>0.4</v>
      </c>
      <c r="Z278" s="18"/>
      <c r="AA278" s="20"/>
      <c r="AB278" s="20"/>
      <c r="AC278" s="19" t="e">
        <f aca="false">(AB278-AA278)/AB278</f>
        <v>#DIV/0!</v>
      </c>
    </row>
    <row r="279" customFormat="false" ht="14.25" hidden="false" customHeight="true" outlineLevel="0" collapsed="false">
      <c r="A279" s="18" t="s">
        <v>302</v>
      </c>
      <c r="B279" s="18" t="s">
        <v>302</v>
      </c>
      <c r="C279" s="18" t="s">
        <v>40</v>
      </c>
      <c r="E279" s="2" t="n">
        <f aca="false">INDEX(FieldSites!F:F, MATCH(Ch2_FieldSurvey!B279,FieldSites!C:C,0))</f>
        <v>1209</v>
      </c>
      <c r="F279" s="2" t="n">
        <f aca="false">INDEX(FieldSites!G:G, MATCH(Ch2_FieldSurvey!B279,FieldSites!C:C,0))</f>
        <v>-119.393233</v>
      </c>
      <c r="G279" s="2" t="n">
        <f aca="false">INDEX(FieldSites!H:H, MATCH(Ch2_FieldSurvey!B279,FieldSites!C:C,0))</f>
        <v>37.053544</v>
      </c>
      <c r="H279" s="18" t="n">
        <v>6</v>
      </c>
      <c r="I279" s="21" t="str">
        <f aca="false">CONCATENATE(B279,"_",C279,H279)</f>
        <v>BHEB_M. guttatus6</v>
      </c>
      <c r="J279" s="22" t="n">
        <v>44673</v>
      </c>
      <c r="K279" s="23" t="n">
        <v>0.451388888888889</v>
      </c>
      <c r="L279" s="22" t="n">
        <v>44674</v>
      </c>
      <c r="M279" s="23" t="n">
        <v>0.551388888888889</v>
      </c>
      <c r="O279" s="1" t="s">
        <v>316</v>
      </c>
      <c r="P279" s="16" t="s">
        <v>304</v>
      </c>
      <c r="Q279" s="16" t="s">
        <v>305</v>
      </c>
      <c r="R279" s="16" t="s">
        <v>306</v>
      </c>
      <c r="S279" s="4" t="s">
        <v>317</v>
      </c>
      <c r="T279" s="24" t="n">
        <v>710</v>
      </c>
      <c r="U279" s="18" t="n">
        <v>4.3</v>
      </c>
      <c r="V279" s="24" t="n">
        <v>0.33</v>
      </c>
      <c r="W279" s="2" t="n">
        <v>0.2</v>
      </c>
      <c r="Z279" s="18"/>
      <c r="AA279" s="20" t="n">
        <v>1137771</v>
      </c>
      <c r="AB279" s="20" t="n">
        <v>1353280</v>
      </c>
      <c r="AC279" s="19" t="n">
        <f aca="false">(AB279-AA279)/AB279</f>
        <v>0.159249379285883</v>
      </c>
    </row>
    <row r="280" customFormat="false" ht="14.25" hidden="false" customHeight="true" outlineLevel="0" collapsed="false">
      <c r="A280" s="18" t="s">
        <v>302</v>
      </c>
      <c r="B280" s="18" t="s">
        <v>302</v>
      </c>
      <c r="C280" s="18" t="s">
        <v>40</v>
      </c>
      <c r="E280" s="2" t="n">
        <f aca="false">INDEX(FieldSites!F:F, MATCH(Ch2_FieldSurvey!B280,FieldSites!C:C,0))</f>
        <v>1209</v>
      </c>
      <c r="F280" s="2" t="n">
        <f aca="false">INDEX(FieldSites!G:G, MATCH(Ch2_FieldSurvey!B280,FieldSites!C:C,0))</f>
        <v>-119.393233</v>
      </c>
      <c r="G280" s="2" t="n">
        <f aca="false">INDEX(FieldSites!H:H, MATCH(Ch2_FieldSurvey!B280,FieldSites!C:C,0))</f>
        <v>37.053544</v>
      </c>
      <c r="H280" s="18" t="n">
        <v>6</v>
      </c>
      <c r="I280" s="21" t="str">
        <f aca="false">CONCATENATE(B280,"_",C280,H280)</f>
        <v>BHEB_M. guttatus6</v>
      </c>
      <c r="J280" s="22" t="n">
        <v>44673</v>
      </c>
      <c r="K280" s="23" t="n">
        <v>0.451388888888889</v>
      </c>
      <c r="L280" s="22" t="n">
        <v>44674</v>
      </c>
      <c r="M280" s="23" t="n">
        <v>0.551388888888889</v>
      </c>
      <c r="O280" s="1" t="s">
        <v>316</v>
      </c>
      <c r="P280" s="16" t="s">
        <v>304</v>
      </c>
      <c r="Q280" s="16" t="s">
        <v>305</v>
      </c>
      <c r="R280" s="16" t="s">
        <v>306</v>
      </c>
      <c r="S280" s="4" t="s">
        <v>317</v>
      </c>
      <c r="T280" s="24" t="n">
        <v>365</v>
      </c>
      <c r="U280" s="18" t="n">
        <v>5.4</v>
      </c>
      <c r="V280" s="24" t="n">
        <v>0.34</v>
      </c>
      <c r="W280" s="2" t="n">
        <v>0.3</v>
      </c>
      <c r="Z280" s="18"/>
      <c r="AA280" s="20"/>
      <c r="AB280" s="20"/>
      <c r="AC280" s="19" t="e">
        <f aca="false">(AB280-AA280)/AB280</f>
        <v>#DIV/0!</v>
      </c>
    </row>
    <row r="281" customFormat="false" ht="14.25" hidden="false" customHeight="true" outlineLevel="0" collapsed="false">
      <c r="A281" s="18" t="s">
        <v>302</v>
      </c>
      <c r="B281" s="18" t="s">
        <v>302</v>
      </c>
      <c r="C281" s="18" t="s">
        <v>40</v>
      </c>
      <c r="E281" s="2" t="n">
        <f aca="false">INDEX(FieldSites!F:F, MATCH(Ch2_FieldSurvey!B281,FieldSites!C:C,0))</f>
        <v>1209</v>
      </c>
      <c r="F281" s="2" t="n">
        <f aca="false">INDEX(FieldSites!G:G, MATCH(Ch2_FieldSurvey!B281,FieldSites!C:C,0))</f>
        <v>-119.393233</v>
      </c>
      <c r="G281" s="2" t="n">
        <f aca="false">INDEX(FieldSites!H:H, MATCH(Ch2_FieldSurvey!B281,FieldSites!C:C,0))</f>
        <v>37.053544</v>
      </c>
      <c r="H281" s="18" t="n">
        <v>6</v>
      </c>
      <c r="I281" s="21" t="str">
        <f aca="false">CONCATENATE(B281,"_",C281,H281)</f>
        <v>BHEB_M. guttatus6</v>
      </c>
      <c r="J281" s="22" t="n">
        <v>44673</v>
      </c>
      <c r="K281" s="23" t="n">
        <v>0.451388888888889</v>
      </c>
      <c r="L281" s="22" t="n">
        <v>44674</v>
      </c>
      <c r="M281" s="23" t="n">
        <v>0.551388888888889</v>
      </c>
      <c r="O281" s="1" t="s">
        <v>316</v>
      </c>
      <c r="P281" s="16" t="s">
        <v>304</v>
      </c>
      <c r="Q281" s="16" t="s">
        <v>305</v>
      </c>
      <c r="R281" s="16" t="s">
        <v>306</v>
      </c>
      <c r="S281" s="4" t="s">
        <v>317</v>
      </c>
      <c r="T281" s="24" t="n">
        <v>415</v>
      </c>
      <c r="U281" s="18" t="n">
        <v>5.5</v>
      </c>
      <c r="V281" s="24" t="n">
        <v>0.33</v>
      </c>
      <c r="W281" s="2" t="n">
        <v>0.2</v>
      </c>
      <c r="Z281" s="18"/>
      <c r="AA281" s="20"/>
      <c r="AB281" s="20"/>
      <c r="AC281" s="19" t="e">
        <f aca="false">(AB281-AA281)/AB281</f>
        <v>#DIV/0!</v>
      </c>
    </row>
    <row r="282" customFormat="false" ht="14.25" hidden="false" customHeight="true" outlineLevel="0" collapsed="false">
      <c r="A282" s="18" t="s">
        <v>302</v>
      </c>
      <c r="B282" s="18" t="s">
        <v>302</v>
      </c>
      <c r="C282" s="18" t="s">
        <v>40</v>
      </c>
      <c r="E282" s="2" t="n">
        <f aca="false">INDEX(FieldSites!F:F, MATCH(Ch2_FieldSurvey!B282,FieldSites!C:C,0))</f>
        <v>1209</v>
      </c>
      <c r="F282" s="2" t="n">
        <f aca="false">INDEX(FieldSites!G:G, MATCH(Ch2_FieldSurvey!B282,FieldSites!C:C,0))</f>
        <v>-119.393233</v>
      </c>
      <c r="G282" s="2" t="n">
        <f aca="false">INDEX(FieldSites!H:H, MATCH(Ch2_FieldSurvey!B282,FieldSites!C:C,0))</f>
        <v>37.053544</v>
      </c>
      <c r="H282" s="18" t="n">
        <v>7</v>
      </c>
      <c r="I282" s="21" t="str">
        <f aca="false">CONCATENATE(B282,"_",C282,H282)</f>
        <v>BHEB_M. guttatus7</v>
      </c>
      <c r="J282" s="22" t="n">
        <v>44673</v>
      </c>
      <c r="K282" s="23" t="n">
        <v>0.451388888888889</v>
      </c>
      <c r="L282" s="22" t="n">
        <v>44674</v>
      </c>
      <c r="M282" s="23" t="n">
        <v>0.555555555555556</v>
      </c>
      <c r="O282" s="1" t="s">
        <v>318</v>
      </c>
      <c r="P282" s="16" t="s">
        <v>304</v>
      </c>
      <c r="Q282" s="16" t="s">
        <v>305</v>
      </c>
      <c r="R282" s="16" t="s">
        <v>306</v>
      </c>
      <c r="S282" s="4" t="s">
        <v>319</v>
      </c>
      <c r="T282" s="24" t="n">
        <v>440</v>
      </c>
      <c r="U282" s="18" t="n">
        <v>3.5</v>
      </c>
      <c r="V282" s="24" t="n">
        <v>0.33</v>
      </c>
      <c r="W282" s="2" t="n">
        <v>0.3</v>
      </c>
      <c r="Z282" s="18"/>
      <c r="AA282" s="20" t="n">
        <v>503275</v>
      </c>
      <c r="AB282" s="20" t="n">
        <v>561053</v>
      </c>
      <c r="AC282" s="19" t="n">
        <f aca="false">(AB282-AA282)/AB282</f>
        <v>0.102981358267401</v>
      </c>
    </row>
    <row r="283" customFormat="false" ht="14.25" hidden="false" customHeight="true" outlineLevel="0" collapsed="false">
      <c r="A283" s="18" t="s">
        <v>302</v>
      </c>
      <c r="B283" s="18" t="s">
        <v>302</v>
      </c>
      <c r="C283" s="18" t="s">
        <v>40</v>
      </c>
      <c r="E283" s="2" t="n">
        <f aca="false">INDEX(FieldSites!F:F, MATCH(Ch2_FieldSurvey!B283,FieldSites!C:C,0))</f>
        <v>1209</v>
      </c>
      <c r="F283" s="2" t="n">
        <f aca="false">INDEX(FieldSites!G:G, MATCH(Ch2_FieldSurvey!B283,FieldSites!C:C,0))</f>
        <v>-119.393233</v>
      </c>
      <c r="G283" s="2" t="n">
        <f aca="false">INDEX(FieldSites!H:H, MATCH(Ch2_FieldSurvey!B283,FieldSites!C:C,0))</f>
        <v>37.053544</v>
      </c>
      <c r="H283" s="18" t="n">
        <v>7</v>
      </c>
      <c r="I283" s="21" t="str">
        <f aca="false">CONCATENATE(B283,"_",C283,H283)</f>
        <v>BHEB_M. guttatus7</v>
      </c>
      <c r="J283" s="22" t="n">
        <v>44673</v>
      </c>
      <c r="K283" s="23" t="n">
        <v>0.451388888888889</v>
      </c>
      <c r="L283" s="22" t="n">
        <v>44674</v>
      </c>
      <c r="M283" s="23" t="n">
        <v>0.555555555555556</v>
      </c>
      <c r="O283" s="1" t="s">
        <v>318</v>
      </c>
      <c r="P283" s="16" t="s">
        <v>304</v>
      </c>
      <c r="Q283" s="16" t="s">
        <v>305</v>
      </c>
      <c r="R283" s="16" t="s">
        <v>306</v>
      </c>
      <c r="S283" s="4" t="s">
        <v>319</v>
      </c>
      <c r="T283" s="24" t="n">
        <v>345</v>
      </c>
      <c r="U283" s="18" t="n">
        <v>3.2</v>
      </c>
      <c r="V283" s="24" t="n">
        <v>0.32</v>
      </c>
      <c r="W283" s="2" t="n">
        <v>0.3</v>
      </c>
      <c r="Z283" s="18"/>
      <c r="AA283" s="20"/>
      <c r="AB283" s="20"/>
      <c r="AC283" s="19" t="e">
        <f aca="false">(AB283-AA283)/AB283</f>
        <v>#DIV/0!</v>
      </c>
    </row>
    <row r="284" customFormat="false" ht="14.25" hidden="false" customHeight="true" outlineLevel="0" collapsed="false">
      <c r="A284" s="18" t="s">
        <v>302</v>
      </c>
      <c r="B284" s="18" t="s">
        <v>302</v>
      </c>
      <c r="C284" s="18" t="s">
        <v>40</v>
      </c>
      <c r="E284" s="2" t="n">
        <f aca="false">INDEX(FieldSites!F:F, MATCH(Ch2_FieldSurvey!B284,FieldSites!C:C,0))</f>
        <v>1209</v>
      </c>
      <c r="F284" s="2" t="n">
        <f aca="false">INDEX(FieldSites!G:G, MATCH(Ch2_FieldSurvey!B284,FieldSites!C:C,0))</f>
        <v>-119.393233</v>
      </c>
      <c r="G284" s="2" t="n">
        <f aca="false">INDEX(FieldSites!H:H, MATCH(Ch2_FieldSurvey!B284,FieldSites!C:C,0))</f>
        <v>37.053544</v>
      </c>
      <c r="H284" s="18" t="n">
        <v>7</v>
      </c>
      <c r="I284" s="21" t="str">
        <f aca="false">CONCATENATE(B284,"_",C284,H284)</f>
        <v>BHEB_M. guttatus7</v>
      </c>
      <c r="J284" s="22" t="n">
        <v>44673</v>
      </c>
      <c r="K284" s="23" t="n">
        <v>0.451388888888889</v>
      </c>
      <c r="L284" s="22" t="n">
        <v>44674</v>
      </c>
      <c r="M284" s="23" t="n">
        <v>0.555555555555556</v>
      </c>
      <c r="O284" s="1" t="s">
        <v>318</v>
      </c>
      <c r="P284" s="16" t="s">
        <v>304</v>
      </c>
      <c r="Q284" s="16" t="s">
        <v>305</v>
      </c>
      <c r="R284" s="16" t="s">
        <v>306</v>
      </c>
      <c r="S284" s="4" t="s">
        <v>319</v>
      </c>
      <c r="T284" s="24" t="n">
        <v>252</v>
      </c>
      <c r="U284" s="18" t="n">
        <v>3.4</v>
      </c>
      <c r="V284" s="24" t="n">
        <v>0.29</v>
      </c>
      <c r="W284" s="2" t="n">
        <v>0.3</v>
      </c>
      <c r="Z284" s="18"/>
      <c r="AA284" s="20"/>
      <c r="AB284" s="20"/>
      <c r="AC284" s="19" t="e">
        <f aca="false">(AB284-AA284)/AB284</f>
        <v>#DIV/0!</v>
      </c>
    </row>
    <row r="285" customFormat="false" ht="14.25" hidden="false" customHeight="true" outlineLevel="0" collapsed="false">
      <c r="A285" s="18" t="s">
        <v>302</v>
      </c>
      <c r="B285" s="18" t="s">
        <v>302</v>
      </c>
      <c r="C285" s="18" t="s">
        <v>40</v>
      </c>
      <c r="E285" s="2" t="n">
        <f aca="false">INDEX(FieldSites!F:F, MATCH(Ch2_FieldSurvey!B285,FieldSites!C:C,0))</f>
        <v>1209</v>
      </c>
      <c r="F285" s="2" t="n">
        <f aca="false">INDEX(FieldSites!G:G, MATCH(Ch2_FieldSurvey!B285,FieldSites!C:C,0))</f>
        <v>-119.393233</v>
      </c>
      <c r="G285" s="2" t="n">
        <f aca="false">INDEX(FieldSites!H:H, MATCH(Ch2_FieldSurvey!B285,FieldSites!C:C,0))</f>
        <v>37.053544</v>
      </c>
      <c r="H285" s="18" t="n">
        <v>8</v>
      </c>
      <c r="I285" s="21" t="str">
        <f aca="false">CONCATENATE(B285,"_",C285,H285)</f>
        <v>BHEB_M. guttatus8</v>
      </c>
      <c r="J285" s="22" t="n">
        <v>44673</v>
      </c>
      <c r="K285" s="23" t="n">
        <v>0.451388888888889</v>
      </c>
      <c r="L285" s="22" t="n">
        <v>44674</v>
      </c>
      <c r="M285" s="23" t="n">
        <v>0.559722222222222</v>
      </c>
      <c r="O285" s="1" t="s">
        <v>320</v>
      </c>
      <c r="P285" s="16" t="s">
        <v>304</v>
      </c>
      <c r="Q285" s="16" t="s">
        <v>305</v>
      </c>
      <c r="R285" s="16" t="s">
        <v>306</v>
      </c>
      <c r="S285" s="4" t="s">
        <v>321</v>
      </c>
      <c r="T285" s="24" t="n">
        <v>550</v>
      </c>
      <c r="U285" s="18" t="n">
        <v>4.4</v>
      </c>
      <c r="V285" s="24" t="n">
        <v>0.38</v>
      </c>
      <c r="W285" s="2" t="n">
        <v>0.2</v>
      </c>
      <c r="Z285" s="18"/>
      <c r="AA285" s="20" t="n">
        <v>1720237</v>
      </c>
      <c r="AB285" s="20" t="n">
        <v>1879375</v>
      </c>
      <c r="AC285" s="19" t="n">
        <f aca="false">(AB285-AA285)/AB285</f>
        <v>0.0846760226139009</v>
      </c>
    </row>
    <row r="286" customFormat="false" ht="14.25" hidden="false" customHeight="true" outlineLevel="0" collapsed="false">
      <c r="A286" s="18" t="s">
        <v>302</v>
      </c>
      <c r="B286" s="18" t="s">
        <v>302</v>
      </c>
      <c r="C286" s="18" t="s">
        <v>40</v>
      </c>
      <c r="E286" s="2" t="n">
        <f aca="false">INDEX(FieldSites!F:F, MATCH(Ch2_FieldSurvey!B286,FieldSites!C:C,0))</f>
        <v>1209</v>
      </c>
      <c r="F286" s="2" t="n">
        <f aca="false">INDEX(FieldSites!G:G, MATCH(Ch2_FieldSurvey!B286,FieldSites!C:C,0))</f>
        <v>-119.393233</v>
      </c>
      <c r="G286" s="2" t="n">
        <f aca="false">INDEX(FieldSites!H:H, MATCH(Ch2_FieldSurvey!B286,FieldSites!C:C,0))</f>
        <v>37.053544</v>
      </c>
      <c r="H286" s="18" t="n">
        <v>8</v>
      </c>
      <c r="I286" s="21" t="str">
        <f aca="false">CONCATENATE(B286,"_",C286,H286)</f>
        <v>BHEB_M. guttatus8</v>
      </c>
      <c r="J286" s="22" t="n">
        <v>44673</v>
      </c>
      <c r="K286" s="23" t="n">
        <v>0.451388888888889</v>
      </c>
      <c r="L286" s="22" t="n">
        <v>44674</v>
      </c>
      <c r="M286" s="23" t="n">
        <v>0.559722222222222</v>
      </c>
      <c r="O286" s="1" t="s">
        <v>320</v>
      </c>
      <c r="P286" s="16" t="s">
        <v>304</v>
      </c>
      <c r="Q286" s="16" t="s">
        <v>305</v>
      </c>
      <c r="R286" s="16" t="s">
        <v>306</v>
      </c>
      <c r="S286" s="4" t="s">
        <v>321</v>
      </c>
      <c r="T286" s="24" t="n">
        <v>445</v>
      </c>
      <c r="U286" s="18" t="n">
        <v>4.9</v>
      </c>
      <c r="V286" s="24" t="n">
        <v>0.44</v>
      </c>
      <c r="W286" s="2" t="n">
        <v>0.3</v>
      </c>
      <c r="Z286" s="18"/>
      <c r="AA286" s="20"/>
      <c r="AB286" s="20"/>
      <c r="AC286" s="19" t="e">
        <f aca="false">(AB286-AA286)/AB286</f>
        <v>#DIV/0!</v>
      </c>
    </row>
    <row r="287" customFormat="false" ht="14.25" hidden="false" customHeight="true" outlineLevel="0" collapsed="false">
      <c r="A287" s="18" t="s">
        <v>302</v>
      </c>
      <c r="B287" s="18" t="s">
        <v>302</v>
      </c>
      <c r="C287" s="18" t="s">
        <v>40</v>
      </c>
      <c r="E287" s="2" t="n">
        <f aca="false">INDEX(FieldSites!F:F, MATCH(Ch2_FieldSurvey!B287,FieldSites!C:C,0))</f>
        <v>1209</v>
      </c>
      <c r="F287" s="2" t="n">
        <f aca="false">INDEX(FieldSites!G:G, MATCH(Ch2_FieldSurvey!B287,FieldSites!C:C,0))</f>
        <v>-119.393233</v>
      </c>
      <c r="G287" s="2" t="n">
        <f aca="false">INDEX(FieldSites!H:H, MATCH(Ch2_FieldSurvey!B287,FieldSites!C:C,0))</f>
        <v>37.053544</v>
      </c>
      <c r="H287" s="18" t="n">
        <v>8</v>
      </c>
      <c r="I287" s="21" t="str">
        <f aca="false">CONCATENATE(B287,"_",C287,H287)</f>
        <v>BHEB_M. guttatus8</v>
      </c>
      <c r="J287" s="22" t="n">
        <v>44673</v>
      </c>
      <c r="K287" s="23" t="n">
        <v>0.451388888888889</v>
      </c>
      <c r="L287" s="22" t="n">
        <v>44674</v>
      </c>
      <c r="M287" s="23" t="n">
        <v>0.559722222222222</v>
      </c>
      <c r="O287" s="1" t="s">
        <v>320</v>
      </c>
      <c r="P287" s="16" t="s">
        <v>304</v>
      </c>
      <c r="Q287" s="16" t="s">
        <v>305</v>
      </c>
      <c r="R287" s="16" t="s">
        <v>306</v>
      </c>
      <c r="S287" s="4" t="s">
        <v>321</v>
      </c>
      <c r="T287" s="24" t="n">
        <v>422</v>
      </c>
      <c r="U287" s="18" t="n">
        <v>4.5</v>
      </c>
      <c r="V287" s="24" t="n">
        <v>0.33</v>
      </c>
      <c r="W287" s="2" t="n">
        <v>0.2</v>
      </c>
      <c r="Z287" s="18"/>
      <c r="AA287" s="20"/>
      <c r="AB287" s="20"/>
      <c r="AC287" s="19" t="e">
        <f aca="false">(AB287-AA287)/AB287</f>
        <v>#DIV/0!</v>
      </c>
    </row>
    <row r="288" customFormat="false" ht="14.25" hidden="false" customHeight="true" outlineLevel="0" collapsed="false">
      <c r="A288" s="18" t="s">
        <v>302</v>
      </c>
      <c r="B288" s="18" t="s">
        <v>302</v>
      </c>
      <c r="C288" s="18" t="s">
        <v>40</v>
      </c>
      <c r="E288" s="2" t="n">
        <f aca="false">INDEX(FieldSites!F:F, MATCH(Ch2_FieldSurvey!B288,FieldSites!C:C,0))</f>
        <v>1209</v>
      </c>
      <c r="F288" s="2" t="n">
        <f aca="false">INDEX(FieldSites!G:G, MATCH(Ch2_FieldSurvey!B288,FieldSites!C:C,0))</f>
        <v>-119.393233</v>
      </c>
      <c r="G288" s="2" t="n">
        <f aca="false">INDEX(FieldSites!H:H, MATCH(Ch2_FieldSurvey!B288,FieldSites!C:C,0))</f>
        <v>37.053544</v>
      </c>
      <c r="H288" s="18" t="n">
        <v>9</v>
      </c>
      <c r="I288" s="21" t="str">
        <f aca="false">CONCATENATE(B288,"_",C288,H288)</f>
        <v>BHEB_M. guttatus9</v>
      </c>
      <c r="J288" s="22" t="n">
        <v>44673</v>
      </c>
      <c r="K288" s="23" t="n">
        <v>0.451388888888889</v>
      </c>
      <c r="L288" s="22" t="n">
        <v>44674</v>
      </c>
      <c r="M288" s="23" t="n">
        <v>0.564583333333333</v>
      </c>
      <c r="O288" s="1" t="s">
        <v>322</v>
      </c>
      <c r="P288" s="16" t="s">
        <v>304</v>
      </c>
      <c r="Q288" s="16" t="s">
        <v>305</v>
      </c>
      <c r="R288" s="16" t="s">
        <v>306</v>
      </c>
      <c r="S288" s="4" t="s">
        <v>323</v>
      </c>
      <c r="T288" s="24" t="n">
        <v>242</v>
      </c>
      <c r="U288" s="18" t="n">
        <v>5.5</v>
      </c>
      <c r="V288" s="24" t="n">
        <v>0.33</v>
      </c>
      <c r="W288" s="2" t="n">
        <v>0.2</v>
      </c>
      <c r="Z288" s="18"/>
      <c r="AA288" s="20" t="n">
        <v>327806</v>
      </c>
      <c r="AB288" s="20" t="n">
        <v>369734</v>
      </c>
      <c r="AC288" s="19" t="n">
        <f aca="false">(AB288-AA288)/AB288</f>
        <v>0.113400444643987</v>
      </c>
    </row>
    <row r="289" customFormat="false" ht="14.25" hidden="false" customHeight="true" outlineLevel="0" collapsed="false">
      <c r="A289" s="18" t="s">
        <v>302</v>
      </c>
      <c r="B289" s="18" t="s">
        <v>302</v>
      </c>
      <c r="C289" s="18" t="s">
        <v>40</v>
      </c>
      <c r="E289" s="2" t="n">
        <f aca="false">INDEX(FieldSites!F:F, MATCH(Ch2_FieldSurvey!B289,FieldSites!C:C,0))</f>
        <v>1209</v>
      </c>
      <c r="F289" s="2" t="n">
        <f aca="false">INDEX(FieldSites!G:G, MATCH(Ch2_FieldSurvey!B289,FieldSites!C:C,0))</f>
        <v>-119.393233</v>
      </c>
      <c r="G289" s="2" t="n">
        <f aca="false">INDEX(FieldSites!H:H, MATCH(Ch2_FieldSurvey!B289,FieldSites!C:C,0))</f>
        <v>37.053544</v>
      </c>
      <c r="H289" s="18" t="n">
        <v>9</v>
      </c>
      <c r="I289" s="21" t="str">
        <f aca="false">CONCATENATE(B289,"_",C289,H289)</f>
        <v>BHEB_M. guttatus9</v>
      </c>
      <c r="J289" s="22" t="n">
        <v>44673</v>
      </c>
      <c r="K289" s="23" t="n">
        <v>0.451388888888889</v>
      </c>
      <c r="L289" s="22" t="n">
        <v>44674</v>
      </c>
      <c r="M289" s="23" t="n">
        <v>0.564583333333333</v>
      </c>
      <c r="O289" s="1" t="s">
        <v>322</v>
      </c>
      <c r="P289" s="16" t="s">
        <v>304</v>
      </c>
      <c r="Q289" s="16" t="s">
        <v>305</v>
      </c>
      <c r="R289" s="16" t="s">
        <v>306</v>
      </c>
      <c r="S289" s="4" t="s">
        <v>323</v>
      </c>
      <c r="T289" s="24" t="n">
        <v>270</v>
      </c>
      <c r="U289" s="18" t="n">
        <v>4.6</v>
      </c>
      <c r="V289" s="24" t="n">
        <v>0.23</v>
      </c>
      <c r="W289" s="2" t="n">
        <v>0.3</v>
      </c>
      <c r="Z289" s="18"/>
      <c r="AA289" s="20"/>
      <c r="AB289" s="20"/>
      <c r="AC289" s="19" t="e">
        <f aca="false">(AB289-AA289)/AB289</f>
        <v>#DIV/0!</v>
      </c>
    </row>
    <row r="290" customFormat="false" ht="14.25" hidden="false" customHeight="true" outlineLevel="0" collapsed="false">
      <c r="A290" s="18" t="s">
        <v>302</v>
      </c>
      <c r="B290" s="18" t="s">
        <v>302</v>
      </c>
      <c r="C290" s="18" t="s">
        <v>40</v>
      </c>
      <c r="E290" s="2" t="n">
        <f aca="false">INDEX(FieldSites!F:F, MATCH(Ch2_FieldSurvey!B290,FieldSites!C:C,0))</f>
        <v>1209</v>
      </c>
      <c r="F290" s="2" t="n">
        <f aca="false">INDEX(FieldSites!G:G, MATCH(Ch2_FieldSurvey!B290,FieldSites!C:C,0))</f>
        <v>-119.393233</v>
      </c>
      <c r="G290" s="2" t="n">
        <f aca="false">INDEX(FieldSites!H:H, MATCH(Ch2_FieldSurvey!B290,FieldSites!C:C,0))</f>
        <v>37.053544</v>
      </c>
      <c r="H290" s="18" t="n">
        <v>9</v>
      </c>
      <c r="I290" s="21" t="str">
        <f aca="false">CONCATENATE(B290,"_",C290,H290)</f>
        <v>BHEB_M. guttatus9</v>
      </c>
      <c r="J290" s="22" t="n">
        <v>44673</v>
      </c>
      <c r="K290" s="23" t="n">
        <v>0.451388888888889</v>
      </c>
      <c r="L290" s="22" t="n">
        <v>44674</v>
      </c>
      <c r="M290" s="23" t="n">
        <v>0.564583333333333</v>
      </c>
      <c r="O290" s="1" t="s">
        <v>322</v>
      </c>
      <c r="P290" s="16" t="s">
        <v>304</v>
      </c>
      <c r="Q290" s="16" t="s">
        <v>305</v>
      </c>
      <c r="R290" s="16" t="s">
        <v>306</v>
      </c>
      <c r="S290" s="4" t="s">
        <v>323</v>
      </c>
      <c r="T290" s="24" t="n">
        <v>440</v>
      </c>
      <c r="U290" s="18" t="n">
        <v>5</v>
      </c>
      <c r="V290" s="24" t="n">
        <v>0.35</v>
      </c>
      <c r="W290" s="2" t="n">
        <v>0.3</v>
      </c>
      <c r="Z290" s="18"/>
      <c r="AA290" s="20"/>
      <c r="AB290" s="20"/>
      <c r="AC290" s="19" t="e">
        <f aca="false">(AB290-AA290)/AB290</f>
        <v>#DIV/0!</v>
      </c>
    </row>
    <row r="291" customFormat="false" ht="14.25" hidden="false" customHeight="true" outlineLevel="0" collapsed="false">
      <c r="A291" s="18" t="s">
        <v>302</v>
      </c>
      <c r="B291" s="18" t="s">
        <v>302</v>
      </c>
      <c r="C291" s="18" t="s">
        <v>40</v>
      </c>
      <c r="E291" s="2" t="n">
        <f aca="false">INDEX(FieldSites!F:F, MATCH(Ch2_FieldSurvey!B291,FieldSites!C:C,0))</f>
        <v>1209</v>
      </c>
      <c r="F291" s="2" t="n">
        <f aca="false">INDEX(FieldSites!G:G, MATCH(Ch2_FieldSurvey!B291,FieldSites!C:C,0))</f>
        <v>-119.393233</v>
      </c>
      <c r="G291" s="2" t="n">
        <f aca="false">INDEX(FieldSites!H:H, MATCH(Ch2_FieldSurvey!B291,FieldSites!C:C,0))</f>
        <v>37.053544</v>
      </c>
      <c r="H291" s="18" t="n">
        <v>10</v>
      </c>
      <c r="I291" s="21" t="str">
        <f aca="false">CONCATENATE(B291,"_",C291,H291)</f>
        <v>BHEB_M. guttatus10</v>
      </c>
      <c r="J291" s="22" t="n">
        <v>44673</v>
      </c>
      <c r="K291" s="23" t="n">
        <v>0.451388888888889</v>
      </c>
      <c r="L291" s="22" t="n">
        <v>44674</v>
      </c>
      <c r="M291" s="23" t="n">
        <v>0.568055555555556</v>
      </c>
      <c r="O291" s="1" t="s">
        <v>324</v>
      </c>
      <c r="P291" s="16" t="s">
        <v>304</v>
      </c>
      <c r="Q291" s="16" t="s">
        <v>305</v>
      </c>
      <c r="R291" s="16" t="s">
        <v>306</v>
      </c>
      <c r="S291" s="4" t="s">
        <v>325</v>
      </c>
      <c r="T291" s="24" t="n">
        <v>270</v>
      </c>
      <c r="U291" s="18" t="n">
        <v>3.8</v>
      </c>
      <c r="V291" s="24" t="n">
        <v>0.39</v>
      </c>
      <c r="W291" s="2" t="n">
        <v>0.2</v>
      </c>
      <c r="Z291" s="18"/>
      <c r="AA291" s="20" t="n">
        <v>282659</v>
      </c>
      <c r="AB291" s="20" t="n">
        <v>315369</v>
      </c>
      <c r="AC291" s="19" t="n">
        <f aca="false">(AB291-AA291)/AB291</f>
        <v>0.103719769539809</v>
      </c>
    </row>
    <row r="292" customFormat="false" ht="14.25" hidden="false" customHeight="true" outlineLevel="0" collapsed="false">
      <c r="A292" s="18" t="s">
        <v>302</v>
      </c>
      <c r="B292" s="18" t="s">
        <v>302</v>
      </c>
      <c r="C292" s="18" t="s">
        <v>40</v>
      </c>
      <c r="E292" s="2" t="n">
        <f aca="false">INDEX(FieldSites!F:F, MATCH(Ch2_FieldSurvey!B292,FieldSites!C:C,0))</f>
        <v>1209</v>
      </c>
      <c r="F292" s="2" t="n">
        <f aca="false">INDEX(FieldSites!G:G, MATCH(Ch2_FieldSurvey!B292,FieldSites!C:C,0))</f>
        <v>-119.393233</v>
      </c>
      <c r="G292" s="2" t="n">
        <f aca="false">INDEX(FieldSites!H:H, MATCH(Ch2_FieldSurvey!B292,FieldSites!C:C,0))</f>
        <v>37.053544</v>
      </c>
      <c r="H292" s="18" t="n">
        <v>10</v>
      </c>
      <c r="I292" s="21" t="str">
        <f aca="false">CONCATENATE(B292,"_",C292,H292)</f>
        <v>BHEB_M. guttatus10</v>
      </c>
      <c r="J292" s="22" t="n">
        <v>44673</v>
      </c>
      <c r="K292" s="23" t="n">
        <v>0.451388888888889</v>
      </c>
      <c r="L292" s="22" t="n">
        <v>44674</v>
      </c>
      <c r="M292" s="23" t="n">
        <v>0.568055555555556</v>
      </c>
      <c r="O292" s="1" t="s">
        <v>324</v>
      </c>
      <c r="P292" s="16" t="s">
        <v>304</v>
      </c>
      <c r="Q292" s="16" t="s">
        <v>305</v>
      </c>
      <c r="R292" s="16" t="s">
        <v>306</v>
      </c>
      <c r="S292" s="4" t="s">
        <v>325</v>
      </c>
      <c r="T292" s="24" t="n">
        <v>290</v>
      </c>
      <c r="U292" s="18" t="n">
        <v>3</v>
      </c>
      <c r="V292" s="24" t="n">
        <v>0.36</v>
      </c>
      <c r="W292" s="2" t="n">
        <v>0.4</v>
      </c>
      <c r="Z292" s="18"/>
      <c r="AA292" s="20"/>
      <c r="AB292" s="20"/>
      <c r="AC292" s="19" t="e">
        <f aca="false">(AB292-AA292)/AB292</f>
        <v>#DIV/0!</v>
      </c>
    </row>
    <row r="293" customFormat="false" ht="14.25" hidden="false" customHeight="true" outlineLevel="0" collapsed="false">
      <c r="A293" s="18" t="s">
        <v>302</v>
      </c>
      <c r="B293" s="18" t="s">
        <v>302</v>
      </c>
      <c r="C293" s="18" t="s">
        <v>40</v>
      </c>
      <c r="E293" s="2" t="n">
        <f aca="false">INDEX(FieldSites!F:F, MATCH(Ch2_FieldSurvey!B293,FieldSites!C:C,0))</f>
        <v>1209</v>
      </c>
      <c r="F293" s="2" t="n">
        <f aca="false">INDEX(FieldSites!G:G, MATCH(Ch2_FieldSurvey!B293,FieldSites!C:C,0))</f>
        <v>-119.393233</v>
      </c>
      <c r="G293" s="2" t="n">
        <f aca="false">INDEX(FieldSites!H:H, MATCH(Ch2_FieldSurvey!B293,FieldSites!C:C,0))</f>
        <v>37.053544</v>
      </c>
      <c r="H293" s="18" t="n">
        <v>10</v>
      </c>
      <c r="I293" s="21" t="str">
        <f aca="false">CONCATENATE(B293,"_",C293,H293)</f>
        <v>BHEB_M. guttatus10</v>
      </c>
      <c r="J293" s="22" t="n">
        <v>44673</v>
      </c>
      <c r="K293" s="23" t="n">
        <v>0.451388888888889</v>
      </c>
      <c r="L293" s="22" t="n">
        <v>44674</v>
      </c>
      <c r="M293" s="23" t="n">
        <v>0.568055555555556</v>
      </c>
      <c r="O293" s="1" t="s">
        <v>324</v>
      </c>
      <c r="P293" s="16" t="s">
        <v>304</v>
      </c>
      <c r="Q293" s="16" t="s">
        <v>305</v>
      </c>
      <c r="R293" s="16" t="s">
        <v>306</v>
      </c>
      <c r="S293" s="4" t="s">
        <v>325</v>
      </c>
      <c r="T293" s="24" t="n">
        <v>455</v>
      </c>
      <c r="U293" s="18" t="n">
        <v>4.1</v>
      </c>
      <c r="V293" s="24" t="n">
        <v>0.33</v>
      </c>
      <c r="W293" s="2" t="n">
        <v>0.3</v>
      </c>
      <c r="Z293" s="18"/>
      <c r="AA293" s="20"/>
      <c r="AB293" s="20"/>
      <c r="AC293" s="19" t="e">
        <f aca="false">(AB293-AA293)/AB293</f>
        <v>#DIV/0!</v>
      </c>
    </row>
    <row r="294" customFormat="false" ht="14.25" hidden="false" customHeight="true" outlineLevel="0" collapsed="false">
      <c r="A294" s="18" t="s">
        <v>302</v>
      </c>
      <c r="B294" s="18" t="s">
        <v>302</v>
      </c>
      <c r="C294" s="18" t="s">
        <v>159</v>
      </c>
      <c r="E294" s="2" t="n">
        <f aca="false">INDEX(FieldSites!F:F, MATCH(Ch2_FieldSurvey!B294,FieldSites!C:C,0))</f>
        <v>1209</v>
      </c>
      <c r="F294" s="2" t="n">
        <f aca="false">INDEX(FieldSites!G:G, MATCH(Ch2_FieldSurvey!B294,FieldSites!C:C,0))</f>
        <v>-119.393233</v>
      </c>
      <c r="G294" s="2" t="n">
        <f aca="false">INDEX(FieldSites!H:H, MATCH(Ch2_FieldSurvey!B294,FieldSites!C:C,0))</f>
        <v>37.053544</v>
      </c>
      <c r="H294" s="18" t="n">
        <v>1</v>
      </c>
      <c r="I294" s="21" t="str">
        <f aca="false">CONCATENATE(B294,"_",C294,H294)</f>
        <v>BHEB_M. nasutus1</v>
      </c>
      <c r="J294" s="22" t="n">
        <v>44673</v>
      </c>
      <c r="K294" s="23" t="n">
        <v>0.451388888888889</v>
      </c>
      <c r="L294" s="22" t="n">
        <v>44674</v>
      </c>
      <c r="M294" s="23" t="n">
        <v>0.574305555555556</v>
      </c>
      <c r="O294" s="1" t="s">
        <v>326</v>
      </c>
      <c r="P294" s="16" t="s">
        <v>304</v>
      </c>
      <c r="Q294" s="16" t="s">
        <v>305</v>
      </c>
      <c r="R294" s="16" t="s">
        <v>306</v>
      </c>
      <c r="S294" s="4" t="s">
        <v>327</v>
      </c>
      <c r="T294" s="24" t="n">
        <v>605</v>
      </c>
      <c r="U294" s="18" t="n">
        <v>8.7</v>
      </c>
      <c r="V294" s="24" t="n">
        <v>0.34</v>
      </c>
      <c r="W294" s="2" t="n">
        <v>0.4</v>
      </c>
      <c r="Z294" s="18"/>
      <c r="AA294" s="20" t="n">
        <v>531203</v>
      </c>
      <c r="AB294" s="20" t="n">
        <v>618399</v>
      </c>
      <c r="AC294" s="19" t="n">
        <f aca="false">(AB294-AA294)/AB294</f>
        <v>0.141002815334436</v>
      </c>
    </row>
    <row r="295" customFormat="false" ht="14.25" hidden="false" customHeight="true" outlineLevel="0" collapsed="false">
      <c r="A295" s="18" t="s">
        <v>302</v>
      </c>
      <c r="B295" s="18" t="s">
        <v>302</v>
      </c>
      <c r="C295" s="18" t="s">
        <v>159</v>
      </c>
      <c r="E295" s="2" t="n">
        <f aca="false">INDEX(FieldSites!F:F, MATCH(Ch2_FieldSurvey!B295,FieldSites!C:C,0))</f>
        <v>1209</v>
      </c>
      <c r="F295" s="2" t="n">
        <f aca="false">INDEX(FieldSites!G:G, MATCH(Ch2_FieldSurvey!B295,FieldSites!C:C,0))</f>
        <v>-119.393233</v>
      </c>
      <c r="G295" s="2" t="n">
        <f aca="false">INDEX(FieldSites!H:H, MATCH(Ch2_FieldSurvey!B295,FieldSites!C:C,0))</f>
        <v>37.053544</v>
      </c>
      <c r="H295" s="18" t="n">
        <v>1</v>
      </c>
      <c r="I295" s="21" t="str">
        <f aca="false">CONCATENATE(B295,"_",C295,H295)</f>
        <v>BHEB_M. nasutus1</v>
      </c>
      <c r="J295" s="22" t="n">
        <v>44673</v>
      </c>
      <c r="K295" s="23" t="n">
        <v>0.451388888888889</v>
      </c>
      <c r="L295" s="22" t="n">
        <v>44674</v>
      </c>
      <c r="M295" s="23" t="n">
        <v>0.574305555555556</v>
      </c>
      <c r="O295" s="1" t="s">
        <v>326</v>
      </c>
      <c r="P295" s="16" t="s">
        <v>304</v>
      </c>
      <c r="Q295" s="16" t="s">
        <v>305</v>
      </c>
      <c r="R295" s="16" t="s">
        <v>306</v>
      </c>
      <c r="S295" s="4" t="s">
        <v>327</v>
      </c>
      <c r="T295" s="24" t="n">
        <v>705</v>
      </c>
      <c r="U295" s="18" t="n">
        <v>6.9</v>
      </c>
      <c r="V295" s="24" t="n">
        <v>0.55</v>
      </c>
      <c r="W295" s="2" t="n">
        <v>0.6</v>
      </c>
      <c r="Z295" s="18"/>
      <c r="AA295" s="20"/>
      <c r="AB295" s="20"/>
      <c r="AC295" s="19" t="e">
        <f aca="false">(AB295-AA295)/AB295</f>
        <v>#DIV/0!</v>
      </c>
    </row>
    <row r="296" customFormat="false" ht="14.25" hidden="false" customHeight="true" outlineLevel="0" collapsed="false">
      <c r="A296" s="18" t="s">
        <v>302</v>
      </c>
      <c r="B296" s="18" t="s">
        <v>302</v>
      </c>
      <c r="C296" s="18" t="s">
        <v>159</v>
      </c>
      <c r="E296" s="2" t="n">
        <f aca="false">INDEX(FieldSites!F:F, MATCH(Ch2_FieldSurvey!B296,FieldSites!C:C,0))</f>
        <v>1209</v>
      </c>
      <c r="F296" s="2" t="n">
        <f aca="false">INDEX(FieldSites!G:G, MATCH(Ch2_FieldSurvey!B296,FieldSites!C:C,0))</f>
        <v>-119.393233</v>
      </c>
      <c r="G296" s="2" t="n">
        <f aca="false">INDEX(FieldSites!H:H, MATCH(Ch2_FieldSurvey!B296,FieldSites!C:C,0))</f>
        <v>37.053544</v>
      </c>
      <c r="H296" s="18" t="n">
        <v>1</v>
      </c>
      <c r="I296" s="21" t="str">
        <f aca="false">CONCATENATE(B296,"_",C296,H296)</f>
        <v>BHEB_M. nasutus1</v>
      </c>
      <c r="J296" s="22" t="n">
        <v>44673</v>
      </c>
      <c r="K296" s="23" t="n">
        <v>0.451388888888889</v>
      </c>
      <c r="L296" s="22" t="n">
        <v>44674</v>
      </c>
      <c r="M296" s="23" t="n">
        <v>0.574305555555556</v>
      </c>
      <c r="O296" s="1" t="s">
        <v>326</v>
      </c>
      <c r="P296" s="16" t="s">
        <v>304</v>
      </c>
      <c r="Q296" s="16" t="s">
        <v>305</v>
      </c>
      <c r="R296" s="16" t="s">
        <v>306</v>
      </c>
      <c r="S296" s="4" t="s">
        <v>327</v>
      </c>
      <c r="T296" s="24" t="n">
        <v>550</v>
      </c>
      <c r="U296" s="18" t="n">
        <v>7.6</v>
      </c>
      <c r="V296" s="24" t="n">
        <v>0.37</v>
      </c>
      <c r="W296" s="2" t="n">
        <v>0.5</v>
      </c>
      <c r="Z296" s="18"/>
      <c r="AA296" s="20"/>
      <c r="AB296" s="20"/>
      <c r="AC296" s="19" t="e">
        <f aca="false">(AB296-AA296)/AB296</f>
        <v>#DIV/0!</v>
      </c>
    </row>
    <row r="297" customFormat="false" ht="14.25" hidden="false" customHeight="true" outlineLevel="0" collapsed="false">
      <c r="A297" s="18" t="s">
        <v>302</v>
      </c>
      <c r="B297" s="18" t="s">
        <v>302</v>
      </c>
      <c r="C297" s="18" t="s">
        <v>159</v>
      </c>
      <c r="E297" s="2" t="n">
        <f aca="false">INDEX(FieldSites!F:F, MATCH(Ch2_FieldSurvey!B297,FieldSites!C:C,0))</f>
        <v>1209</v>
      </c>
      <c r="F297" s="2" t="n">
        <f aca="false">INDEX(FieldSites!G:G, MATCH(Ch2_FieldSurvey!B297,FieldSites!C:C,0))</f>
        <v>-119.393233</v>
      </c>
      <c r="G297" s="2" t="n">
        <f aca="false">INDEX(FieldSites!H:H, MATCH(Ch2_FieldSurvey!B297,FieldSites!C:C,0))</f>
        <v>37.053544</v>
      </c>
      <c r="H297" s="18" t="n">
        <v>2</v>
      </c>
      <c r="I297" s="21" t="str">
        <f aca="false">CONCATENATE(B297,"_",C297,H297)</f>
        <v>BHEB_M. nasutus2</v>
      </c>
      <c r="J297" s="22" t="n">
        <v>44673</v>
      </c>
      <c r="K297" s="23" t="n">
        <v>0.451388888888889</v>
      </c>
      <c r="L297" s="22" t="n">
        <v>44674</v>
      </c>
      <c r="M297" s="23" t="n">
        <v>0.577777777777778</v>
      </c>
      <c r="O297" s="1" t="s">
        <v>328</v>
      </c>
      <c r="P297" s="16" t="s">
        <v>304</v>
      </c>
      <c r="Q297" s="16" t="s">
        <v>305</v>
      </c>
      <c r="R297" s="16" t="s">
        <v>306</v>
      </c>
      <c r="S297" s="4" t="s">
        <v>329</v>
      </c>
      <c r="T297" s="24" t="n">
        <v>430</v>
      </c>
      <c r="U297" s="18" t="n">
        <v>7.6</v>
      </c>
      <c r="V297" s="24" t="n">
        <v>0.33</v>
      </c>
      <c r="W297" s="2" t="n">
        <v>0.3</v>
      </c>
      <c r="Z297" s="18"/>
      <c r="AA297" s="20" t="n">
        <v>631175</v>
      </c>
      <c r="AB297" s="20" t="n">
        <v>749919</v>
      </c>
      <c r="AC297" s="19" t="n">
        <f aca="false">(AB297-AA297)/AB297</f>
        <v>0.158342434316239</v>
      </c>
    </row>
    <row r="298" customFormat="false" ht="14.25" hidden="false" customHeight="true" outlineLevel="0" collapsed="false">
      <c r="A298" s="18" t="s">
        <v>302</v>
      </c>
      <c r="B298" s="18" t="s">
        <v>302</v>
      </c>
      <c r="C298" s="18" t="s">
        <v>159</v>
      </c>
      <c r="E298" s="2" t="n">
        <f aca="false">INDEX(FieldSites!F:F, MATCH(Ch2_FieldSurvey!B298,FieldSites!C:C,0))</f>
        <v>1209</v>
      </c>
      <c r="F298" s="2" t="n">
        <f aca="false">INDEX(FieldSites!G:G, MATCH(Ch2_FieldSurvey!B298,FieldSites!C:C,0))</f>
        <v>-119.393233</v>
      </c>
      <c r="G298" s="2" t="n">
        <f aca="false">INDEX(FieldSites!H:H, MATCH(Ch2_FieldSurvey!B298,FieldSites!C:C,0))</f>
        <v>37.053544</v>
      </c>
      <c r="H298" s="18" t="n">
        <v>2</v>
      </c>
      <c r="I298" s="21" t="str">
        <f aca="false">CONCATENATE(B298,"_",C298,H298)</f>
        <v>BHEB_M. nasutus2</v>
      </c>
      <c r="J298" s="22" t="n">
        <v>44673</v>
      </c>
      <c r="K298" s="23" t="n">
        <v>0.451388888888889</v>
      </c>
      <c r="L298" s="22" t="n">
        <v>44674</v>
      </c>
      <c r="M298" s="23" t="n">
        <v>0.577777777777778</v>
      </c>
      <c r="O298" s="1" t="s">
        <v>328</v>
      </c>
      <c r="P298" s="16" t="s">
        <v>304</v>
      </c>
      <c r="Q298" s="16" t="s">
        <v>305</v>
      </c>
      <c r="R298" s="16" t="s">
        <v>306</v>
      </c>
      <c r="S298" s="4" t="s">
        <v>329</v>
      </c>
      <c r="T298" s="24" t="n">
        <v>554</v>
      </c>
      <c r="U298" s="18" t="n">
        <v>7.3</v>
      </c>
      <c r="V298" s="24" t="n">
        <v>0.44</v>
      </c>
      <c r="W298" s="2" t="n">
        <v>0.4</v>
      </c>
      <c r="Z298" s="18"/>
      <c r="AA298" s="20"/>
      <c r="AB298" s="20"/>
      <c r="AC298" s="19" t="e">
        <f aca="false">(AB298-AA298)/AB298</f>
        <v>#DIV/0!</v>
      </c>
    </row>
    <row r="299" customFormat="false" ht="14.25" hidden="false" customHeight="true" outlineLevel="0" collapsed="false">
      <c r="A299" s="18" t="s">
        <v>302</v>
      </c>
      <c r="B299" s="18" t="s">
        <v>302</v>
      </c>
      <c r="C299" s="18" t="s">
        <v>159</v>
      </c>
      <c r="E299" s="2" t="n">
        <f aca="false">INDEX(FieldSites!F:F, MATCH(Ch2_FieldSurvey!B299,FieldSites!C:C,0))</f>
        <v>1209</v>
      </c>
      <c r="F299" s="2" t="n">
        <f aca="false">INDEX(FieldSites!G:G, MATCH(Ch2_FieldSurvey!B299,FieldSites!C:C,0))</f>
        <v>-119.393233</v>
      </c>
      <c r="G299" s="2" t="n">
        <f aca="false">INDEX(FieldSites!H:H, MATCH(Ch2_FieldSurvey!B299,FieldSites!C:C,0))</f>
        <v>37.053544</v>
      </c>
      <c r="H299" s="18" t="n">
        <v>2</v>
      </c>
      <c r="I299" s="21" t="str">
        <f aca="false">CONCATENATE(B299,"_",C299,H299)</f>
        <v>BHEB_M. nasutus2</v>
      </c>
      <c r="J299" s="22" t="n">
        <v>44673</v>
      </c>
      <c r="K299" s="23" t="n">
        <v>0.451388888888889</v>
      </c>
      <c r="L299" s="22" t="n">
        <v>44674</v>
      </c>
      <c r="M299" s="23" t="n">
        <v>0.577777777777778</v>
      </c>
      <c r="O299" s="1" t="s">
        <v>328</v>
      </c>
      <c r="P299" s="16" t="s">
        <v>304</v>
      </c>
      <c r="Q299" s="16" t="s">
        <v>305</v>
      </c>
      <c r="R299" s="16" t="s">
        <v>306</v>
      </c>
      <c r="S299" s="4" t="s">
        <v>329</v>
      </c>
      <c r="T299" s="24" t="n">
        <v>537</v>
      </c>
      <c r="U299" s="18" t="n">
        <v>5.7</v>
      </c>
      <c r="V299" s="24" t="n">
        <v>0.48</v>
      </c>
      <c r="W299" s="2" t="n">
        <v>0.3</v>
      </c>
      <c r="Z299" s="18"/>
      <c r="AA299" s="20"/>
      <c r="AB299" s="20"/>
      <c r="AC299" s="19" t="e">
        <f aca="false">(AB299-AA299)/AB299</f>
        <v>#DIV/0!</v>
      </c>
    </row>
    <row r="300" customFormat="false" ht="14.25" hidden="false" customHeight="true" outlineLevel="0" collapsed="false">
      <c r="A300" s="18" t="s">
        <v>302</v>
      </c>
      <c r="B300" s="18" t="s">
        <v>302</v>
      </c>
      <c r="C300" s="18" t="s">
        <v>159</v>
      </c>
      <c r="E300" s="2" t="n">
        <f aca="false">INDEX(FieldSites!F:F, MATCH(Ch2_FieldSurvey!B300,FieldSites!C:C,0))</f>
        <v>1209</v>
      </c>
      <c r="F300" s="2" t="n">
        <f aca="false">INDEX(FieldSites!G:G, MATCH(Ch2_FieldSurvey!B300,FieldSites!C:C,0))</f>
        <v>-119.393233</v>
      </c>
      <c r="G300" s="2" t="n">
        <f aca="false">INDEX(FieldSites!H:H, MATCH(Ch2_FieldSurvey!B300,FieldSites!C:C,0))</f>
        <v>37.053544</v>
      </c>
      <c r="H300" s="18" t="n">
        <v>3</v>
      </c>
      <c r="I300" s="21" t="str">
        <f aca="false">CONCATENATE(B300,"_",C300,H300)</f>
        <v>BHEB_M. nasutus3</v>
      </c>
      <c r="J300" s="22" t="n">
        <v>44673</v>
      </c>
      <c r="K300" s="23" t="n">
        <v>0.451388888888889</v>
      </c>
      <c r="L300" s="22" t="n">
        <v>44674</v>
      </c>
      <c r="M300" s="23" t="n">
        <v>0.580555555555556</v>
      </c>
      <c r="O300" s="1" t="s">
        <v>330</v>
      </c>
      <c r="P300" s="16" t="s">
        <v>304</v>
      </c>
      <c r="Q300" s="16" t="s">
        <v>305</v>
      </c>
      <c r="R300" s="16" t="s">
        <v>306</v>
      </c>
      <c r="S300" s="4" t="s">
        <v>331</v>
      </c>
      <c r="T300" s="24" t="n">
        <v>495</v>
      </c>
      <c r="U300" s="18" t="n">
        <v>3.4</v>
      </c>
      <c r="V300" s="24" t="n">
        <v>0.58</v>
      </c>
      <c r="W300" s="2" t="n">
        <v>0.4</v>
      </c>
      <c r="Z300" s="18"/>
      <c r="AA300" s="20" t="n">
        <v>639298</v>
      </c>
      <c r="AB300" s="20" t="n">
        <v>691993</v>
      </c>
      <c r="AC300" s="19" t="n">
        <f aca="false">(AB300-AA300)/AB300</f>
        <v>0.0761496142302018</v>
      </c>
    </row>
    <row r="301" customFormat="false" ht="14.25" hidden="false" customHeight="true" outlineLevel="0" collapsed="false">
      <c r="A301" s="18" t="s">
        <v>302</v>
      </c>
      <c r="B301" s="18" t="s">
        <v>302</v>
      </c>
      <c r="C301" s="18" t="s">
        <v>159</v>
      </c>
      <c r="E301" s="2" t="n">
        <f aca="false">INDEX(FieldSites!F:F, MATCH(Ch2_FieldSurvey!B301,FieldSites!C:C,0))</f>
        <v>1209</v>
      </c>
      <c r="F301" s="2" t="n">
        <f aca="false">INDEX(FieldSites!G:G, MATCH(Ch2_FieldSurvey!B301,FieldSites!C:C,0))</f>
        <v>-119.393233</v>
      </c>
      <c r="G301" s="2" t="n">
        <f aca="false">INDEX(FieldSites!H:H, MATCH(Ch2_FieldSurvey!B301,FieldSites!C:C,0))</f>
        <v>37.053544</v>
      </c>
      <c r="H301" s="18" t="n">
        <v>3</v>
      </c>
      <c r="I301" s="21" t="str">
        <f aca="false">CONCATENATE(B301,"_",C301,H301)</f>
        <v>BHEB_M. nasutus3</v>
      </c>
      <c r="J301" s="22" t="n">
        <v>44673</v>
      </c>
      <c r="K301" s="23" t="n">
        <v>0.451388888888889</v>
      </c>
      <c r="L301" s="22" t="n">
        <v>44674</v>
      </c>
      <c r="M301" s="23" t="n">
        <v>0.580555555555556</v>
      </c>
      <c r="O301" s="1" t="s">
        <v>330</v>
      </c>
      <c r="P301" s="16" t="s">
        <v>304</v>
      </c>
      <c r="Q301" s="16" t="s">
        <v>305</v>
      </c>
      <c r="R301" s="16" t="s">
        <v>306</v>
      </c>
      <c r="S301" s="4" t="s">
        <v>331</v>
      </c>
      <c r="T301" s="24" t="n">
        <v>381</v>
      </c>
      <c r="U301" s="18" t="n">
        <v>3.8</v>
      </c>
      <c r="V301" s="24" t="n">
        <v>0.53</v>
      </c>
      <c r="W301" s="2" t="n">
        <v>0.5</v>
      </c>
      <c r="Z301" s="18"/>
      <c r="AA301" s="20"/>
      <c r="AB301" s="20"/>
      <c r="AC301" s="19" t="e">
        <f aca="false">(AB301-AA301)/AB301</f>
        <v>#DIV/0!</v>
      </c>
    </row>
    <row r="302" customFormat="false" ht="14.25" hidden="false" customHeight="true" outlineLevel="0" collapsed="false">
      <c r="A302" s="18" t="s">
        <v>302</v>
      </c>
      <c r="B302" s="18" t="s">
        <v>302</v>
      </c>
      <c r="C302" s="18" t="s">
        <v>159</v>
      </c>
      <c r="E302" s="2" t="n">
        <f aca="false">INDEX(FieldSites!F:F, MATCH(Ch2_FieldSurvey!B302,FieldSites!C:C,0))</f>
        <v>1209</v>
      </c>
      <c r="F302" s="2" t="n">
        <f aca="false">INDEX(FieldSites!G:G, MATCH(Ch2_FieldSurvey!B302,FieldSites!C:C,0))</f>
        <v>-119.393233</v>
      </c>
      <c r="G302" s="2" t="n">
        <f aca="false">INDEX(FieldSites!H:H, MATCH(Ch2_FieldSurvey!B302,FieldSites!C:C,0))</f>
        <v>37.053544</v>
      </c>
      <c r="H302" s="18" t="n">
        <v>3</v>
      </c>
      <c r="I302" s="21" t="str">
        <f aca="false">CONCATENATE(B302,"_",C302,H302)</f>
        <v>BHEB_M. nasutus3</v>
      </c>
      <c r="J302" s="22" t="n">
        <v>44673</v>
      </c>
      <c r="K302" s="23" t="n">
        <v>0.451388888888889</v>
      </c>
      <c r="L302" s="22" t="n">
        <v>44674</v>
      </c>
      <c r="M302" s="23" t="n">
        <v>0.580555555555556</v>
      </c>
      <c r="O302" s="1" t="s">
        <v>330</v>
      </c>
      <c r="P302" s="16" t="s">
        <v>304</v>
      </c>
      <c r="Q302" s="16" t="s">
        <v>305</v>
      </c>
      <c r="R302" s="16" t="s">
        <v>306</v>
      </c>
      <c r="S302" s="4" t="s">
        <v>331</v>
      </c>
      <c r="T302" s="24" t="n">
        <v>550</v>
      </c>
      <c r="U302" s="18" t="n">
        <v>4.6</v>
      </c>
      <c r="V302" s="24" t="n">
        <v>0.52</v>
      </c>
      <c r="W302" s="2" t="n">
        <v>0.5</v>
      </c>
      <c r="Z302" s="18"/>
      <c r="AA302" s="20"/>
      <c r="AB302" s="20"/>
      <c r="AC302" s="19" t="e">
        <f aca="false">(AB302-AA302)/AB302</f>
        <v>#DIV/0!</v>
      </c>
    </row>
    <row r="303" customFormat="false" ht="14.25" hidden="false" customHeight="true" outlineLevel="0" collapsed="false">
      <c r="A303" s="18" t="s">
        <v>302</v>
      </c>
      <c r="B303" s="18" t="s">
        <v>302</v>
      </c>
      <c r="C303" s="18" t="s">
        <v>159</v>
      </c>
      <c r="E303" s="2" t="n">
        <f aca="false">INDEX(FieldSites!F:F, MATCH(Ch2_FieldSurvey!B303,FieldSites!C:C,0))</f>
        <v>1209</v>
      </c>
      <c r="F303" s="2" t="n">
        <f aca="false">INDEX(FieldSites!G:G, MATCH(Ch2_FieldSurvey!B303,FieldSites!C:C,0))</f>
        <v>-119.393233</v>
      </c>
      <c r="G303" s="2" t="n">
        <f aca="false">INDEX(FieldSites!H:H, MATCH(Ch2_FieldSurvey!B303,FieldSites!C:C,0))</f>
        <v>37.053544</v>
      </c>
      <c r="H303" s="18" t="n">
        <v>4</v>
      </c>
      <c r="I303" s="21" t="str">
        <f aca="false">CONCATENATE(B303,"_",C303,H303)</f>
        <v>BHEB_M. nasutus4</v>
      </c>
      <c r="J303" s="22" t="n">
        <v>44673</v>
      </c>
      <c r="K303" s="23" t="n">
        <v>0.451388888888889</v>
      </c>
      <c r="L303" s="22" t="n">
        <v>44674</v>
      </c>
      <c r="M303" s="23" t="n">
        <v>0.585416666666667</v>
      </c>
      <c r="O303" s="1" t="s">
        <v>332</v>
      </c>
      <c r="P303" s="16" t="s">
        <v>304</v>
      </c>
      <c r="Q303" s="16" t="s">
        <v>305</v>
      </c>
      <c r="R303" s="16" t="s">
        <v>306</v>
      </c>
      <c r="S303" s="4" t="s">
        <v>333</v>
      </c>
      <c r="T303" s="24" t="n">
        <v>500</v>
      </c>
      <c r="U303" s="18" t="n">
        <v>14.8</v>
      </c>
      <c r="V303" s="24" t="n">
        <v>0.45</v>
      </c>
      <c r="W303" s="2" t="n">
        <v>0.6</v>
      </c>
      <c r="Z303" s="18"/>
      <c r="AA303" s="20" t="n">
        <v>768063</v>
      </c>
      <c r="AB303" s="20" t="n">
        <v>835234</v>
      </c>
      <c r="AC303" s="19" t="n">
        <f aca="false">(AB303-AA303)/AB303</f>
        <v>0.0804217740178202</v>
      </c>
    </row>
    <row r="304" customFormat="false" ht="14.25" hidden="false" customHeight="true" outlineLevel="0" collapsed="false">
      <c r="A304" s="18" t="s">
        <v>302</v>
      </c>
      <c r="B304" s="18" t="s">
        <v>302</v>
      </c>
      <c r="C304" s="18" t="s">
        <v>159</v>
      </c>
      <c r="E304" s="2" t="n">
        <f aca="false">INDEX(FieldSites!F:F, MATCH(Ch2_FieldSurvey!B304,FieldSites!C:C,0))</f>
        <v>1209</v>
      </c>
      <c r="F304" s="2" t="n">
        <f aca="false">INDEX(FieldSites!G:G, MATCH(Ch2_FieldSurvey!B304,FieldSites!C:C,0))</f>
        <v>-119.393233</v>
      </c>
      <c r="G304" s="2" t="n">
        <f aca="false">INDEX(FieldSites!H:H, MATCH(Ch2_FieldSurvey!B304,FieldSites!C:C,0))</f>
        <v>37.053544</v>
      </c>
      <c r="H304" s="18" t="n">
        <v>4</v>
      </c>
      <c r="I304" s="21" t="str">
        <f aca="false">CONCATENATE(B304,"_",C304,H304)</f>
        <v>BHEB_M. nasutus4</v>
      </c>
      <c r="J304" s="22" t="n">
        <v>44673</v>
      </c>
      <c r="K304" s="23" t="n">
        <v>0.451388888888889</v>
      </c>
      <c r="L304" s="22" t="n">
        <v>44674</v>
      </c>
      <c r="M304" s="23" t="n">
        <v>0.585416666666667</v>
      </c>
      <c r="O304" s="1" t="s">
        <v>332</v>
      </c>
      <c r="P304" s="16" t="s">
        <v>304</v>
      </c>
      <c r="Q304" s="16" t="s">
        <v>305</v>
      </c>
      <c r="R304" s="16" t="s">
        <v>306</v>
      </c>
      <c r="S304" s="4" t="s">
        <v>333</v>
      </c>
      <c r="T304" s="24" t="n">
        <v>489</v>
      </c>
      <c r="U304" s="18" t="n">
        <v>22.1</v>
      </c>
      <c r="V304" s="24" t="n">
        <v>0.47</v>
      </c>
      <c r="W304" s="2" t="n">
        <v>0.6</v>
      </c>
      <c r="Z304" s="18"/>
      <c r="AA304" s="20"/>
      <c r="AB304" s="20"/>
      <c r="AC304" s="19" t="e">
        <f aca="false">(AB304-AA304)/AB304</f>
        <v>#DIV/0!</v>
      </c>
    </row>
    <row r="305" customFormat="false" ht="14.25" hidden="false" customHeight="true" outlineLevel="0" collapsed="false">
      <c r="A305" s="18" t="s">
        <v>302</v>
      </c>
      <c r="B305" s="18" t="s">
        <v>302</v>
      </c>
      <c r="C305" s="18" t="s">
        <v>159</v>
      </c>
      <c r="E305" s="2" t="n">
        <f aca="false">INDEX(FieldSites!F:F, MATCH(Ch2_FieldSurvey!B305,FieldSites!C:C,0))</f>
        <v>1209</v>
      </c>
      <c r="F305" s="2" t="n">
        <f aca="false">INDEX(FieldSites!G:G, MATCH(Ch2_FieldSurvey!B305,FieldSites!C:C,0))</f>
        <v>-119.393233</v>
      </c>
      <c r="G305" s="2" t="n">
        <f aca="false">INDEX(FieldSites!H:H, MATCH(Ch2_FieldSurvey!B305,FieldSites!C:C,0))</f>
        <v>37.053544</v>
      </c>
      <c r="H305" s="18" t="n">
        <v>4</v>
      </c>
      <c r="I305" s="21" t="str">
        <f aca="false">CONCATENATE(B305,"_",C305,H305)</f>
        <v>BHEB_M. nasutus4</v>
      </c>
      <c r="J305" s="22" t="n">
        <v>44673</v>
      </c>
      <c r="K305" s="23" t="n">
        <v>0.451388888888889</v>
      </c>
      <c r="L305" s="22" t="n">
        <v>44674</v>
      </c>
      <c r="M305" s="23" t="n">
        <v>0.585416666666667</v>
      </c>
      <c r="O305" s="1" t="s">
        <v>332</v>
      </c>
      <c r="P305" s="16" t="s">
        <v>304</v>
      </c>
      <c r="Q305" s="16" t="s">
        <v>305</v>
      </c>
      <c r="R305" s="16" t="s">
        <v>306</v>
      </c>
      <c r="S305" s="4" t="s">
        <v>333</v>
      </c>
      <c r="T305" s="24" t="n">
        <v>556</v>
      </c>
      <c r="U305" s="18" t="n">
        <v>15.1</v>
      </c>
      <c r="V305" s="24" t="n">
        <v>0.45</v>
      </c>
      <c r="W305" s="2" t="n">
        <v>0.5</v>
      </c>
      <c r="Z305" s="18"/>
      <c r="AA305" s="20"/>
      <c r="AB305" s="20"/>
      <c r="AC305" s="19" t="e">
        <f aca="false">(AB305-AA305)/AB305</f>
        <v>#DIV/0!</v>
      </c>
    </row>
    <row r="306" customFormat="false" ht="14.25" hidden="false" customHeight="true" outlineLevel="0" collapsed="false">
      <c r="A306" s="18" t="s">
        <v>302</v>
      </c>
      <c r="B306" s="18" t="s">
        <v>302</v>
      </c>
      <c r="C306" s="18" t="s">
        <v>159</v>
      </c>
      <c r="E306" s="2" t="n">
        <f aca="false">INDEX(FieldSites!F:F, MATCH(Ch2_FieldSurvey!B306,FieldSites!C:C,0))</f>
        <v>1209</v>
      </c>
      <c r="F306" s="2" t="n">
        <f aca="false">INDEX(FieldSites!G:G, MATCH(Ch2_FieldSurvey!B306,FieldSites!C:C,0))</f>
        <v>-119.393233</v>
      </c>
      <c r="G306" s="2" t="n">
        <f aca="false">INDEX(FieldSites!H:H, MATCH(Ch2_FieldSurvey!B306,FieldSites!C:C,0))</f>
        <v>37.053544</v>
      </c>
      <c r="H306" s="18" t="n">
        <v>5</v>
      </c>
      <c r="I306" s="21" t="str">
        <f aca="false">CONCATENATE(B306,"_",C306,H306)</f>
        <v>BHEB_M. nasutus5</v>
      </c>
      <c r="J306" s="22" t="n">
        <v>44673</v>
      </c>
      <c r="K306" s="23" t="n">
        <v>0.451388888888889</v>
      </c>
      <c r="L306" s="22" t="n">
        <v>44674</v>
      </c>
      <c r="M306" s="23" t="n">
        <v>0.588194444444445</v>
      </c>
      <c r="O306" s="1" t="s">
        <v>334</v>
      </c>
      <c r="P306" s="16" t="s">
        <v>304</v>
      </c>
      <c r="Q306" s="16" t="s">
        <v>305</v>
      </c>
      <c r="R306" s="16" t="s">
        <v>306</v>
      </c>
      <c r="S306" s="4" t="s">
        <v>335</v>
      </c>
      <c r="T306" s="24" t="n">
        <v>704</v>
      </c>
      <c r="U306" s="18" t="n">
        <v>19</v>
      </c>
      <c r="V306" s="24" t="n">
        <v>0.25</v>
      </c>
      <c r="W306" s="2" t="n">
        <v>0.5</v>
      </c>
      <c r="Z306" s="18"/>
      <c r="AA306" s="20" t="n">
        <v>893027</v>
      </c>
      <c r="AB306" s="20" t="n">
        <v>952347</v>
      </c>
      <c r="AC306" s="19" t="n">
        <f aca="false">(AB306-AA306)/AB306</f>
        <v>0.0622882205750635</v>
      </c>
    </row>
    <row r="307" customFormat="false" ht="14.25" hidden="false" customHeight="true" outlineLevel="0" collapsed="false">
      <c r="A307" s="18" t="s">
        <v>302</v>
      </c>
      <c r="B307" s="18" t="s">
        <v>302</v>
      </c>
      <c r="C307" s="18" t="s">
        <v>159</v>
      </c>
      <c r="E307" s="2" t="n">
        <f aca="false">INDEX(FieldSites!F:F, MATCH(Ch2_FieldSurvey!B307,FieldSites!C:C,0))</f>
        <v>1209</v>
      </c>
      <c r="F307" s="2" t="n">
        <f aca="false">INDEX(FieldSites!G:G, MATCH(Ch2_FieldSurvey!B307,FieldSites!C:C,0))</f>
        <v>-119.393233</v>
      </c>
      <c r="G307" s="2" t="n">
        <f aca="false">INDEX(FieldSites!H:H, MATCH(Ch2_FieldSurvey!B307,FieldSites!C:C,0))</f>
        <v>37.053544</v>
      </c>
      <c r="H307" s="18" t="n">
        <v>5</v>
      </c>
      <c r="I307" s="21" t="str">
        <f aca="false">CONCATENATE(B307,"_",C307,H307)</f>
        <v>BHEB_M. nasutus5</v>
      </c>
      <c r="J307" s="22" t="n">
        <v>44673</v>
      </c>
      <c r="K307" s="23" t="n">
        <v>0.451388888888889</v>
      </c>
      <c r="L307" s="22" t="n">
        <v>44674</v>
      </c>
      <c r="M307" s="23" t="n">
        <v>0.588194444444445</v>
      </c>
      <c r="O307" s="1" t="s">
        <v>334</v>
      </c>
      <c r="P307" s="16" t="s">
        <v>304</v>
      </c>
      <c r="Q307" s="16" t="s">
        <v>305</v>
      </c>
      <c r="R307" s="16" t="s">
        <v>306</v>
      </c>
      <c r="S307" s="4" t="s">
        <v>335</v>
      </c>
      <c r="T307" s="24" t="n">
        <v>624</v>
      </c>
      <c r="U307" s="18" t="n">
        <v>11.4</v>
      </c>
      <c r="V307" s="24" t="n">
        <v>0.43</v>
      </c>
      <c r="W307" s="2" t="n">
        <v>0.4</v>
      </c>
      <c r="Z307" s="18"/>
      <c r="AA307" s="20"/>
      <c r="AB307" s="20"/>
      <c r="AC307" s="19" t="e">
        <f aca="false">(AB307-AA307)/AB307</f>
        <v>#DIV/0!</v>
      </c>
    </row>
    <row r="308" customFormat="false" ht="14.25" hidden="false" customHeight="true" outlineLevel="0" collapsed="false">
      <c r="A308" s="18" t="s">
        <v>302</v>
      </c>
      <c r="B308" s="18" t="s">
        <v>302</v>
      </c>
      <c r="C308" s="18" t="s">
        <v>159</v>
      </c>
      <c r="E308" s="2" t="n">
        <f aca="false">INDEX(FieldSites!F:F, MATCH(Ch2_FieldSurvey!B308,FieldSites!C:C,0))</f>
        <v>1209</v>
      </c>
      <c r="F308" s="2" t="n">
        <f aca="false">INDEX(FieldSites!G:G, MATCH(Ch2_FieldSurvey!B308,FieldSites!C:C,0))</f>
        <v>-119.393233</v>
      </c>
      <c r="G308" s="2" t="n">
        <f aca="false">INDEX(FieldSites!H:H, MATCH(Ch2_FieldSurvey!B308,FieldSites!C:C,0))</f>
        <v>37.053544</v>
      </c>
      <c r="H308" s="18" t="n">
        <v>5</v>
      </c>
      <c r="I308" s="21" t="str">
        <f aca="false">CONCATENATE(B308,"_",C308,H308)</f>
        <v>BHEB_M. nasutus5</v>
      </c>
      <c r="J308" s="22" t="n">
        <v>44673</v>
      </c>
      <c r="K308" s="23" t="n">
        <v>0.451388888888889</v>
      </c>
      <c r="L308" s="22" t="n">
        <v>44674</v>
      </c>
      <c r="M308" s="23" t="n">
        <v>0.588194444444445</v>
      </c>
      <c r="O308" s="1" t="s">
        <v>334</v>
      </c>
      <c r="P308" s="16" t="s">
        <v>304</v>
      </c>
      <c r="Q308" s="16" t="s">
        <v>305</v>
      </c>
      <c r="R308" s="16" t="s">
        <v>306</v>
      </c>
      <c r="S308" s="4" t="s">
        <v>335</v>
      </c>
      <c r="T308" s="24" t="n">
        <v>570</v>
      </c>
      <c r="U308" s="18" t="n">
        <v>18.7</v>
      </c>
      <c r="V308" s="24" t="n">
        <v>0.48</v>
      </c>
      <c r="W308" s="2" t="n">
        <v>0.3</v>
      </c>
      <c r="Z308" s="18"/>
      <c r="AA308" s="20"/>
      <c r="AB308" s="20"/>
      <c r="AC308" s="19" t="e">
        <f aca="false">(AB308-AA308)/AB308</f>
        <v>#DIV/0!</v>
      </c>
    </row>
    <row r="309" customFormat="false" ht="14.25" hidden="false" customHeight="true" outlineLevel="0" collapsed="false">
      <c r="A309" s="18" t="s">
        <v>302</v>
      </c>
      <c r="B309" s="18" t="s">
        <v>302</v>
      </c>
      <c r="C309" s="18" t="s">
        <v>159</v>
      </c>
      <c r="E309" s="2" t="n">
        <f aca="false">INDEX(FieldSites!F:F, MATCH(Ch2_FieldSurvey!B309,FieldSites!C:C,0))</f>
        <v>1209</v>
      </c>
      <c r="F309" s="2" t="n">
        <f aca="false">INDEX(FieldSites!G:G, MATCH(Ch2_FieldSurvey!B309,FieldSites!C:C,0))</f>
        <v>-119.393233</v>
      </c>
      <c r="G309" s="2" t="n">
        <f aca="false">INDEX(FieldSites!H:H, MATCH(Ch2_FieldSurvey!B309,FieldSites!C:C,0))</f>
        <v>37.053544</v>
      </c>
      <c r="H309" s="18" t="n">
        <v>6</v>
      </c>
      <c r="I309" s="21" t="str">
        <f aca="false">CONCATENATE(B309,"_",C309,H309)</f>
        <v>BHEB_M. nasutus6</v>
      </c>
      <c r="J309" s="22" t="n">
        <v>44673</v>
      </c>
      <c r="K309" s="23" t="n">
        <v>0.451388888888889</v>
      </c>
      <c r="L309" s="22" t="n">
        <v>44674</v>
      </c>
      <c r="M309" s="23" t="n">
        <v>0.593055555555556</v>
      </c>
      <c r="O309" s="1" t="s">
        <v>336</v>
      </c>
      <c r="P309" s="16" t="s">
        <v>304</v>
      </c>
      <c r="Q309" s="16" t="s">
        <v>305</v>
      </c>
      <c r="R309" s="16" t="s">
        <v>306</v>
      </c>
      <c r="S309" s="4" t="s">
        <v>337</v>
      </c>
      <c r="T309" s="24" t="n">
        <v>535</v>
      </c>
      <c r="U309" s="18" t="n">
        <v>11.1</v>
      </c>
      <c r="V309" s="24" t="n">
        <v>0.47</v>
      </c>
      <c r="W309" s="2" t="n">
        <v>0.4</v>
      </c>
      <c r="Z309" s="18"/>
      <c r="AA309" s="20" t="n">
        <v>957351</v>
      </c>
      <c r="AB309" s="20" t="n">
        <v>1081142</v>
      </c>
      <c r="AC309" s="19" t="n">
        <f aca="false">(AB309-AA309)/AB309</f>
        <v>0.114500222912439</v>
      </c>
    </row>
    <row r="310" customFormat="false" ht="14.25" hidden="false" customHeight="true" outlineLevel="0" collapsed="false">
      <c r="A310" s="18" t="s">
        <v>302</v>
      </c>
      <c r="B310" s="18" t="s">
        <v>302</v>
      </c>
      <c r="C310" s="18" t="s">
        <v>159</v>
      </c>
      <c r="E310" s="2" t="n">
        <f aca="false">INDEX(FieldSites!F:F, MATCH(Ch2_FieldSurvey!B310,FieldSites!C:C,0))</f>
        <v>1209</v>
      </c>
      <c r="F310" s="2" t="n">
        <f aca="false">INDEX(FieldSites!G:G, MATCH(Ch2_FieldSurvey!B310,FieldSites!C:C,0))</f>
        <v>-119.393233</v>
      </c>
      <c r="G310" s="2" t="n">
        <f aca="false">INDEX(FieldSites!H:H, MATCH(Ch2_FieldSurvey!B310,FieldSites!C:C,0))</f>
        <v>37.053544</v>
      </c>
      <c r="H310" s="18" t="n">
        <v>6</v>
      </c>
      <c r="I310" s="21" t="str">
        <f aca="false">CONCATENATE(B310,"_",C310,H310)</f>
        <v>BHEB_M. nasutus6</v>
      </c>
      <c r="J310" s="22" t="n">
        <v>44673</v>
      </c>
      <c r="K310" s="23" t="n">
        <v>0.451388888888889</v>
      </c>
      <c r="L310" s="22" t="n">
        <v>44674</v>
      </c>
      <c r="M310" s="23" t="n">
        <v>0.593055555555556</v>
      </c>
      <c r="O310" s="1" t="s">
        <v>336</v>
      </c>
      <c r="P310" s="16" t="s">
        <v>304</v>
      </c>
      <c r="Q310" s="16" t="s">
        <v>305</v>
      </c>
      <c r="R310" s="16" t="s">
        <v>306</v>
      </c>
      <c r="S310" s="4" t="s">
        <v>337</v>
      </c>
      <c r="T310" s="24" t="n">
        <v>680</v>
      </c>
      <c r="U310" s="18" t="n">
        <v>5.4</v>
      </c>
      <c r="V310" s="24" t="n">
        <v>0.48</v>
      </c>
      <c r="W310" s="2" t="n">
        <v>0.4</v>
      </c>
      <c r="Z310" s="18"/>
      <c r="AA310" s="20"/>
      <c r="AB310" s="20"/>
      <c r="AC310" s="19" t="e">
        <f aca="false">(AB310-AA310)/AB310</f>
        <v>#DIV/0!</v>
      </c>
    </row>
    <row r="311" customFormat="false" ht="14.25" hidden="false" customHeight="true" outlineLevel="0" collapsed="false">
      <c r="A311" s="18" t="s">
        <v>302</v>
      </c>
      <c r="B311" s="18" t="s">
        <v>302</v>
      </c>
      <c r="C311" s="18" t="s">
        <v>159</v>
      </c>
      <c r="E311" s="2" t="n">
        <f aca="false">INDEX(FieldSites!F:F, MATCH(Ch2_FieldSurvey!B311,FieldSites!C:C,0))</f>
        <v>1209</v>
      </c>
      <c r="F311" s="2" t="n">
        <f aca="false">INDEX(FieldSites!G:G, MATCH(Ch2_FieldSurvey!B311,FieldSites!C:C,0))</f>
        <v>-119.393233</v>
      </c>
      <c r="G311" s="2" t="n">
        <f aca="false">INDEX(FieldSites!H:H, MATCH(Ch2_FieldSurvey!B311,FieldSites!C:C,0))</f>
        <v>37.053544</v>
      </c>
      <c r="H311" s="18" t="n">
        <v>6</v>
      </c>
      <c r="I311" s="21" t="str">
        <f aca="false">CONCATENATE(B311,"_",C311,H311)</f>
        <v>BHEB_M. nasutus6</v>
      </c>
      <c r="J311" s="22" t="n">
        <v>44673</v>
      </c>
      <c r="K311" s="23" t="n">
        <v>0.451388888888889</v>
      </c>
      <c r="L311" s="22" t="n">
        <v>44674</v>
      </c>
      <c r="M311" s="23" t="n">
        <v>0.593055555555556</v>
      </c>
      <c r="O311" s="1" t="s">
        <v>336</v>
      </c>
      <c r="P311" s="16" t="s">
        <v>304</v>
      </c>
      <c r="Q311" s="16" t="s">
        <v>305</v>
      </c>
      <c r="R311" s="16" t="s">
        <v>306</v>
      </c>
      <c r="S311" s="4" t="s">
        <v>337</v>
      </c>
      <c r="T311" s="24" t="n">
        <v>670</v>
      </c>
      <c r="U311" s="18" t="n">
        <v>7.8</v>
      </c>
      <c r="V311" s="24" t="n">
        <v>0.64</v>
      </c>
      <c r="W311" s="2" t="n">
        <v>0.4</v>
      </c>
      <c r="Z311" s="18"/>
      <c r="AA311" s="20"/>
      <c r="AB311" s="20"/>
      <c r="AC311" s="19" t="e">
        <f aca="false">(AB311-AA311)/AB311</f>
        <v>#DIV/0!</v>
      </c>
    </row>
    <row r="312" customFormat="false" ht="14.25" hidden="false" customHeight="true" outlineLevel="0" collapsed="false">
      <c r="A312" s="18" t="s">
        <v>302</v>
      </c>
      <c r="B312" s="18" t="s">
        <v>302</v>
      </c>
      <c r="C312" s="18" t="s">
        <v>159</v>
      </c>
      <c r="E312" s="2" t="n">
        <f aca="false">INDEX(FieldSites!F:F, MATCH(Ch2_FieldSurvey!B312,FieldSites!C:C,0))</f>
        <v>1209</v>
      </c>
      <c r="F312" s="2" t="n">
        <f aca="false">INDEX(FieldSites!G:G, MATCH(Ch2_FieldSurvey!B312,FieldSites!C:C,0))</f>
        <v>-119.393233</v>
      </c>
      <c r="G312" s="2" t="n">
        <f aca="false">INDEX(FieldSites!H:H, MATCH(Ch2_FieldSurvey!B312,FieldSites!C:C,0))</f>
        <v>37.053544</v>
      </c>
      <c r="H312" s="18" t="n">
        <v>7</v>
      </c>
      <c r="I312" s="21" t="str">
        <f aca="false">CONCATENATE(B312,"_",C312,H312)</f>
        <v>BHEB_M. nasutus7</v>
      </c>
      <c r="J312" s="22" t="n">
        <v>44673</v>
      </c>
      <c r="K312" s="23" t="n">
        <v>0.451388888888889</v>
      </c>
      <c r="L312" s="22" t="n">
        <v>44674</v>
      </c>
      <c r="M312" s="23" t="n">
        <v>0.597222222222222</v>
      </c>
      <c r="O312" s="1" t="s">
        <v>338</v>
      </c>
      <c r="P312" s="16" t="s">
        <v>304</v>
      </c>
      <c r="Q312" s="16" t="s">
        <v>305</v>
      </c>
      <c r="R312" s="16" t="s">
        <v>306</v>
      </c>
      <c r="S312" s="4" t="s">
        <v>339</v>
      </c>
      <c r="T312" s="24" t="n">
        <v>570</v>
      </c>
      <c r="U312" s="18" t="n">
        <v>30.5</v>
      </c>
      <c r="V312" s="24" t="n">
        <v>0.47</v>
      </c>
      <c r="W312" s="2" t="n">
        <v>0.4</v>
      </c>
      <c r="Z312" s="18"/>
      <c r="AA312" s="20" t="n">
        <v>314629</v>
      </c>
      <c r="AB312" s="20" t="n">
        <v>335095</v>
      </c>
      <c r="AC312" s="19" t="n">
        <f aca="false">(AB312-AA312)/AB312</f>
        <v>0.0610752174756412</v>
      </c>
    </row>
    <row r="313" customFormat="false" ht="14.25" hidden="false" customHeight="true" outlineLevel="0" collapsed="false">
      <c r="A313" s="18" t="s">
        <v>302</v>
      </c>
      <c r="B313" s="18" t="s">
        <v>302</v>
      </c>
      <c r="C313" s="18" t="s">
        <v>159</v>
      </c>
      <c r="E313" s="2" t="n">
        <f aca="false">INDEX(FieldSites!F:F, MATCH(Ch2_FieldSurvey!B313,FieldSites!C:C,0))</f>
        <v>1209</v>
      </c>
      <c r="F313" s="2" t="n">
        <f aca="false">INDEX(FieldSites!G:G, MATCH(Ch2_FieldSurvey!B313,FieldSites!C:C,0))</f>
        <v>-119.393233</v>
      </c>
      <c r="G313" s="2" t="n">
        <f aca="false">INDEX(FieldSites!H:H, MATCH(Ch2_FieldSurvey!B313,FieldSites!C:C,0))</f>
        <v>37.053544</v>
      </c>
      <c r="H313" s="18" t="n">
        <v>7</v>
      </c>
      <c r="I313" s="21" t="str">
        <f aca="false">CONCATENATE(B313,"_",C313,H313)</f>
        <v>BHEB_M. nasutus7</v>
      </c>
      <c r="J313" s="22" t="n">
        <v>44673</v>
      </c>
      <c r="K313" s="23" t="n">
        <v>0.451388888888889</v>
      </c>
      <c r="L313" s="22" t="n">
        <v>44674</v>
      </c>
      <c r="M313" s="23" t="n">
        <v>0.597222222222222</v>
      </c>
      <c r="O313" s="1" t="s">
        <v>338</v>
      </c>
      <c r="P313" s="16" t="s">
        <v>304</v>
      </c>
      <c r="Q313" s="16" t="s">
        <v>305</v>
      </c>
      <c r="R313" s="16" t="s">
        <v>306</v>
      </c>
      <c r="S313" s="4" t="s">
        <v>339</v>
      </c>
      <c r="T313" s="24" t="n">
        <v>405</v>
      </c>
      <c r="U313" s="18" t="n">
        <v>17.7</v>
      </c>
      <c r="V313" s="24" t="n">
        <v>0.45</v>
      </c>
      <c r="W313" s="2" t="n">
        <v>0.3</v>
      </c>
      <c r="Z313" s="18"/>
      <c r="AA313" s="20"/>
      <c r="AB313" s="20"/>
      <c r="AC313" s="19" t="e">
        <f aca="false">(AB313-AA313)/AB313</f>
        <v>#DIV/0!</v>
      </c>
    </row>
    <row r="314" customFormat="false" ht="14.25" hidden="false" customHeight="true" outlineLevel="0" collapsed="false">
      <c r="A314" s="18" t="s">
        <v>302</v>
      </c>
      <c r="B314" s="18" t="s">
        <v>302</v>
      </c>
      <c r="C314" s="18" t="s">
        <v>159</v>
      </c>
      <c r="E314" s="2" t="n">
        <f aca="false">INDEX(FieldSites!F:F, MATCH(Ch2_FieldSurvey!B314,FieldSites!C:C,0))</f>
        <v>1209</v>
      </c>
      <c r="F314" s="2" t="n">
        <f aca="false">INDEX(FieldSites!G:G, MATCH(Ch2_FieldSurvey!B314,FieldSites!C:C,0))</f>
        <v>-119.393233</v>
      </c>
      <c r="G314" s="2" t="n">
        <f aca="false">INDEX(FieldSites!H:H, MATCH(Ch2_FieldSurvey!B314,FieldSites!C:C,0))</f>
        <v>37.053544</v>
      </c>
      <c r="H314" s="18" t="n">
        <v>7</v>
      </c>
      <c r="I314" s="21" t="str">
        <f aca="false">CONCATENATE(B314,"_",C314,H314)</f>
        <v>BHEB_M. nasutus7</v>
      </c>
      <c r="J314" s="22" t="n">
        <v>44673</v>
      </c>
      <c r="K314" s="23" t="n">
        <v>0.451388888888889</v>
      </c>
      <c r="L314" s="22" t="n">
        <v>44674</v>
      </c>
      <c r="M314" s="23" t="n">
        <v>0.597222222222222</v>
      </c>
      <c r="O314" s="1" t="s">
        <v>338</v>
      </c>
      <c r="P314" s="16" t="s">
        <v>304</v>
      </c>
      <c r="Q314" s="16" t="s">
        <v>305</v>
      </c>
      <c r="R314" s="16" t="s">
        <v>306</v>
      </c>
      <c r="S314" s="4" t="s">
        <v>339</v>
      </c>
      <c r="T314" s="24" t="n">
        <v>384</v>
      </c>
      <c r="U314" s="18" t="n">
        <v>15.2</v>
      </c>
      <c r="V314" s="24" t="n">
        <v>0.44</v>
      </c>
      <c r="W314" s="2" t="n">
        <v>0.6</v>
      </c>
      <c r="Z314" s="18"/>
      <c r="AA314" s="20"/>
      <c r="AB314" s="20"/>
      <c r="AC314" s="19" t="e">
        <f aca="false">(AB314-AA314)/AB314</f>
        <v>#DIV/0!</v>
      </c>
    </row>
    <row r="315" customFormat="false" ht="14.25" hidden="false" customHeight="true" outlineLevel="0" collapsed="false">
      <c r="A315" s="18" t="s">
        <v>302</v>
      </c>
      <c r="B315" s="18" t="s">
        <v>302</v>
      </c>
      <c r="C315" s="18" t="s">
        <v>159</v>
      </c>
      <c r="E315" s="2" t="n">
        <f aca="false">INDEX(FieldSites!F:F, MATCH(Ch2_FieldSurvey!B315,FieldSites!C:C,0))</f>
        <v>1209</v>
      </c>
      <c r="F315" s="2" t="n">
        <f aca="false">INDEX(FieldSites!G:G, MATCH(Ch2_FieldSurvey!B315,FieldSites!C:C,0))</f>
        <v>-119.393233</v>
      </c>
      <c r="G315" s="2" t="n">
        <f aca="false">INDEX(FieldSites!H:H, MATCH(Ch2_FieldSurvey!B315,FieldSites!C:C,0))</f>
        <v>37.053544</v>
      </c>
      <c r="H315" s="18" t="n">
        <v>8</v>
      </c>
      <c r="I315" s="21" t="str">
        <f aca="false">CONCATENATE(B315,"_",C315,H315)</f>
        <v>BHEB_M. nasutus8</v>
      </c>
      <c r="J315" s="22" t="n">
        <v>44673</v>
      </c>
      <c r="K315" s="23" t="n">
        <v>0.451388888888889</v>
      </c>
      <c r="L315" s="22" t="n">
        <v>44674</v>
      </c>
      <c r="M315" s="23" t="n">
        <v>0.602777777777778</v>
      </c>
      <c r="O315" s="1" t="s">
        <v>340</v>
      </c>
      <c r="P315" s="16" t="s">
        <v>304</v>
      </c>
      <c r="Q315" s="16" t="s">
        <v>305</v>
      </c>
      <c r="R315" s="16" t="s">
        <v>306</v>
      </c>
      <c r="S315" s="4" t="s">
        <v>341</v>
      </c>
      <c r="T315" s="24" t="n">
        <v>510</v>
      </c>
      <c r="U315" s="18" t="n">
        <v>4</v>
      </c>
      <c r="V315" s="24" t="n">
        <v>0.32</v>
      </c>
      <c r="W315" s="2" t="n">
        <v>0.3</v>
      </c>
      <c r="Z315" s="18"/>
      <c r="AA315" s="20" t="n">
        <v>853016</v>
      </c>
      <c r="AB315" s="20" t="n">
        <v>942457</v>
      </c>
      <c r="AC315" s="19" t="n">
        <f aca="false">(AB315-AA315)/AB315</f>
        <v>0.0949019424758902</v>
      </c>
    </row>
    <row r="316" customFormat="false" ht="14.25" hidden="false" customHeight="true" outlineLevel="0" collapsed="false">
      <c r="A316" s="18" t="s">
        <v>302</v>
      </c>
      <c r="B316" s="18" t="s">
        <v>302</v>
      </c>
      <c r="C316" s="18" t="s">
        <v>159</v>
      </c>
      <c r="E316" s="2" t="n">
        <f aca="false">INDEX(FieldSites!F:F, MATCH(Ch2_FieldSurvey!B316,FieldSites!C:C,0))</f>
        <v>1209</v>
      </c>
      <c r="F316" s="2" t="n">
        <f aca="false">INDEX(FieldSites!G:G, MATCH(Ch2_FieldSurvey!B316,FieldSites!C:C,0))</f>
        <v>-119.393233</v>
      </c>
      <c r="G316" s="2" t="n">
        <f aca="false">INDEX(FieldSites!H:H, MATCH(Ch2_FieldSurvey!B316,FieldSites!C:C,0))</f>
        <v>37.053544</v>
      </c>
      <c r="H316" s="18" t="n">
        <v>8</v>
      </c>
      <c r="I316" s="21" t="str">
        <f aca="false">CONCATENATE(B316,"_",C316,H316)</f>
        <v>BHEB_M. nasutus8</v>
      </c>
      <c r="J316" s="22" t="n">
        <v>44673</v>
      </c>
      <c r="K316" s="23" t="n">
        <v>0.451388888888889</v>
      </c>
      <c r="L316" s="22" t="n">
        <v>44674</v>
      </c>
      <c r="M316" s="23" t="n">
        <v>0.602777777777778</v>
      </c>
      <c r="O316" s="1" t="s">
        <v>340</v>
      </c>
      <c r="P316" s="16" t="s">
        <v>304</v>
      </c>
      <c r="Q316" s="16" t="s">
        <v>305</v>
      </c>
      <c r="R316" s="16" t="s">
        <v>306</v>
      </c>
      <c r="S316" s="4" t="s">
        <v>341</v>
      </c>
      <c r="T316" s="24" t="n">
        <v>427</v>
      </c>
      <c r="U316" s="18" t="n">
        <v>5.8</v>
      </c>
      <c r="V316" s="24" t="n">
        <v>0.19</v>
      </c>
      <c r="W316" s="2" t="n">
        <v>0.2</v>
      </c>
      <c r="Z316" s="18"/>
      <c r="AA316" s="20"/>
      <c r="AB316" s="20"/>
      <c r="AC316" s="19" t="e">
        <f aca="false">(AB316-AA316)/AB316</f>
        <v>#DIV/0!</v>
      </c>
    </row>
    <row r="317" customFormat="false" ht="14.25" hidden="false" customHeight="true" outlineLevel="0" collapsed="false">
      <c r="A317" s="18" t="s">
        <v>302</v>
      </c>
      <c r="B317" s="18" t="s">
        <v>302</v>
      </c>
      <c r="C317" s="18" t="s">
        <v>159</v>
      </c>
      <c r="E317" s="2" t="n">
        <f aca="false">INDEX(FieldSites!F:F, MATCH(Ch2_FieldSurvey!B317,FieldSites!C:C,0))</f>
        <v>1209</v>
      </c>
      <c r="F317" s="2" t="n">
        <f aca="false">INDEX(FieldSites!G:G, MATCH(Ch2_FieldSurvey!B317,FieldSites!C:C,0))</f>
        <v>-119.393233</v>
      </c>
      <c r="G317" s="2" t="n">
        <f aca="false">INDEX(FieldSites!H:H, MATCH(Ch2_FieldSurvey!B317,FieldSites!C:C,0))</f>
        <v>37.053544</v>
      </c>
      <c r="H317" s="18" t="n">
        <v>8</v>
      </c>
      <c r="I317" s="21" t="str">
        <f aca="false">CONCATENATE(B317,"_",C317,H317)</f>
        <v>BHEB_M. nasutus8</v>
      </c>
      <c r="J317" s="22" t="n">
        <v>44673</v>
      </c>
      <c r="K317" s="23" t="n">
        <v>0.451388888888889</v>
      </c>
      <c r="L317" s="22" t="n">
        <v>44674</v>
      </c>
      <c r="M317" s="23" t="n">
        <v>0.602777777777778</v>
      </c>
      <c r="O317" s="1" t="s">
        <v>340</v>
      </c>
      <c r="P317" s="16" t="s">
        <v>304</v>
      </c>
      <c r="Q317" s="16" t="s">
        <v>305</v>
      </c>
      <c r="R317" s="16" t="s">
        <v>306</v>
      </c>
      <c r="S317" s="4" t="s">
        <v>341</v>
      </c>
      <c r="T317" s="24" t="n">
        <v>433</v>
      </c>
      <c r="U317" s="18" t="n">
        <v>5.3</v>
      </c>
      <c r="V317" s="24" t="n">
        <v>0.17</v>
      </c>
      <c r="W317" s="2" t="n">
        <v>0.3</v>
      </c>
      <c r="Z317" s="18"/>
      <c r="AA317" s="20"/>
      <c r="AB317" s="20"/>
      <c r="AC317" s="19" t="e">
        <f aca="false">(AB317-AA317)/AB317</f>
        <v>#DIV/0!</v>
      </c>
    </row>
    <row r="318" customFormat="false" ht="14.25" hidden="false" customHeight="true" outlineLevel="0" collapsed="false">
      <c r="A318" s="18" t="s">
        <v>342</v>
      </c>
      <c r="B318" s="18" t="s">
        <v>342</v>
      </c>
      <c r="C318" s="18" t="s">
        <v>159</v>
      </c>
      <c r="E318" s="2" t="n">
        <f aca="false">INDEX(FieldSites!F:F, MATCH(Ch2_FieldSurvey!B318,FieldSites!C:C,0))</f>
        <v>1124</v>
      </c>
      <c r="F318" s="2" t="n">
        <f aca="false">INDEX(FieldSites!G:G, MATCH(Ch2_FieldSurvey!B318,FieldSites!C:C,0))</f>
        <v>-119.570677</v>
      </c>
      <c r="G318" s="2" t="n">
        <f aca="false">INDEX(FieldSites!H:H, MATCH(Ch2_FieldSurvey!B318,FieldSites!C:C,0))</f>
        <v>37.33823</v>
      </c>
      <c r="H318" s="18" t="n">
        <v>1</v>
      </c>
      <c r="I318" s="21" t="str">
        <f aca="false">CONCATENATE(B318,"_",C318,H318)</f>
        <v>AGFB_M. nasutus1</v>
      </c>
      <c r="J318" s="22" t="n">
        <v>44673</v>
      </c>
      <c r="K318" s="23"/>
      <c r="L318" s="22" t="n">
        <v>44674</v>
      </c>
      <c r="M318" s="23" t="n">
        <v>0.528472222222222</v>
      </c>
      <c r="O318" s="1" t="s">
        <v>343</v>
      </c>
      <c r="P318" s="16" t="s">
        <v>304</v>
      </c>
      <c r="R318" s="16" t="s">
        <v>306</v>
      </c>
      <c r="S318" s="4" t="s">
        <v>185</v>
      </c>
      <c r="T318" s="25" t="n">
        <v>350</v>
      </c>
      <c r="U318" s="18" t="n">
        <v>4.6</v>
      </c>
      <c r="V318" s="24" t="n">
        <v>0.28</v>
      </c>
      <c r="W318" s="2" t="n">
        <v>0.2</v>
      </c>
      <c r="Z318" s="18"/>
      <c r="AA318" s="20" t="n">
        <v>78800</v>
      </c>
      <c r="AB318" s="20" t="n">
        <v>90411</v>
      </c>
      <c r="AC318" s="19" t="n">
        <f aca="false">(AB318-AA318)/AB318</f>
        <v>0.128424638594861</v>
      </c>
    </row>
    <row r="319" customFormat="false" ht="14.25" hidden="false" customHeight="true" outlineLevel="0" collapsed="false">
      <c r="A319" s="18" t="s">
        <v>342</v>
      </c>
      <c r="B319" s="18" t="s">
        <v>342</v>
      </c>
      <c r="C319" s="18" t="s">
        <v>159</v>
      </c>
      <c r="E319" s="2" t="n">
        <f aca="false">INDEX(FieldSites!F:F, MATCH(Ch2_FieldSurvey!B319,FieldSites!C:C,0))</f>
        <v>1124</v>
      </c>
      <c r="F319" s="2" t="n">
        <f aca="false">INDEX(FieldSites!G:G, MATCH(Ch2_FieldSurvey!B319,FieldSites!C:C,0))</f>
        <v>-119.570677</v>
      </c>
      <c r="G319" s="2" t="n">
        <f aca="false">INDEX(FieldSites!H:H, MATCH(Ch2_FieldSurvey!B319,FieldSites!C:C,0))</f>
        <v>37.33823</v>
      </c>
      <c r="H319" s="18" t="n">
        <v>1</v>
      </c>
      <c r="I319" s="21" t="str">
        <f aca="false">CONCATENATE(B319,"_",C319,H319)</f>
        <v>AGFB_M. nasutus1</v>
      </c>
      <c r="J319" s="22" t="n">
        <v>44673</v>
      </c>
      <c r="K319" s="23"/>
      <c r="L319" s="22" t="n">
        <v>44674</v>
      </c>
      <c r="M319" s="23" t="n">
        <v>0.528472222222222</v>
      </c>
      <c r="O319" s="1" t="s">
        <v>343</v>
      </c>
      <c r="P319" s="16" t="s">
        <v>304</v>
      </c>
      <c r="R319" s="16" t="s">
        <v>306</v>
      </c>
      <c r="S319" s="4" t="s">
        <v>185</v>
      </c>
      <c r="T319" s="25" t="n">
        <v>322</v>
      </c>
      <c r="U319" s="18" t="n">
        <v>4.1</v>
      </c>
      <c r="V319" s="24" t="n">
        <v>0.25</v>
      </c>
      <c r="Z319" s="18"/>
      <c r="AA319" s="20"/>
      <c r="AB319" s="20"/>
      <c r="AC319" s="19" t="e">
        <f aca="false">(AB319-AA319)/AB319</f>
        <v>#DIV/0!</v>
      </c>
    </row>
    <row r="320" customFormat="false" ht="14.25" hidden="false" customHeight="true" outlineLevel="0" collapsed="false">
      <c r="A320" s="18" t="s">
        <v>342</v>
      </c>
      <c r="B320" s="18" t="s">
        <v>342</v>
      </c>
      <c r="C320" s="18" t="s">
        <v>159</v>
      </c>
      <c r="E320" s="2" t="n">
        <f aca="false">INDEX(FieldSites!F:F, MATCH(Ch2_FieldSurvey!B320,FieldSites!C:C,0))</f>
        <v>1124</v>
      </c>
      <c r="F320" s="2" t="n">
        <f aca="false">INDEX(FieldSites!G:G, MATCH(Ch2_FieldSurvey!B320,FieldSites!C:C,0))</f>
        <v>-119.570677</v>
      </c>
      <c r="G320" s="2" t="n">
        <f aca="false">INDEX(FieldSites!H:H, MATCH(Ch2_FieldSurvey!B320,FieldSites!C:C,0))</f>
        <v>37.33823</v>
      </c>
      <c r="H320" s="18" t="n">
        <v>1</v>
      </c>
      <c r="I320" s="21" t="str">
        <f aca="false">CONCATENATE(B320,"_",C320,H320)</f>
        <v>AGFB_M. nasutus1</v>
      </c>
      <c r="J320" s="22" t="n">
        <v>44673</v>
      </c>
      <c r="K320" s="23"/>
      <c r="L320" s="22" t="n">
        <v>44674</v>
      </c>
      <c r="M320" s="23" t="n">
        <v>0.528472222222222</v>
      </c>
      <c r="O320" s="1" t="s">
        <v>343</v>
      </c>
      <c r="P320" s="16" t="s">
        <v>304</v>
      </c>
      <c r="R320" s="16" t="s">
        <v>306</v>
      </c>
      <c r="S320" s="4" t="s">
        <v>185</v>
      </c>
      <c r="T320" s="25" t="n">
        <v>260</v>
      </c>
      <c r="U320" s="18" t="n">
        <v>4.5</v>
      </c>
      <c r="V320" s="24" t="n">
        <v>0.22</v>
      </c>
      <c r="Z320" s="18"/>
      <c r="AA320" s="20"/>
      <c r="AB320" s="20"/>
      <c r="AC320" s="19" t="e">
        <f aca="false">(AB320-AA320)/AB320</f>
        <v>#DIV/0!</v>
      </c>
    </row>
    <row r="321" customFormat="false" ht="14.25" hidden="false" customHeight="true" outlineLevel="0" collapsed="false">
      <c r="A321" s="18" t="s">
        <v>342</v>
      </c>
      <c r="B321" s="18" t="s">
        <v>342</v>
      </c>
      <c r="C321" s="18" t="s">
        <v>159</v>
      </c>
      <c r="E321" s="2" t="n">
        <f aca="false">INDEX(FieldSites!F:F, MATCH(Ch2_FieldSurvey!B321,FieldSites!C:C,0))</f>
        <v>1124</v>
      </c>
      <c r="F321" s="2" t="n">
        <f aca="false">INDEX(FieldSites!G:G, MATCH(Ch2_FieldSurvey!B321,FieldSites!C:C,0))</f>
        <v>-119.570677</v>
      </c>
      <c r="G321" s="2" t="n">
        <f aca="false">INDEX(FieldSites!H:H, MATCH(Ch2_FieldSurvey!B321,FieldSites!C:C,0))</f>
        <v>37.33823</v>
      </c>
      <c r="H321" s="18" t="n">
        <v>2</v>
      </c>
      <c r="I321" s="21" t="str">
        <f aca="false">CONCATENATE(B321,"_",C321,H321)</f>
        <v>AGFB_M. nasutus2</v>
      </c>
      <c r="J321" s="22" t="n">
        <v>44673</v>
      </c>
      <c r="K321" s="23"/>
      <c r="L321" s="22" t="n">
        <v>44674</v>
      </c>
      <c r="M321" s="23" t="n">
        <v>0.614583333333333</v>
      </c>
      <c r="O321" s="1" t="s">
        <v>344</v>
      </c>
      <c r="P321" s="16" t="s">
        <v>304</v>
      </c>
      <c r="R321" s="16" t="s">
        <v>306</v>
      </c>
      <c r="S321" s="4" t="s">
        <v>345</v>
      </c>
      <c r="T321" s="24" t="n">
        <v>260</v>
      </c>
      <c r="U321" s="18" t="n">
        <v>2.5</v>
      </c>
      <c r="V321" s="24" t="n">
        <v>0.25</v>
      </c>
      <c r="W321" s="2" t="n">
        <v>0.1</v>
      </c>
      <c r="Z321" s="18"/>
      <c r="AA321" s="20" t="n">
        <v>71395</v>
      </c>
      <c r="AB321" s="20" t="n">
        <v>82650</v>
      </c>
      <c r="AC321" s="19" t="n">
        <f aca="false">(AB321-AA321)/AB321</f>
        <v>0.136176648517846</v>
      </c>
    </row>
    <row r="322" customFormat="false" ht="14.25" hidden="false" customHeight="true" outlineLevel="0" collapsed="false">
      <c r="A322" s="18" t="s">
        <v>342</v>
      </c>
      <c r="B322" s="18" t="s">
        <v>342</v>
      </c>
      <c r="C322" s="18" t="s">
        <v>159</v>
      </c>
      <c r="E322" s="2" t="n">
        <f aca="false">INDEX(FieldSites!F:F, MATCH(Ch2_FieldSurvey!B322,FieldSites!C:C,0))</f>
        <v>1124</v>
      </c>
      <c r="F322" s="2" t="n">
        <f aca="false">INDEX(FieldSites!G:G, MATCH(Ch2_FieldSurvey!B322,FieldSites!C:C,0))</f>
        <v>-119.570677</v>
      </c>
      <c r="G322" s="2" t="n">
        <f aca="false">INDEX(FieldSites!H:H, MATCH(Ch2_FieldSurvey!B322,FieldSites!C:C,0))</f>
        <v>37.33823</v>
      </c>
      <c r="H322" s="18" t="n">
        <v>2</v>
      </c>
      <c r="I322" s="21" t="str">
        <f aca="false">CONCATENATE(B322,"_",C322,H322)</f>
        <v>AGFB_M. nasutus2</v>
      </c>
      <c r="J322" s="22" t="n">
        <v>44673</v>
      </c>
      <c r="K322" s="23"/>
      <c r="L322" s="22" t="n">
        <v>44674</v>
      </c>
      <c r="M322" s="23" t="n">
        <v>0.614583333333333</v>
      </c>
      <c r="O322" s="1" t="s">
        <v>344</v>
      </c>
      <c r="P322" s="16" t="s">
        <v>304</v>
      </c>
      <c r="R322" s="16" t="s">
        <v>306</v>
      </c>
      <c r="S322" s="4" t="s">
        <v>345</v>
      </c>
      <c r="T322" s="24" t="n">
        <v>430</v>
      </c>
      <c r="U322" s="18" t="n">
        <v>2.6</v>
      </c>
      <c r="V322" s="24" t="n">
        <v>0.21</v>
      </c>
      <c r="Z322" s="18"/>
      <c r="AA322" s="20"/>
      <c r="AB322" s="20"/>
      <c r="AC322" s="19" t="e">
        <f aca="false">(AB322-AA322)/AB322</f>
        <v>#DIV/0!</v>
      </c>
    </row>
    <row r="323" customFormat="false" ht="14.25" hidden="false" customHeight="true" outlineLevel="0" collapsed="false">
      <c r="A323" s="18" t="s">
        <v>342</v>
      </c>
      <c r="B323" s="18" t="s">
        <v>342</v>
      </c>
      <c r="C323" s="18" t="s">
        <v>159</v>
      </c>
      <c r="E323" s="2" t="n">
        <f aca="false">INDEX(FieldSites!F:F, MATCH(Ch2_FieldSurvey!B323,FieldSites!C:C,0))</f>
        <v>1124</v>
      </c>
      <c r="F323" s="2" t="n">
        <f aca="false">INDEX(FieldSites!G:G, MATCH(Ch2_FieldSurvey!B323,FieldSites!C:C,0))</f>
        <v>-119.570677</v>
      </c>
      <c r="G323" s="2" t="n">
        <f aca="false">INDEX(FieldSites!H:H, MATCH(Ch2_FieldSurvey!B323,FieldSites!C:C,0))</f>
        <v>37.33823</v>
      </c>
      <c r="H323" s="18" t="n">
        <v>2</v>
      </c>
      <c r="I323" s="21" t="str">
        <f aca="false">CONCATENATE(B323,"_",C323,H323)</f>
        <v>AGFB_M. nasutus2</v>
      </c>
      <c r="J323" s="22" t="n">
        <v>44673</v>
      </c>
      <c r="K323" s="23"/>
      <c r="L323" s="22" t="n">
        <v>44674</v>
      </c>
      <c r="M323" s="23" t="n">
        <v>0.614583333333333</v>
      </c>
      <c r="O323" s="1" t="s">
        <v>344</v>
      </c>
      <c r="P323" s="16" t="s">
        <v>304</v>
      </c>
      <c r="R323" s="16" t="s">
        <v>306</v>
      </c>
      <c r="S323" s="4" t="s">
        <v>345</v>
      </c>
      <c r="T323" s="24" t="n">
        <v>385</v>
      </c>
      <c r="U323" s="18" t="n">
        <v>6</v>
      </c>
      <c r="V323" s="24" t="n">
        <v>0.23</v>
      </c>
      <c r="Z323" s="18"/>
      <c r="AA323" s="20"/>
      <c r="AB323" s="20"/>
      <c r="AC323" s="19" t="e">
        <f aca="false">(AB323-AA323)/AB323</f>
        <v>#DIV/0!</v>
      </c>
    </row>
    <row r="324" customFormat="false" ht="14.25" hidden="false" customHeight="true" outlineLevel="0" collapsed="false">
      <c r="A324" s="18" t="s">
        <v>342</v>
      </c>
      <c r="B324" s="18" t="s">
        <v>342</v>
      </c>
      <c r="C324" s="18" t="s">
        <v>159</v>
      </c>
      <c r="E324" s="2" t="n">
        <f aca="false">INDEX(FieldSites!F:F, MATCH(Ch2_FieldSurvey!B324,FieldSites!C:C,0))</f>
        <v>1124</v>
      </c>
      <c r="F324" s="2" t="n">
        <f aca="false">INDEX(FieldSites!G:G, MATCH(Ch2_FieldSurvey!B324,FieldSites!C:C,0))</f>
        <v>-119.570677</v>
      </c>
      <c r="G324" s="2" t="n">
        <f aca="false">INDEX(FieldSites!H:H, MATCH(Ch2_FieldSurvey!B324,FieldSites!C:C,0))</f>
        <v>37.33823</v>
      </c>
      <c r="H324" s="18" t="n">
        <v>3</v>
      </c>
      <c r="I324" s="21" t="str">
        <f aca="false">CONCATENATE(B324,"_",C324,H324)</f>
        <v>AGFB_M. nasutus3</v>
      </c>
      <c r="J324" s="22" t="n">
        <v>44673</v>
      </c>
      <c r="K324" s="23"/>
      <c r="L324" s="22" t="n">
        <v>44674</v>
      </c>
      <c r="M324" s="23" t="n">
        <v>0.620138888888889</v>
      </c>
      <c r="O324" s="1" t="s">
        <v>346</v>
      </c>
      <c r="P324" s="16" t="s">
        <v>304</v>
      </c>
      <c r="R324" s="16" t="s">
        <v>306</v>
      </c>
      <c r="S324" s="4" t="s">
        <v>347</v>
      </c>
      <c r="T324" s="24" t="n">
        <v>462</v>
      </c>
      <c r="U324" s="18" t="n">
        <v>4.2</v>
      </c>
      <c r="V324" s="24" t="n">
        <v>0.28</v>
      </c>
      <c r="W324" s="2" t="n">
        <v>0.2</v>
      </c>
      <c r="Z324" s="18"/>
      <c r="AA324" s="20" t="n">
        <v>117550</v>
      </c>
      <c r="AB324" s="20" t="n">
        <v>140416</v>
      </c>
      <c r="AC324" s="19" t="n">
        <f aca="false">(AB324-AA324)/AB324</f>
        <v>0.16284469006381</v>
      </c>
    </row>
    <row r="325" customFormat="false" ht="14.25" hidden="false" customHeight="true" outlineLevel="0" collapsed="false">
      <c r="A325" s="18" t="s">
        <v>342</v>
      </c>
      <c r="B325" s="18" t="s">
        <v>342</v>
      </c>
      <c r="C325" s="18" t="s">
        <v>159</v>
      </c>
      <c r="E325" s="2" t="n">
        <f aca="false">INDEX(FieldSites!F:F, MATCH(Ch2_FieldSurvey!B325,FieldSites!C:C,0))</f>
        <v>1124</v>
      </c>
      <c r="F325" s="2" t="n">
        <f aca="false">INDEX(FieldSites!G:G, MATCH(Ch2_FieldSurvey!B325,FieldSites!C:C,0))</f>
        <v>-119.570677</v>
      </c>
      <c r="G325" s="2" t="n">
        <f aca="false">INDEX(FieldSites!H:H, MATCH(Ch2_FieldSurvey!B325,FieldSites!C:C,0))</f>
        <v>37.33823</v>
      </c>
      <c r="H325" s="18" t="n">
        <v>3</v>
      </c>
      <c r="I325" s="21" t="str">
        <f aca="false">CONCATENATE(B325,"_",C325,H325)</f>
        <v>AGFB_M. nasutus3</v>
      </c>
      <c r="J325" s="22" t="n">
        <v>44673</v>
      </c>
      <c r="K325" s="23"/>
      <c r="L325" s="22" t="n">
        <v>44674</v>
      </c>
      <c r="M325" s="23" t="n">
        <v>0.620138888888889</v>
      </c>
      <c r="O325" s="1" t="s">
        <v>346</v>
      </c>
      <c r="P325" s="16" t="s">
        <v>304</v>
      </c>
      <c r="R325" s="16" t="s">
        <v>306</v>
      </c>
      <c r="S325" s="4" t="s">
        <v>347</v>
      </c>
      <c r="T325" s="24" t="n">
        <v>385</v>
      </c>
      <c r="U325" s="18" t="n">
        <v>3.6</v>
      </c>
      <c r="V325" s="24" t="n">
        <v>0.22</v>
      </c>
      <c r="Z325" s="18"/>
      <c r="AA325" s="20"/>
      <c r="AB325" s="20"/>
      <c r="AC325" s="19" t="e">
        <f aca="false">(AB325-AA325)/AB325</f>
        <v>#DIV/0!</v>
      </c>
    </row>
    <row r="326" customFormat="false" ht="14.25" hidden="false" customHeight="true" outlineLevel="0" collapsed="false">
      <c r="A326" s="18" t="s">
        <v>342</v>
      </c>
      <c r="B326" s="18" t="s">
        <v>342</v>
      </c>
      <c r="C326" s="18" t="s">
        <v>159</v>
      </c>
      <c r="E326" s="2" t="n">
        <f aca="false">INDEX(FieldSites!F:F, MATCH(Ch2_FieldSurvey!B326,FieldSites!C:C,0))</f>
        <v>1124</v>
      </c>
      <c r="F326" s="2" t="n">
        <f aca="false">INDEX(FieldSites!G:G, MATCH(Ch2_FieldSurvey!B326,FieldSites!C:C,0))</f>
        <v>-119.570677</v>
      </c>
      <c r="G326" s="2" t="n">
        <f aca="false">INDEX(FieldSites!H:H, MATCH(Ch2_FieldSurvey!B326,FieldSites!C:C,0))</f>
        <v>37.33823</v>
      </c>
      <c r="H326" s="18" t="n">
        <v>3</v>
      </c>
      <c r="I326" s="21" t="str">
        <f aca="false">CONCATENATE(B326,"_",C326,H326)</f>
        <v>AGFB_M. nasutus3</v>
      </c>
      <c r="J326" s="22" t="n">
        <v>44673</v>
      </c>
      <c r="K326" s="23"/>
      <c r="L326" s="22" t="n">
        <v>44674</v>
      </c>
      <c r="M326" s="23" t="n">
        <v>0.620138888888889</v>
      </c>
      <c r="O326" s="1" t="s">
        <v>346</v>
      </c>
      <c r="P326" s="16" t="s">
        <v>304</v>
      </c>
      <c r="R326" s="16" t="s">
        <v>306</v>
      </c>
      <c r="S326" s="4" t="s">
        <v>347</v>
      </c>
      <c r="T326" s="24" t="n">
        <v>377</v>
      </c>
      <c r="U326" s="18" t="n">
        <v>3.6</v>
      </c>
      <c r="V326" s="24" t="n">
        <v>0.19</v>
      </c>
      <c r="Z326" s="18"/>
      <c r="AA326" s="20"/>
      <c r="AB326" s="20"/>
      <c r="AC326" s="19" t="e">
        <f aca="false">(AB326-AA326)/AB326</f>
        <v>#DIV/0!</v>
      </c>
    </row>
    <row r="327" customFormat="false" ht="14.25" hidden="false" customHeight="true" outlineLevel="0" collapsed="false">
      <c r="A327" s="18" t="s">
        <v>342</v>
      </c>
      <c r="B327" s="18" t="s">
        <v>342</v>
      </c>
      <c r="C327" s="18" t="s">
        <v>159</v>
      </c>
      <c r="E327" s="2" t="n">
        <f aca="false">INDEX(FieldSites!F:F, MATCH(Ch2_FieldSurvey!B327,FieldSites!C:C,0))</f>
        <v>1124</v>
      </c>
      <c r="F327" s="2" t="n">
        <f aca="false">INDEX(FieldSites!G:G, MATCH(Ch2_FieldSurvey!B327,FieldSites!C:C,0))</f>
        <v>-119.570677</v>
      </c>
      <c r="G327" s="2" t="n">
        <f aca="false">INDEX(FieldSites!H:H, MATCH(Ch2_FieldSurvey!B327,FieldSites!C:C,0))</f>
        <v>37.33823</v>
      </c>
      <c r="H327" s="18" t="n">
        <v>4</v>
      </c>
      <c r="I327" s="21" t="str">
        <f aca="false">CONCATENATE(B327,"_",C327,H327)</f>
        <v>AGFB_M. nasutus4</v>
      </c>
      <c r="J327" s="22" t="n">
        <v>44673</v>
      </c>
      <c r="K327" s="23"/>
      <c r="L327" s="22" t="n">
        <v>44674</v>
      </c>
      <c r="M327" s="23" t="n">
        <v>0.623611111111111</v>
      </c>
      <c r="O327" s="1" t="s">
        <v>348</v>
      </c>
      <c r="P327" s="16" t="s">
        <v>304</v>
      </c>
      <c r="R327" s="16" t="s">
        <v>306</v>
      </c>
      <c r="S327" s="4" t="s">
        <v>349</v>
      </c>
      <c r="T327" s="24" t="n">
        <v>320</v>
      </c>
      <c r="U327" s="18" t="n">
        <v>2.5</v>
      </c>
      <c r="V327" s="24"/>
      <c r="W327" s="2" t="n">
        <v>0.2</v>
      </c>
      <c r="Z327" s="18" t="s">
        <v>350</v>
      </c>
      <c r="AA327" s="20" t="n">
        <v>50688</v>
      </c>
      <c r="AB327" s="20" t="n">
        <v>59113</v>
      </c>
      <c r="AC327" s="19" t="n">
        <f aca="false">(AB327-AA327)/AB327</f>
        <v>0.142523641161843</v>
      </c>
    </row>
    <row r="328" customFormat="false" ht="14.25" hidden="false" customHeight="true" outlineLevel="0" collapsed="false">
      <c r="A328" s="18" t="s">
        <v>342</v>
      </c>
      <c r="B328" s="18" t="s">
        <v>342</v>
      </c>
      <c r="C328" s="18" t="s">
        <v>159</v>
      </c>
      <c r="E328" s="2" t="n">
        <f aca="false">INDEX(FieldSites!F:F, MATCH(Ch2_FieldSurvey!B328,FieldSites!C:C,0))</f>
        <v>1124</v>
      </c>
      <c r="F328" s="2" t="n">
        <f aca="false">INDEX(FieldSites!G:G, MATCH(Ch2_FieldSurvey!B328,FieldSites!C:C,0))</f>
        <v>-119.570677</v>
      </c>
      <c r="G328" s="2" t="n">
        <f aca="false">INDEX(FieldSites!H:H, MATCH(Ch2_FieldSurvey!B328,FieldSites!C:C,0))</f>
        <v>37.33823</v>
      </c>
      <c r="H328" s="18" t="n">
        <v>4</v>
      </c>
      <c r="I328" s="21" t="str">
        <f aca="false">CONCATENATE(B328,"_",C328,H328)</f>
        <v>AGFB_M. nasutus4</v>
      </c>
      <c r="J328" s="22" t="n">
        <v>44673</v>
      </c>
      <c r="K328" s="23"/>
      <c r="L328" s="22" t="n">
        <v>44674</v>
      </c>
      <c r="M328" s="23" t="n">
        <v>0.623611111111111</v>
      </c>
      <c r="O328" s="1" t="s">
        <v>348</v>
      </c>
      <c r="P328" s="16" t="s">
        <v>304</v>
      </c>
      <c r="R328" s="16" t="s">
        <v>306</v>
      </c>
      <c r="S328" s="4" t="s">
        <v>349</v>
      </c>
      <c r="T328" s="24" t="n">
        <v>255</v>
      </c>
      <c r="U328" s="18" t="n">
        <v>2.2</v>
      </c>
      <c r="V328" s="24"/>
      <c r="Z328" s="18" t="s">
        <v>350</v>
      </c>
      <c r="AA328" s="20"/>
      <c r="AB328" s="20"/>
      <c r="AC328" s="19" t="e">
        <f aca="false">(AB328-AA328)/AB328</f>
        <v>#DIV/0!</v>
      </c>
    </row>
    <row r="329" customFormat="false" ht="14.25" hidden="false" customHeight="true" outlineLevel="0" collapsed="false">
      <c r="A329" s="18" t="s">
        <v>342</v>
      </c>
      <c r="B329" s="18" t="s">
        <v>342</v>
      </c>
      <c r="C329" s="18" t="s">
        <v>159</v>
      </c>
      <c r="E329" s="2" t="n">
        <f aca="false">INDEX(FieldSites!F:F, MATCH(Ch2_FieldSurvey!B329,FieldSites!C:C,0))</f>
        <v>1124</v>
      </c>
      <c r="F329" s="2" t="n">
        <f aca="false">INDEX(FieldSites!G:G, MATCH(Ch2_FieldSurvey!B329,FieldSites!C:C,0))</f>
        <v>-119.570677</v>
      </c>
      <c r="G329" s="2" t="n">
        <f aca="false">INDEX(FieldSites!H:H, MATCH(Ch2_FieldSurvey!B329,FieldSites!C:C,0))</f>
        <v>37.33823</v>
      </c>
      <c r="H329" s="18" t="n">
        <v>4</v>
      </c>
      <c r="I329" s="21" t="str">
        <f aca="false">CONCATENATE(B329,"_",C329,H329)</f>
        <v>AGFB_M. nasutus4</v>
      </c>
      <c r="J329" s="22" t="n">
        <v>44673</v>
      </c>
      <c r="K329" s="23"/>
      <c r="L329" s="22" t="n">
        <v>44674</v>
      </c>
      <c r="M329" s="23" t="n">
        <v>0.623611111111111</v>
      </c>
      <c r="O329" s="1" t="s">
        <v>348</v>
      </c>
      <c r="P329" s="16" t="s">
        <v>304</v>
      </c>
      <c r="R329" s="16" t="s">
        <v>306</v>
      </c>
      <c r="S329" s="4" t="s">
        <v>349</v>
      </c>
      <c r="T329" s="24" t="n">
        <v>270</v>
      </c>
      <c r="U329" s="18" t="n">
        <v>2.3</v>
      </c>
      <c r="V329" s="24"/>
      <c r="Z329" s="18" t="s">
        <v>350</v>
      </c>
      <c r="AA329" s="20"/>
      <c r="AB329" s="20"/>
      <c r="AC329" s="19" t="e">
        <f aca="false">(AB329-AA329)/AB329</f>
        <v>#DIV/0!</v>
      </c>
    </row>
    <row r="330" customFormat="false" ht="14.25" hidden="false" customHeight="true" outlineLevel="0" collapsed="false">
      <c r="A330" s="18" t="s">
        <v>342</v>
      </c>
      <c r="B330" s="18" t="s">
        <v>342</v>
      </c>
      <c r="C330" s="18" t="s">
        <v>159</v>
      </c>
      <c r="E330" s="2" t="n">
        <f aca="false">INDEX(FieldSites!F:F, MATCH(Ch2_FieldSurvey!B330,FieldSites!C:C,0))</f>
        <v>1124</v>
      </c>
      <c r="F330" s="2" t="n">
        <f aca="false">INDEX(FieldSites!G:G, MATCH(Ch2_FieldSurvey!B330,FieldSites!C:C,0))</f>
        <v>-119.570677</v>
      </c>
      <c r="G330" s="2" t="n">
        <f aca="false">INDEX(FieldSites!H:H, MATCH(Ch2_FieldSurvey!B330,FieldSites!C:C,0))</f>
        <v>37.33823</v>
      </c>
      <c r="H330" s="18" t="n">
        <v>5</v>
      </c>
      <c r="I330" s="21" t="str">
        <f aca="false">CONCATENATE(B330,"_",C330,H330)</f>
        <v>AGFB_M. nasutus5</v>
      </c>
      <c r="J330" s="22" t="n">
        <v>44673</v>
      </c>
      <c r="K330" s="23"/>
      <c r="L330" s="22" t="n">
        <v>44674</v>
      </c>
      <c r="M330" s="23" t="n">
        <v>0.627777777777778</v>
      </c>
      <c r="O330" s="1" t="s">
        <v>351</v>
      </c>
      <c r="P330" s="16" t="s">
        <v>304</v>
      </c>
      <c r="R330" s="16" t="s">
        <v>306</v>
      </c>
      <c r="S330" s="4" t="s">
        <v>352</v>
      </c>
      <c r="T330" s="24" t="n">
        <v>335</v>
      </c>
      <c r="U330" s="18" t="n">
        <v>4.7</v>
      </c>
      <c r="V330" s="24" t="n">
        <v>0.23</v>
      </c>
      <c r="W330" s="2" t="n">
        <v>0.2</v>
      </c>
      <c r="Z330" s="18"/>
      <c r="AA330" s="20" t="n">
        <v>96517</v>
      </c>
      <c r="AB330" s="20" t="n">
        <v>114923</v>
      </c>
      <c r="AC330" s="19" t="n">
        <f aca="false">(AB330-AA330)/AB330</f>
        <v>0.160159411083943</v>
      </c>
    </row>
    <row r="331" customFormat="false" ht="14.25" hidden="false" customHeight="true" outlineLevel="0" collapsed="false">
      <c r="A331" s="18" t="s">
        <v>342</v>
      </c>
      <c r="B331" s="18" t="s">
        <v>342</v>
      </c>
      <c r="C331" s="18" t="s">
        <v>159</v>
      </c>
      <c r="E331" s="2" t="n">
        <f aca="false">INDEX(FieldSites!F:F, MATCH(Ch2_FieldSurvey!B331,FieldSites!C:C,0))</f>
        <v>1124</v>
      </c>
      <c r="F331" s="2" t="n">
        <f aca="false">INDEX(FieldSites!G:G, MATCH(Ch2_FieldSurvey!B331,FieldSites!C:C,0))</f>
        <v>-119.570677</v>
      </c>
      <c r="G331" s="2" t="n">
        <f aca="false">INDEX(FieldSites!H:H, MATCH(Ch2_FieldSurvey!B331,FieldSites!C:C,0))</f>
        <v>37.33823</v>
      </c>
      <c r="H331" s="18" t="n">
        <v>5</v>
      </c>
      <c r="I331" s="21" t="str">
        <f aca="false">CONCATENATE(B331,"_",C331,H331)</f>
        <v>AGFB_M. nasutus5</v>
      </c>
      <c r="J331" s="22" t="n">
        <v>44673</v>
      </c>
      <c r="K331" s="23"/>
      <c r="L331" s="22" t="n">
        <v>44674</v>
      </c>
      <c r="M331" s="23" t="n">
        <v>0.627777777777778</v>
      </c>
      <c r="O331" s="1" t="s">
        <v>351</v>
      </c>
      <c r="P331" s="16" t="s">
        <v>304</v>
      </c>
      <c r="R331" s="16" t="s">
        <v>306</v>
      </c>
      <c r="S331" s="4" t="s">
        <v>352</v>
      </c>
      <c r="T331" s="24" t="n">
        <v>245</v>
      </c>
      <c r="U331" s="18" t="n">
        <v>3.5</v>
      </c>
      <c r="V331" s="24" t="n">
        <v>0.29</v>
      </c>
      <c r="Z331" s="18"/>
      <c r="AA331" s="20"/>
      <c r="AB331" s="20"/>
      <c r="AC331" s="19" t="e">
        <f aca="false">(AB331-AA331)/AB331</f>
        <v>#DIV/0!</v>
      </c>
    </row>
    <row r="332" customFormat="false" ht="14.25" hidden="false" customHeight="true" outlineLevel="0" collapsed="false">
      <c r="A332" s="18" t="s">
        <v>342</v>
      </c>
      <c r="B332" s="18" t="s">
        <v>342</v>
      </c>
      <c r="C332" s="18" t="s">
        <v>159</v>
      </c>
      <c r="E332" s="2" t="n">
        <f aca="false">INDEX(FieldSites!F:F, MATCH(Ch2_FieldSurvey!B332,FieldSites!C:C,0))</f>
        <v>1124</v>
      </c>
      <c r="F332" s="2" t="n">
        <f aca="false">INDEX(FieldSites!G:G, MATCH(Ch2_FieldSurvey!B332,FieldSites!C:C,0))</f>
        <v>-119.570677</v>
      </c>
      <c r="G332" s="2" t="n">
        <f aca="false">INDEX(FieldSites!H:H, MATCH(Ch2_FieldSurvey!B332,FieldSites!C:C,0))</f>
        <v>37.33823</v>
      </c>
      <c r="H332" s="18" t="n">
        <v>5</v>
      </c>
      <c r="I332" s="21" t="str">
        <f aca="false">CONCATENATE(B332,"_",C332,H332)</f>
        <v>AGFB_M. nasutus5</v>
      </c>
      <c r="J332" s="22" t="n">
        <v>44673</v>
      </c>
      <c r="K332" s="23"/>
      <c r="L332" s="22" t="n">
        <v>44674</v>
      </c>
      <c r="M332" s="23" t="n">
        <v>0.627777777777778</v>
      </c>
      <c r="O332" s="1" t="s">
        <v>351</v>
      </c>
      <c r="P332" s="16" t="s">
        <v>304</v>
      </c>
      <c r="R332" s="16" t="s">
        <v>306</v>
      </c>
      <c r="S332" s="4" t="s">
        <v>352</v>
      </c>
      <c r="T332" s="24" t="n">
        <v>300</v>
      </c>
      <c r="U332" s="18" t="n">
        <v>2.1</v>
      </c>
      <c r="V332" s="24" t="n">
        <v>0.22</v>
      </c>
      <c r="Z332" s="18"/>
      <c r="AA332" s="20"/>
      <c r="AB332" s="20"/>
      <c r="AC332" s="19" t="e">
        <f aca="false">(AB332-AA332)/AB332</f>
        <v>#DIV/0!</v>
      </c>
    </row>
    <row r="333" customFormat="false" ht="14.25" hidden="false" customHeight="true" outlineLevel="0" collapsed="false">
      <c r="A333" s="18" t="s">
        <v>342</v>
      </c>
      <c r="B333" s="18" t="s">
        <v>342</v>
      </c>
      <c r="C333" s="18" t="s">
        <v>159</v>
      </c>
      <c r="E333" s="2" t="n">
        <f aca="false">INDEX(FieldSites!F:F, MATCH(Ch2_FieldSurvey!B333,FieldSites!C:C,0))</f>
        <v>1124</v>
      </c>
      <c r="F333" s="2" t="n">
        <f aca="false">INDEX(FieldSites!G:G, MATCH(Ch2_FieldSurvey!B333,FieldSites!C:C,0))</f>
        <v>-119.570677</v>
      </c>
      <c r="G333" s="2" t="n">
        <f aca="false">INDEX(FieldSites!H:H, MATCH(Ch2_FieldSurvey!B333,FieldSites!C:C,0))</f>
        <v>37.33823</v>
      </c>
      <c r="H333" s="18" t="n">
        <v>6</v>
      </c>
      <c r="I333" s="21" t="str">
        <f aca="false">CONCATENATE(B333,"_",C333,H333)</f>
        <v>AGFB_M. nasutus6</v>
      </c>
      <c r="J333" s="22" t="n">
        <v>44673</v>
      </c>
      <c r="K333" s="23"/>
      <c r="L333" s="22" t="n">
        <v>44674</v>
      </c>
      <c r="M333" s="23" t="n">
        <v>0.63125</v>
      </c>
      <c r="O333" s="1" t="s">
        <v>353</v>
      </c>
      <c r="P333" s="16" t="s">
        <v>304</v>
      </c>
      <c r="R333" s="16" t="s">
        <v>306</v>
      </c>
      <c r="S333" s="4" t="s">
        <v>354</v>
      </c>
      <c r="T333" s="24" t="n">
        <v>275</v>
      </c>
      <c r="U333" s="18" t="n">
        <v>7.5</v>
      </c>
      <c r="V333" s="24" t="n">
        <v>0.24</v>
      </c>
      <c r="W333" s="2" t="n">
        <v>0.1</v>
      </c>
      <c r="Z333" s="18"/>
      <c r="AA333" s="20" t="n">
        <v>157525</v>
      </c>
      <c r="AB333" s="20" t="n">
        <v>181746</v>
      </c>
      <c r="AC333" s="19" t="n">
        <f aca="false">(AB333-AA333)/AB333</f>
        <v>0.1332684075578</v>
      </c>
    </row>
    <row r="334" customFormat="false" ht="14.25" hidden="false" customHeight="true" outlineLevel="0" collapsed="false">
      <c r="A334" s="18" t="s">
        <v>342</v>
      </c>
      <c r="B334" s="18" t="s">
        <v>342</v>
      </c>
      <c r="C334" s="18" t="s">
        <v>159</v>
      </c>
      <c r="E334" s="2" t="n">
        <f aca="false">INDEX(FieldSites!F:F, MATCH(Ch2_FieldSurvey!B334,FieldSites!C:C,0))</f>
        <v>1124</v>
      </c>
      <c r="F334" s="2" t="n">
        <f aca="false">INDEX(FieldSites!G:G, MATCH(Ch2_FieldSurvey!B334,FieldSites!C:C,0))</f>
        <v>-119.570677</v>
      </c>
      <c r="G334" s="2" t="n">
        <f aca="false">INDEX(FieldSites!H:H, MATCH(Ch2_FieldSurvey!B334,FieldSites!C:C,0))</f>
        <v>37.33823</v>
      </c>
      <c r="H334" s="18" t="n">
        <v>6</v>
      </c>
      <c r="I334" s="21" t="str">
        <f aca="false">CONCATENATE(B334,"_",C334,H334)</f>
        <v>AGFB_M. nasutus6</v>
      </c>
      <c r="J334" s="22" t="n">
        <v>44673</v>
      </c>
      <c r="K334" s="23"/>
      <c r="L334" s="22" t="n">
        <v>44674</v>
      </c>
      <c r="M334" s="23" t="n">
        <v>0.63125</v>
      </c>
      <c r="O334" s="1" t="s">
        <v>353</v>
      </c>
      <c r="P334" s="16" t="s">
        <v>304</v>
      </c>
      <c r="R334" s="16" t="s">
        <v>306</v>
      </c>
      <c r="S334" s="4" t="s">
        <v>354</v>
      </c>
      <c r="T334" s="24" t="n">
        <v>384</v>
      </c>
      <c r="U334" s="18" t="n">
        <v>4</v>
      </c>
      <c r="V334" s="24" t="n">
        <v>0.26</v>
      </c>
      <c r="Z334" s="18"/>
      <c r="AA334" s="20"/>
      <c r="AB334" s="20"/>
      <c r="AC334" s="19" t="e">
        <f aca="false">(AB334-AA334)/AB334</f>
        <v>#DIV/0!</v>
      </c>
    </row>
    <row r="335" customFormat="false" ht="14.25" hidden="false" customHeight="true" outlineLevel="0" collapsed="false">
      <c r="A335" s="18" t="s">
        <v>342</v>
      </c>
      <c r="B335" s="18" t="s">
        <v>342</v>
      </c>
      <c r="C335" s="18" t="s">
        <v>159</v>
      </c>
      <c r="E335" s="2" t="n">
        <f aca="false">INDEX(FieldSites!F:F, MATCH(Ch2_FieldSurvey!B335,FieldSites!C:C,0))</f>
        <v>1124</v>
      </c>
      <c r="F335" s="2" t="n">
        <f aca="false">INDEX(FieldSites!G:G, MATCH(Ch2_FieldSurvey!B335,FieldSites!C:C,0))</f>
        <v>-119.570677</v>
      </c>
      <c r="G335" s="2" t="n">
        <f aca="false">INDEX(FieldSites!H:H, MATCH(Ch2_FieldSurvey!B335,FieldSites!C:C,0))</f>
        <v>37.33823</v>
      </c>
      <c r="H335" s="18" t="n">
        <v>6</v>
      </c>
      <c r="I335" s="21" t="str">
        <f aca="false">CONCATENATE(B335,"_",C335,H335)</f>
        <v>AGFB_M. nasutus6</v>
      </c>
      <c r="J335" s="22" t="n">
        <v>44673</v>
      </c>
      <c r="K335" s="23"/>
      <c r="L335" s="22" t="n">
        <v>44674</v>
      </c>
      <c r="M335" s="23" t="n">
        <v>0.63125</v>
      </c>
      <c r="O335" s="1" t="s">
        <v>353</v>
      </c>
      <c r="P335" s="16" t="s">
        <v>304</v>
      </c>
      <c r="R335" s="16" t="s">
        <v>306</v>
      </c>
      <c r="S335" s="4" t="s">
        <v>354</v>
      </c>
      <c r="T335" s="24" t="n">
        <v>293</v>
      </c>
      <c r="U335" s="18" t="n">
        <v>3.6</v>
      </c>
      <c r="V335" s="24" t="n">
        <v>0.22</v>
      </c>
      <c r="Z335" s="18"/>
      <c r="AA335" s="20"/>
      <c r="AB335" s="20"/>
      <c r="AC335" s="19" t="e">
        <f aca="false">(AB335-AA335)/AB335</f>
        <v>#DIV/0!</v>
      </c>
    </row>
    <row r="336" customFormat="false" ht="14.25" hidden="false" customHeight="true" outlineLevel="0" collapsed="false">
      <c r="A336" s="18" t="s">
        <v>342</v>
      </c>
      <c r="B336" s="18" t="s">
        <v>342</v>
      </c>
      <c r="C336" s="18" t="s">
        <v>159</v>
      </c>
      <c r="E336" s="2" t="n">
        <f aca="false">INDEX(FieldSites!F:F, MATCH(Ch2_FieldSurvey!B336,FieldSites!C:C,0))</f>
        <v>1124</v>
      </c>
      <c r="F336" s="2" t="n">
        <f aca="false">INDEX(FieldSites!G:G, MATCH(Ch2_FieldSurvey!B336,FieldSites!C:C,0))</f>
        <v>-119.570677</v>
      </c>
      <c r="G336" s="2" t="n">
        <f aca="false">INDEX(FieldSites!H:H, MATCH(Ch2_FieldSurvey!B336,FieldSites!C:C,0))</f>
        <v>37.33823</v>
      </c>
      <c r="H336" s="18" t="n">
        <v>7</v>
      </c>
      <c r="I336" s="21" t="str">
        <f aca="false">CONCATENATE(B336,"_",C336,H336)</f>
        <v>AGFB_M. nasutus7</v>
      </c>
      <c r="J336" s="22" t="n">
        <v>44673</v>
      </c>
      <c r="K336" s="23"/>
      <c r="L336" s="22" t="n">
        <v>44674</v>
      </c>
      <c r="M336" s="23" t="n">
        <v>0.634027777777778</v>
      </c>
      <c r="O336" s="1" t="s">
        <v>355</v>
      </c>
      <c r="P336" s="16" t="s">
        <v>304</v>
      </c>
      <c r="R336" s="16" t="s">
        <v>306</v>
      </c>
      <c r="S336" s="4" t="s">
        <v>356</v>
      </c>
      <c r="T336" s="24" t="n">
        <v>290</v>
      </c>
      <c r="U336" s="18" t="n">
        <v>2.2</v>
      </c>
      <c r="V336" s="24"/>
      <c r="W336" s="2" t="n">
        <v>0.1</v>
      </c>
      <c r="Z336" s="18" t="s">
        <v>350</v>
      </c>
      <c r="AA336" s="20" t="n">
        <v>108339</v>
      </c>
      <c r="AB336" s="20" t="n">
        <v>125342</v>
      </c>
      <c r="AC336" s="19" t="n">
        <f aca="false">(AB336-AA336)/AB336</f>
        <v>0.135652853792025</v>
      </c>
    </row>
    <row r="337" customFormat="false" ht="14.25" hidden="false" customHeight="true" outlineLevel="0" collapsed="false">
      <c r="A337" s="18" t="s">
        <v>342</v>
      </c>
      <c r="B337" s="18" t="s">
        <v>342</v>
      </c>
      <c r="C337" s="18" t="s">
        <v>159</v>
      </c>
      <c r="E337" s="2" t="n">
        <f aca="false">INDEX(FieldSites!F:F, MATCH(Ch2_FieldSurvey!B337,FieldSites!C:C,0))</f>
        <v>1124</v>
      </c>
      <c r="F337" s="2" t="n">
        <f aca="false">INDEX(FieldSites!G:G, MATCH(Ch2_FieldSurvey!B337,FieldSites!C:C,0))</f>
        <v>-119.570677</v>
      </c>
      <c r="G337" s="2" t="n">
        <f aca="false">INDEX(FieldSites!H:H, MATCH(Ch2_FieldSurvey!B337,FieldSites!C:C,0))</f>
        <v>37.33823</v>
      </c>
      <c r="H337" s="18" t="n">
        <v>7</v>
      </c>
      <c r="I337" s="21" t="str">
        <f aca="false">CONCATENATE(B337,"_",C337,H337)</f>
        <v>AGFB_M. nasutus7</v>
      </c>
      <c r="J337" s="22" t="n">
        <v>44673</v>
      </c>
      <c r="K337" s="23"/>
      <c r="L337" s="22" t="n">
        <v>44674</v>
      </c>
      <c r="M337" s="23" t="n">
        <v>0.634027777777778</v>
      </c>
      <c r="O337" s="1" t="s">
        <v>355</v>
      </c>
      <c r="P337" s="16" t="s">
        <v>304</v>
      </c>
      <c r="R337" s="16" t="s">
        <v>306</v>
      </c>
      <c r="S337" s="4" t="s">
        <v>356</v>
      </c>
      <c r="T337" s="24" t="n">
        <v>250</v>
      </c>
      <c r="U337" s="18" t="n">
        <v>2.2</v>
      </c>
      <c r="V337" s="24"/>
      <c r="Z337" s="18" t="s">
        <v>350</v>
      </c>
      <c r="AA337" s="20"/>
      <c r="AB337" s="20"/>
      <c r="AC337" s="19" t="e">
        <f aca="false">(AB337-AA337)/AB337</f>
        <v>#DIV/0!</v>
      </c>
    </row>
    <row r="338" customFormat="false" ht="14.25" hidden="false" customHeight="true" outlineLevel="0" collapsed="false">
      <c r="A338" s="18" t="s">
        <v>342</v>
      </c>
      <c r="B338" s="18" t="s">
        <v>342</v>
      </c>
      <c r="C338" s="18" t="s">
        <v>159</v>
      </c>
      <c r="E338" s="2" t="n">
        <f aca="false">INDEX(FieldSites!F:F, MATCH(Ch2_FieldSurvey!B338,FieldSites!C:C,0))</f>
        <v>1124</v>
      </c>
      <c r="F338" s="2" t="n">
        <f aca="false">INDEX(FieldSites!G:G, MATCH(Ch2_FieldSurvey!B338,FieldSites!C:C,0))</f>
        <v>-119.570677</v>
      </c>
      <c r="G338" s="2" t="n">
        <f aca="false">INDEX(FieldSites!H:H, MATCH(Ch2_FieldSurvey!B338,FieldSites!C:C,0))</f>
        <v>37.33823</v>
      </c>
      <c r="H338" s="18" t="n">
        <v>7</v>
      </c>
      <c r="I338" s="21" t="str">
        <f aca="false">CONCATENATE(B338,"_",C338,H338)</f>
        <v>AGFB_M. nasutus7</v>
      </c>
      <c r="J338" s="22" t="n">
        <v>44673</v>
      </c>
      <c r="K338" s="23"/>
      <c r="L338" s="22" t="n">
        <v>44674</v>
      </c>
      <c r="M338" s="23" t="n">
        <v>0.634027777777778</v>
      </c>
      <c r="O338" s="1" t="s">
        <v>355</v>
      </c>
      <c r="P338" s="16" t="s">
        <v>304</v>
      </c>
      <c r="R338" s="16" t="s">
        <v>306</v>
      </c>
      <c r="S338" s="4" t="s">
        <v>356</v>
      </c>
      <c r="T338" s="24" t="n">
        <v>310</v>
      </c>
      <c r="U338" s="18" t="n">
        <v>2.8</v>
      </c>
      <c r="V338" s="24"/>
      <c r="Z338" s="18" t="s">
        <v>350</v>
      </c>
      <c r="AA338" s="20"/>
      <c r="AB338" s="20"/>
      <c r="AC338" s="19" t="e">
        <f aca="false">(AB338-AA338)/AB338</f>
        <v>#DIV/0!</v>
      </c>
    </row>
    <row r="339" customFormat="false" ht="14.25" hidden="false" customHeight="true" outlineLevel="0" collapsed="false">
      <c r="A339" s="18" t="s">
        <v>342</v>
      </c>
      <c r="B339" s="18" t="s">
        <v>342</v>
      </c>
      <c r="C339" s="18" t="s">
        <v>159</v>
      </c>
      <c r="E339" s="2" t="n">
        <f aca="false">INDEX(FieldSites!F:F, MATCH(Ch2_FieldSurvey!B339,FieldSites!C:C,0))</f>
        <v>1124</v>
      </c>
      <c r="F339" s="2" t="n">
        <f aca="false">INDEX(FieldSites!G:G, MATCH(Ch2_FieldSurvey!B339,FieldSites!C:C,0))</f>
        <v>-119.570677</v>
      </c>
      <c r="G339" s="2" t="n">
        <f aca="false">INDEX(FieldSites!H:H, MATCH(Ch2_FieldSurvey!B339,FieldSites!C:C,0))</f>
        <v>37.33823</v>
      </c>
      <c r="H339" s="18" t="n">
        <v>8</v>
      </c>
      <c r="I339" s="21" t="str">
        <f aca="false">CONCATENATE(B339,"_",C339,H339)</f>
        <v>AGFB_M. nasutus8</v>
      </c>
      <c r="J339" s="22" t="n">
        <v>44673</v>
      </c>
      <c r="K339" s="23"/>
      <c r="L339" s="22" t="n">
        <v>44674</v>
      </c>
      <c r="M339" s="23" t="n">
        <v>0.636805555555556</v>
      </c>
      <c r="O339" s="1" t="s">
        <v>357</v>
      </c>
      <c r="P339" s="16" t="s">
        <v>304</v>
      </c>
      <c r="R339" s="16" t="s">
        <v>306</v>
      </c>
      <c r="S339" s="4" t="s">
        <v>358</v>
      </c>
      <c r="T339" s="24" t="n">
        <v>320</v>
      </c>
      <c r="U339" s="18" t="n">
        <v>5.4</v>
      </c>
      <c r="V339" s="24"/>
      <c r="W339" s="2" t="n">
        <v>0.2</v>
      </c>
      <c r="Z339" s="18" t="s">
        <v>350</v>
      </c>
      <c r="AA339" s="20" t="n">
        <v>75795</v>
      </c>
      <c r="AB339" s="20" t="n">
        <v>87171</v>
      </c>
      <c r="AC339" s="19" t="n">
        <f aca="false">(AB339-AA339)/AB339</f>
        <v>0.13050211652958</v>
      </c>
    </row>
    <row r="340" customFormat="false" ht="14.25" hidden="false" customHeight="true" outlineLevel="0" collapsed="false">
      <c r="A340" s="18" t="s">
        <v>342</v>
      </c>
      <c r="B340" s="18" t="s">
        <v>342</v>
      </c>
      <c r="C340" s="18" t="s">
        <v>159</v>
      </c>
      <c r="E340" s="2" t="n">
        <f aca="false">INDEX(FieldSites!F:F, MATCH(Ch2_FieldSurvey!B340,FieldSites!C:C,0))</f>
        <v>1124</v>
      </c>
      <c r="F340" s="2" t="n">
        <f aca="false">INDEX(FieldSites!G:G, MATCH(Ch2_FieldSurvey!B340,FieldSites!C:C,0))</f>
        <v>-119.570677</v>
      </c>
      <c r="G340" s="2" t="n">
        <f aca="false">INDEX(FieldSites!H:H, MATCH(Ch2_FieldSurvey!B340,FieldSites!C:C,0))</f>
        <v>37.33823</v>
      </c>
      <c r="H340" s="18" t="n">
        <v>8</v>
      </c>
      <c r="I340" s="21" t="str">
        <f aca="false">CONCATENATE(B340,"_",C340,H340)</f>
        <v>AGFB_M. nasutus8</v>
      </c>
      <c r="J340" s="22" t="n">
        <v>44673</v>
      </c>
      <c r="K340" s="23"/>
      <c r="L340" s="22" t="n">
        <v>44674</v>
      </c>
      <c r="M340" s="23" t="n">
        <v>0.636805555555556</v>
      </c>
      <c r="O340" s="1" t="s">
        <v>357</v>
      </c>
      <c r="P340" s="16" t="s">
        <v>304</v>
      </c>
      <c r="R340" s="16" t="s">
        <v>306</v>
      </c>
      <c r="S340" s="4" t="s">
        <v>358</v>
      </c>
      <c r="T340" s="24" t="n">
        <v>370</v>
      </c>
      <c r="U340" s="18" t="n">
        <v>3.8</v>
      </c>
      <c r="V340" s="24"/>
      <c r="Z340" s="18" t="s">
        <v>350</v>
      </c>
      <c r="AA340" s="20"/>
      <c r="AB340" s="20"/>
      <c r="AC340" s="19" t="e">
        <f aca="false">(AB340-AA340)/AB340</f>
        <v>#DIV/0!</v>
      </c>
    </row>
    <row r="341" customFormat="false" ht="14.25" hidden="false" customHeight="true" outlineLevel="0" collapsed="false">
      <c r="A341" s="18" t="s">
        <v>342</v>
      </c>
      <c r="B341" s="18" t="s">
        <v>342</v>
      </c>
      <c r="C341" s="18" t="s">
        <v>159</v>
      </c>
      <c r="E341" s="2" t="n">
        <f aca="false">INDEX(FieldSites!F:F, MATCH(Ch2_FieldSurvey!B341,FieldSites!C:C,0))</f>
        <v>1124</v>
      </c>
      <c r="F341" s="2" t="n">
        <f aca="false">INDEX(FieldSites!G:G, MATCH(Ch2_FieldSurvey!B341,FieldSites!C:C,0))</f>
        <v>-119.570677</v>
      </c>
      <c r="G341" s="2" t="n">
        <f aca="false">INDEX(FieldSites!H:H, MATCH(Ch2_FieldSurvey!B341,FieldSites!C:C,0))</f>
        <v>37.33823</v>
      </c>
      <c r="H341" s="18" t="n">
        <v>8</v>
      </c>
      <c r="I341" s="21" t="str">
        <f aca="false">CONCATENATE(B341,"_",C341,H341)</f>
        <v>AGFB_M. nasutus8</v>
      </c>
      <c r="J341" s="22" t="n">
        <v>44673</v>
      </c>
      <c r="K341" s="23"/>
      <c r="L341" s="22" t="n">
        <v>44674</v>
      </c>
      <c r="M341" s="23" t="n">
        <v>0.636805555555556</v>
      </c>
      <c r="O341" s="1" t="s">
        <v>357</v>
      </c>
      <c r="P341" s="16" t="s">
        <v>304</v>
      </c>
      <c r="R341" s="16" t="s">
        <v>306</v>
      </c>
      <c r="S341" s="4" t="s">
        <v>358</v>
      </c>
      <c r="T341" s="24" t="n">
        <v>330</v>
      </c>
      <c r="U341" s="18" t="n">
        <v>3.4</v>
      </c>
      <c r="V341" s="24"/>
      <c r="Z341" s="18" t="s">
        <v>350</v>
      </c>
      <c r="AA341" s="20"/>
      <c r="AB341" s="20"/>
      <c r="AC341" s="19" t="e">
        <f aca="false">(AB341-AA341)/AB341</f>
        <v>#DIV/0!</v>
      </c>
    </row>
    <row r="342" customFormat="false" ht="14.25" hidden="false" customHeight="true" outlineLevel="0" collapsed="false">
      <c r="A342" s="18" t="s">
        <v>342</v>
      </c>
      <c r="B342" s="18" t="s">
        <v>342</v>
      </c>
      <c r="C342" s="18" t="s">
        <v>159</v>
      </c>
      <c r="E342" s="2" t="n">
        <f aca="false">INDEX(FieldSites!F:F, MATCH(Ch2_FieldSurvey!B342,FieldSites!C:C,0))</f>
        <v>1124</v>
      </c>
      <c r="F342" s="2" t="n">
        <f aca="false">INDEX(FieldSites!G:G, MATCH(Ch2_FieldSurvey!B342,FieldSites!C:C,0))</f>
        <v>-119.570677</v>
      </c>
      <c r="G342" s="2" t="n">
        <f aca="false">INDEX(FieldSites!H:H, MATCH(Ch2_FieldSurvey!B342,FieldSites!C:C,0))</f>
        <v>37.33823</v>
      </c>
      <c r="H342" s="18" t="n">
        <v>9</v>
      </c>
      <c r="I342" s="21" t="str">
        <f aca="false">CONCATENATE(B342,"_",C342,H342)</f>
        <v>AGFB_M. nasutus9</v>
      </c>
      <c r="J342" s="22" t="n">
        <v>44673</v>
      </c>
      <c r="K342" s="23"/>
      <c r="L342" s="22" t="n">
        <v>44674</v>
      </c>
      <c r="M342" s="23" t="n">
        <v>0.640277777777778</v>
      </c>
      <c r="O342" s="1" t="s">
        <v>359</v>
      </c>
      <c r="P342" s="16" t="s">
        <v>304</v>
      </c>
      <c r="R342" s="16" t="s">
        <v>306</v>
      </c>
      <c r="S342" s="4" t="s">
        <v>360</v>
      </c>
      <c r="T342" s="24" t="n">
        <v>330</v>
      </c>
      <c r="U342" s="18" t="n">
        <v>4.1</v>
      </c>
      <c r="V342" s="24" t="n">
        <v>0.27</v>
      </c>
      <c r="W342" s="2" t="n">
        <v>0.2</v>
      </c>
      <c r="Z342" s="18"/>
      <c r="AA342" s="20" t="n">
        <v>63919</v>
      </c>
      <c r="AB342" s="20" t="n">
        <v>83220</v>
      </c>
      <c r="AC342" s="19" t="n">
        <f aca="false">(AB342-AA342)/AB342</f>
        <v>0.231927421292958</v>
      </c>
    </row>
    <row r="343" customFormat="false" ht="14.25" hidden="false" customHeight="true" outlineLevel="0" collapsed="false">
      <c r="A343" s="18" t="s">
        <v>342</v>
      </c>
      <c r="B343" s="18" t="s">
        <v>342</v>
      </c>
      <c r="C343" s="18" t="s">
        <v>159</v>
      </c>
      <c r="E343" s="2" t="n">
        <f aca="false">INDEX(FieldSites!F:F, MATCH(Ch2_FieldSurvey!B343,FieldSites!C:C,0))</f>
        <v>1124</v>
      </c>
      <c r="F343" s="2" t="n">
        <f aca="false">INDEX(FieldSites!G:G, MATCH(Ch2_FieldSurvey!B343,FieldSites!C:C,0))</f>
        <v>-119.570677</v>
      </c>
      <c r="G343" s="2" t="n">
        <f aca="false">INDEX(FieldSites!H:H, MATCH(Ch2_FieldSurvey!B343,FieldSites!C:C,0))</f>
        <v>37.33823</v>
      </c>
      <c r="H343" s="18" t="n">
        <v>9</v>
      </c>
      <c r="I343" s="21" t="str">
        <f aca="false">CONCATENATE(B343,"_",C343,H343)</f>
        <v>AGFB_M. nasutus9</v>
      </c>
      <c r="J343" s="22" t="n">
        <v>44673</v>
      </c>
      <c r="K343" s="23"/>
      <c r="L343" s="22" t="n">
        <v>44674</v>
      </c>
      <c r="M343" s="23" t="n">
        <v>0.640277777777778</v>
      </c>
      <c r="O343" s="1" t="s">
        <v>359</v>
      </c>
      <c r="P343" s="16" t="s">
        <v>304</v>
      </c>
      <c r="R343" s="16" t="s">
        <v>306</v>
      </c>
      <c r="S343" s="4" t="s">
        <v>360</v>
      </c>
      <c r="T343" s="24" t="n">
        <v>315</v>
      </c>
      <c r="U343" s="18" t="n">
        <v>2.9</v>
      </c>
      <c r="V343" s="24" t="n">
        <v>0.29</v>
      </c>
      <c r="Z343" s="18"/>
      <c r="AA343" s="20"/>
      <c r="AB343" s="20"/>
      <c r="AC343" s="19" t="e">
        <f aca="false">(AB343-AA343)/AB343</f>
        <v>#DIV/0!</v>
      </c>
    </row>
    <row r="344" customFormat="false" ht="14.25" hidden="false" customHeight="true" outlineLevel="0" collapsed="false">
      <c r="A344" s="18" t="s">
        <v>342</v>
      </c>
      <c r="B344" s="18" t="s">
        <v>342</v>
      </c>
      <c r="C344" s="18" t="s">
        <v>159</v>
      </c>
      <c r="E344" s="2" t="n">
        <f aca="false">INDEX(FieldSites!F:F, MATCH(Ch2_FieldSurvey!B344,FieldSites!C:C,0))</f>
        <v>1124</v>
      </c>
      <c r="F344" s="2" t="n">
        <f aca="false">INDEX(FieldSites!G:G, MATCH(Ch2_FieldSurvey!B344,FieldSites!C:C,0))</f>
        <v>-119.570677</v>
      </c>
      <c r="G344" s="2" t="n">
        <f aca="false">INDEX(FieldSites!H:H, MATCH(Ch2_FieldSurvey!B344,FieldSites!C:C,0))</f>
        <v>37.33823</v>
      </c>
      <c r="H344" s="18" t="n">
        <v>9</v>
      </c>
      <c r="I344" s="21" t="str">
        <f aca="false">CONCATENATE(B344,"_",C344,H344)</f>
        <v>AGFB_M. nasutus9</v>
      </c>
      <c r="J344" s="22" t="n">
        <v>44673</v>
      </c>
      <c r="K344" s="23"/>
      <c r="L344" s="22" t="n">
        <v>44674</v>
      </c>
      <c r="M344" s="23" t="n">
        <v>0.640277777777778</v>
      </c>
      <c r="O344" s="1" t="s">
        <v>359</v>
      </c>
      <c r="P344" s="16" t="s">
        <v>304</v>
      </c>
      <c r="R344" s="16" t="s">
        <v>306</v>
      </c>
      <c r="S344" s="4" t="s">
        <v>360</v>
      </c>
      <c r="T344" s="24" t="n">
        <v>310</v>
      </c>
      <c r="U344" s="18" t="n">
        <v>4.7</v>
      </c>
      <c r="V344" s="24" t="n">
        <v>0.25</v>
      </c>
      <c r="Z344" s="18"/>
      <c r="AA344" s="20"/>
      <c r="AB344" s="20"/>
      <c r="AC344" s="19" t="e">
        <f aca="false">(AB344-AA344)/AB344</f>
        <v>#DIV/0!</v>
      </c>
    </row>
    <row r="345" customFormat="false" ht="14.25" hidden="false" customHeight="true" outlineLevel="0" collapsed="false">
      <c r="A345" s="18" t="s">
        <v>342</v>
      </c>
      <c r="B345" s="18" t="s">
        <v>342</v>
      </c>
      <c r="C345" s="18" t="s">
        <v>159</v>
      </c>
      <c r="E345" s="2" t="n">
        <f aca="false">INDEX(FieldSites!F:F, MATCH(Ch2_FieldSurvey!B345,FieldSites!C:C,0))</f>
        <v>1124</v>
      </c>
      <c r="F345" s="2" t="n">
        <f aca="false">INDEX(FieldSites!G:G, MATCH(Ch2_FieldSurvey!B345,FieldSites!C:C,0))</f>
        <v>-119.570677</v>
      </c>
      <c r="G345" s="2" t="n">
        <f aca="false">INDEX(FieldSites!H:H, MATCH(Ch2_FieldSurvey!B345,FieldSites!C:C,0))</f>
        <v>37.33823</v>
      </c>
      <c r="H345" s="18" t="n">
        <v>10</v>
      </c>
      <c r="I345" s="21" t="str">
        <f aca="false">CONCATENATE(B345,"_",C345,H345)</f>
        <v>AGFB_M. nasutus10</v>
      </c>
      <c r="J345" s="22" t="n">
        <v>44673</v>
      </c>
      <c r="K345" s="23"/>
      <c r="L345" s="22" t="n">
        <v>44674</v>
      </c>
      <c r="M345" s="23" t="n">
        <v>0.644444444444445</v>
      </c>
      <c r="O345" s="1" t="s">
        <v>361</v>
      </c>
      <c r="P345" s="16" t="s">
        <v>304</v>
      </c>
      <c r="R345" s="16" t="s">
        <v>306</v>
      </c>
      <c r="S345" s="4" t="s">
        <v>362</v>
      </c>
      <c r="T345" s="24" t="n">
        <v>290</v>
      </c>
      <c r="U345" s="18" t="n">
        <v>3</v>
      </c>
      <c r="V345" s="24" t="n">
        <v>0.31</v>
      </c>
      <c r="W345" s="2" t="n">
        <v>0.3</v>
      </c>
      <c r="Z345" s="18"/>
      <c r="AA345" s="20" t="n">
        <v>102016</v>
      </c>
      <c r="AB345" s="20" t="n">
        <v>126053</v>
      </c>
      <c r="AC345" s="19" t="n">
        <f aca="false">(AB345-AA345)/AB345</f>
        <v>0.190689630552228</v>
      </c>
    </row>
    <row r="346" customFormat="false" ht="14.25" hidden="false" customHeight="true" outlineLevel="0" collapsed="false">
      <c r="A346" s="18" t="s">
        <v>342</v>
      </c>
      <c r="B346" s="18" t="s">
        <v>342</v>
      </c>
      <c r="C346" s="18" t="s">
        <v>159</v>
      </c>
      <c r="E346" s="2" t="n">
        <f aca="false">INDEX(FieldSites!F:F, MATCH(Ch2_FieldSurvey!B346,FieldSites!C:C,0))</f>
        <v>1124</v>
      </c>
      <c r="F346" s="2" t="n">
        <f aca="false">INDEX(FieldSites!G:G, MATCH(Ch2_FieldSurvey!B346,FieldSites!C:C,0))</f>
        <v>-119.570677</v>
      </c>
      <c r="G346" s="2" t="n">
        <f aca="false">INDEX(FieldSites!H:H, MATCH(Ch2_FieldSurvey!B346,FieldSites!C:C,0))</f>
        <v>37.33823</v>
      </c>
      <c r="H346" s="18" t="n">
        <v>10</v>
      </c>
      <c r="I346" s="21" t="str">
        <f aca="false">CONCATENATE(B346,"_",C346,H346)</f>
        <v>AGFB_M. nasutus10</v>
      </c>
      <c r="J346" s="22" t="n">
        <v>44673</v>
      </c>
      <c r="K346" s="23"/>
      <c r="L346" s="22" t="n">
        <v>44674</v>
      </c>
      <c r="M346" s="23" t="n">
        <v>0.644444444444445</v>
      </c>
      <c r="O346" s="1" t="s">
        <v>361</v>
      </c>
      <c r="P346" s="16" t="s">
        <v>304</v>
      </c>
      <c r="R346" s="16" t="s">
        <v>306</v>
      </c>
      <c r="S346" s="4" t="s">
        <v>362</v>
      </c>
      <c r="T346" s="24" t="n">
        <v>415</v>
      </c>
      <c r="U346" s="18" t="n">
        <v>3.6</v>
      </c>
      <c r="V346" s="24" t="n">
        <v>0.23</v>
      </c>
      <c r="Z346" s="18"/>
      <c r="AA346" s="20"/>
      <c r="AB346" s="20"/>
      <c r="AC346" s="19" t="e">
        <f aca="false">(AB346-AA346)/AB346</f>
        <v>#DIV/0!</v>
      </c>
    </row>
    <row r="347" customFormat="false" ht="14.25" hidden="false" customHeight="true" outlineLevel="0" collapsed="false">
      <c r="A347" s="18" t="s">
        <v>342</v>
      </c>
      <c r="B347" s="18" t="s">
        <v>342</v>
      </c>
      <c r="C347" s="18" t="s">
        <v>159</v>
      </c>
      <c r="E347" s="2" t="n">
        <f aca="false">INDEX(FieldSites!F:F, MATCH(Ch2_FieldSurvey!B347,FieldSites!C:C,0))</f>
        <v>1124</v>
      </c>
      <c r="F347" s="2" t="n">
        <f aca="false">INDEX(FieldSites!G:G, MATCH(Ch2_FieldSurvey!B347,FieldSites!C:C,0))</f>
        <v>-119.570677</v>
      </c>
      <c r="G347" s="2" t="n">
        <f aca="false">INDEX(FieldSites!H:H, MATCH(Ch2_FieldSurvey!B347,FieldSites!C:C,0))</f>
        <v>37.33823</v>
      </c>
      <c r="H347" s="18" t="n">
        <v>10</v>
      </c>
      <c r="I347" s="21" t="str">
        <f aca="false">CONCATENATE(B347,"_",C347,H347)</f>
        <v>AGFB_M. nasutus10</v>
      </c>
      <c r="J347" s="22" t="n">
        <v>44673</v>
      </c>
      <c r="K347" s="23"/>
      <c r="L347" s="22" t="n">
        <v>44674</v>
      </c>
      <c r="M347" s="23" t="n">
        <v>0.644444444444445</v>
      </c>
      <c r="O347" s="1" t="s">
        <v>361</v>
      </c>
      <c r="P347" s="16" t="s">
        <v>304</v>
      </c>
      <c r="R347" s="16" t="s">
        <v>306</v>
      </c>
      <c r="S347" s="4" t="s">
        <v>362</v>
      </c>
      <c r="T347" s="24" t="n">
        <v>280</v>
      </c>
      <c r="U347" s="18" t="n">
        <v>4</v>
      </c>
      <c r="V347" s="24" t="n">
        <v>0.29</v>
      </c>
      <c r="Z347" s="18"/>
      <c r="AA347" s="20"/>
      <c r="AB347" s="20"/>
      <c r="AC347" s="19" t="e">
        <f aca="false">(AB347-AA347)/AB347</f>
        <v>#DIV/0!</v>
      </c>
    </row>
    <row r="348" customFormat="false" ht="14.25" hidden="false" customHeight="true" outlineLevel="0" collapsed="false">
      <c r="A348" s="18" t="s">
        <v>342</v>
      </c>
      <c r="B348" s="18" t="s">
        <v>342</v>
      </c>
      <c r="C348" s="18" t="s">
        <v>31</v>
      </c>
      <c r="E348" s="2" t="n">
        <f aca="false">INDEX(FieldSites!F:F, MATCH(Ch2_FieldSurvey!B348,FieldSites!C:C,0))</f>
        <v>1124</v>
      </c>
      <c r="F348" s="2" t="n">
        <f aca="false">INDEX(FieldSites!G:G, MATCH(Ch2_FieldSurvey!B348,FieldSites!C:C,0))</f>
        <v>-119.570677</v>
      </c>
      <c r="G348" s="2" t="n">
        <f aca="false">INDEX(FieldSites!H:H, MATCH(Ch2_FieldSurvey!B348,FieldSites!C:C,0))</f>
        <v>37.33823</v>
      </c>
      <c r="H348" s="18" t="n">
        <v>1</v>
      </c>
      <c r="I348" s="21" t="str">
        <f aca="false">CONCATENATE(B348,"_",C348,H348)</f>
        <v>AGFB_M. laciniatus1</v>
      </c>
      <c r="J348" s="22" t="n">
        <v>44673</v>
      </c>
      <c r="K348" s="23"/>
      <c r="L348" s="22" t="n">
        <v>44674</v>
      </c>
      <c r="M348" s="23" t="n">
        <v>0.658333333333333</v>
      </c>
      <c r="O348" s="1" t="s">
        <v>363</v>
      </c>
      <c r="P348" s="16" t="s">
        <v>304</v>
      </c>
      <c r="R348" s="16" t="s">
        <v>306</v>
      </c>
      <c r="S348" s="4" t="s">
        <v>364</v>
      </c>
      <c r="T348" s="24" t="n">
        <v>295</v>
      </c>
      <c r="U348" s="18" t="n">
        <v>3.2</v>
      </c>
      <c r="V348" s="24" t="n">
        <v>0.34</v>
      </c>
      <c r="Z348" s="18"/>
      <c r="AA348" s="20" t="n">
        <v>398988</v>
      </c>
      <c r="AB348" s="20" t="n">
        <v>767801</v>
      </c>
      <c r="AC348" s="19" t="n">
        <f aca="false">(AB348-AA348)/AB348</f>
        <v>0.480349726035783</v>
      </c>
    </row>
    <row r="349" customFormat="false" ht="14.25" hidden="false" customHeight="true" outlineLevel="0" collapsed="false">
      <c r="A349" s="18" t="s">
        <v>342</v>
      </c>
      <c r="B349" s="18" t="s">
        <v>342</v>
      </c>
      <c r="C349" s="18" t="s">
        <v>31</v>
      </c>
      <c r="E349" s="2" t="n">
        <f aca="false">INDEX(FieldSites!F:F, MATCH(Ch2_FieldSurvey!B349,FieldSites!C:C,0))</f>
        <v>1124</v>
      </c>
      <c r="F349" s="2" t="n">
        <f aca="false">INDEX(FieldSites!G:G, MATCH(Ch2_FieldSurvey!B349,FieldSites!C:C,0))</f>
        <v>-119.570677</v>
      </c>
      <c r="G349" s="2" t="n">
        <f aca="false">INDEX(FieldSites!H:H, MATCH(Ch2_FieldSurvey!B349,FieldSites!C:C,0))</f>
        <v>37.33823</v>
      </c>
      <c r="H349" s="18" t="n">
        <v>1</v>
      </c>
      <c r="I349" s="21" t="str">
        <f aca="false">CONCATENATE(B349,"_",C349,H349)</f>
        <v>AGFB_M. laciniatus1</v>
      </c>
      <c r="J349" s="22" t="n">
        <v>44673</v>
      </c>
      <c r="K349" s="23"/>
      <c r="L349" s="22" t="n">
        <v>44674</v>
      </c>
      <c r="M349" s="23" t="n">
        <v>0.658333333333333</v>
      </c>
      <c r="O349" s="1" t="s">
        <v>363</v>
      </c>
      <c r="P349" s="16" t="s">
        <v>304</v>
      </c>
      <c r="R349" s="16" t="s">
        <v>306</v>
      </c>
      <c r="S349" s="4" t="s">
        <v>364</v>
      </c>
      <c r="T349" s="24" t="n">
        <v>340</v>
      </c>
      <c r="U349" s="18" t="n">
        <v>2.4</v>
      </c>
      <c r="V349" s="24" t="n">
        <v>0.3</v>
      </c>
      <c r="Z349" s="18"/>
      <c r="AA349" s="20"/>
      <c r="AB349" s="20"/>
      <c r="AC349" s="19" t="e">
        <f aca="false">(AB349-AA349)/AB349</f>
        <v>#DIV/0!</v>
      </c>
    </row>
    <row r="350" customFormat="false" ht="14.25" hidden="false" customHeight="true" outlineLevel="0" collapsed="false">
      <c r="A350" s="18" t="s">
        <v>342</v>
      </c>
      <c r="B350" s="18" t="s">
        <v>342</v>
      </c>
      <c r="C350" s="18" t="s">
        <v>31</v>
      </c>
      <c r="E350" s="2" t="n">
        <f aca="false">INDEX(FieldSites!F:F, MATCH(Ch2_FieldSurvey!B350,FieldSites!C:C,0))</f>
        <v>1124</v>
      </c>
      <c r="F350" s="2" t="n">
        <f aca="false">INDEX(FieldSites!G:G, MATCH(Ch2_FieldSurvey!B350,FieldSites!C:C,0))</f>
        <v>-119.570677</v>
      </c>
      <c r="G350" s="2" t="n">
        <f aca="false">INDEX(FieldSites!H:H, MATCH(Ch2_FieldSurvey!B350,FieldSites!C:C,0))</f>
        <v>37.33823</v>
      </c>
      <c r="H350" s="18" t="n">
        <v>1</v>
      </c>
      <c r="I350" s="21" t="str">
        <f aca="false">CONCATENATE(B350,"_",C350,H350)</f>
        <v>AGFB_M. laciniatus1</v>
      </c>
      <c r="J350" s="22" t="n">
        <v>44673</v>
      </c>
      <c r="K350" s="23"/>
      <c r="L350" s="22" t="n">
        <v>44674</v>
      </c>
      <c r="M350" s="23" t="n">
        <v>0.658333333333333</v>
      </c>
      <c r="O350" s="1" t="s">
        <v>363</v>
      </c>
      <c r="P350" s="16" t="s">
        <v>304</v>
      </c>
      <c r="R350" s="16" t="s">
        <v>306</v>
      </c>
      <c r="S350" s="4" t="s">
        <v>364</v>
      </c>
      <c r="T350" s="24" t="n">
        <v>330</v>
      </c>
      <c r="U350" s="18" t="n">
        <v>2.7</v>
      </c>
      <c r="V350" s="24" t="n">
        <v>0.3</v>
      </c>
      <c r="Z350" s="18"/>
      <c r="AA350" s="20"/>
      <c r="AB350" s="20"/>
      <c r="AC350" s="19" t="e">
        <f aca="false">(AB350-AA350)/AB350</f>
        <v>#DIV/0!</v>
      </c>
    </row>
    <row r="351" customFormat="false" ht="14.25" hidden="false" customHeight="true" outlineLevel="0" collapsed="false">
      <c r="A351" s="18" t="s">
        <v>342</v>
      </c>
      <c r="B351" s="18" t="s">
        <v>342</v>
      </c>
      <c r="C351" s="18" t="s">
        <v>31</v>
      </c>
      <c r="E351" s="2" t="n">
        <f aca="false">INDEX(FieldSites!F:F, MATCH(Ch2_FieldSurvey!B351,FieldSites!C:C,0))</f>
        <v>1124</v>
      </c>
      <c r="F351" s="2" t="n">
        <f aca="false">INDEX(FieldSites!G:G, MATCH(Ch2_FieldSurvey!B351,FieldSites!C:C,0))</f>
        <v>-119.570677</v>
      </c>
      <c r="G351" s="2" t="n">
        <f aca="false">INDEX(FieldSites!H:H, MATCH(Ch2_FieldSurvey!B351,FieldSites!C:C,0))</f>
        <v>37.33823</v>
      </c>
      <c r="H351" s="18" t="n">
        <v>2</v>
      </c>
      <c r="I351" s="21" t="str">
        <f aca="false">CONCATENATE(B351,"_",C351,H351)</f>
        <v>AGFB_M. laciniatus2</v>
      </c>
      <c r="J351" s="22" t="n">
        <v>44673</v>
      </c>
      <c r="K351" s="23"/>
      <c r="L351" s="22" t="n">
        <v>44674</v>
      </c>
      <c r="M351" s="23" t="n">
        <v>0.664583333333333</v>
      </c>
      <c r="O351" s="1" t="s">
        <v>365</v>
      </c>
      <c r="P351" s="16" t="s">
        <v>304</v>
      </c>
      <c r="R351" s="16" t="s">
        <v>306</v>
      </c>
      <c r="S351" s="4" t="s">
        <v>366</v>
      </c>
      <c r="T351" s="24" t="n">
        <v>229</v>
      </c>
      <c r="U351" s="18" t="n">
        <v>1.6</v>
      </c>
      <c r="V351" s="24" t="n">
        <v>0.19</v>
      </c>
      <c r="Z351" s="18"/>
      <c r="AA351" s="20" t="n">
        <v>170388</v>
      </c>
      <c r="AB351" s="20" t="n">
        <v>258056</v>
      </c>
      <c r="AC351" s="19" t="n">
        <f aca="false">(AB351-AA351)/AB351</f>
        <v>0.33972471091546</v>
      </c>
      <c r="AD351" s="2" t="s">
        <v>367</v>
      </c>
    </row>
    <row r="352" customFormat="false" ht="14.25" hidden="false" customHeight="true" outlineLevel="0" collapsed="false">
      <c r="A352" s="18" t="s">
        <v>342</v>
      </c>
      <c r="B352" s="18" t="s">
        <v>342</v>
      </c>
      <c r="C352" s="18" t="s">
        <v>31</v>
      </c>
      <c r="E352" s="2" t="n">
        <f aca="false">INDEX(FieldSites!F:F, MATCH(Ch2_FieldSurvey!B352,FieldSites!C:C,0))</f>
        <v>1124</v>
      </c>
      <c r="F352" s="2" t="n">
        <f aca="false">INDEX(FieldSites!G:G, MATCH(Ch2_FieldSurvey!B352,FieldSites!C:C,0))</f>
        <v>-119.570677</v>
      </c>
      <c r="G352" s="2" t="n">
        <f aca="false">INDEX(FieldSites!H:H, MATCH(Ch2_FieldSurvey!B352,FieldSites!C:C,0))</f>
        <v>37.33823</v>
      </c>
      <c r="H352" s="18" t="n">
        <v>2</v>
      </c>
      <c r="I352" s="21" t="str">
        <f aca="false">CONCATENATE(B352,"_",C352,H352)</f>
        <v>AGFB_M. laciniatus2</v>
      </c>
      <c r="J352" s="22" t="n">
        <v>44673</v>
      </c>
      <c r="K352" s="23"/>
      <c r="L352" s="22" t="n">
        <v>44674</v>
      </c>
      <c r="M352" s="23" t="n">
        <v>0.664583333333333</v>
      </c>
      <c r="O352" s="1" t="s">
        <v>365</v>
      </c>
      <c r="P352" s="16" t="s">
        <v>304</v>
      </c>
      <c r="R352" s="16" t="s">
        <v>306</v>
      </c>
      <c r="S352" s="4" t="s">
        <v>366</v>
      </c>
      <c r="T352" s="24" t="n">
        <v>237</v>
      </c>
      <c r="U352" s="18" t="n">
        <v>1.2</v>
      </c>
      <c r="V352" s="24" t="n">
        <v>0.21</v>
      </c>
      <c r="Z352" s="18"/>
      <c r="AA352" s="20"/>
      <c r="AB352" s="20"/>
      <c r="AC352" s="19" t="e">
        <f aca="false">(AB352-AA352)/AB352</f>
        <v>#DIV/0!</v>
      </c>
    </row>
    <row r="353" customFormat="false" ht="14.25" hidden="false" customHeight="true" outlineLevel="0" collapsed="false">
      <c r="A353" s="18" t="s">
        <v>342</v>
      </c>
      <c r="B353" s="18" t="s">
        <v>342</v>
      </c>
      <c r="C353" s="18" t="s">
        <v>31</v>
      </c>
      <c r="E353" s="2" t="n">
        <f aca="false">INDEX(FieldSites!F:F, MATCH(Ch2_FieldSurvey!B353,FieldSites!C:C,0))</f>
        <v>1124</v>
      </c>
      <c r="F353" s="2" t="n">
        <f aca="false">INDEX(FieldSites!G:G, MATCH(Ch2_FieldSurvey!B353,FieldSites!C:C,0))</f>
        <v>-119.570677</v>
      </c>
      <c r="G353" s="2" t="n">
        <f aca="false">INDEX(FieldSites!H:H, MATCH(Ch2_FieldSurvey!B353,FieldSites!C:C,0))</f>
        <v>37.33823</v>
      </c>
      <c r="H353" s="18" t="n">
        <v>2</v>
      </c>
      <c r="I353" s="21" t="str">
        <f aca="false">CONCATENATE(B353,"_",C353,H353)</f>
        <v>AGFB_M. laciniatus2</v>
      </c>
      <c r="J353" s="22" t="n">
        <v>44673</v>
      </c>
      <c r="K353" s="23"/>
      <c r="L353" s="22" t="n">
        <v>44674</v>
      </c>
      <c r="M353" s="23" t="n">
        <v>0.664583333333333</v>
      </c>
      <c r="O353" s="1" t="s">
        <v>365</v>
      </c>
      <c r="P353" s="16" t="s">
        <v>304</v>
      </c>
      <c r="R353" s="16" t="s">
        <v>306</v>
      </c>
      <c r="S353" s="4" t="s">
        <v>366</v>
      </c>
      <c r="T353" s="24" t="n">
        <v>232</v>
      </c>
      <c r="U353" s="18" t="n">
        <v>2.4</v>
      </c>
      <c r="V353" s="24" t="n">
        <v>0.17</v>
      </c>
      <c r="Z353" s="18"/>
      <c r="AA353" s="20"/>
      <c r="AB353" s="20"/>
      <c r="AC353" s="19" t="e">
        <f aca="false">(AB353-AA353)/AB353</f>
        <v>#DIV/0!</v>
      </c>
    </row>
    <row r="354" customFormat="false" ht="14.25" hidden="false" customHeight="true" outlineLevel="0" collapsed="false">
      <c r="A354" s="18" t="s">
        <v>342</v>
      </c>
      <c r="B354" s="18" t="s">
        <v>342</v>
      </c>
      <c r="C354" s="18" t="s">
        <v>31</v>
      </c>
      <c r="E354" s="2" t="n">
        <f aca="false">INDEX(FieldSites!F:F, MATCH(Ch2_FieldSurvey!B354,FieldSites!C:C,0))</f>
        <v>1124</v>
      </c>
      <c r="F354" s="2" t="n">
        <f aca="false">INDEX(FieldSites!G:G, MATCH(Ch2_FieldSurvey!B354,FieldSites!C:C,0))</f>
        <v>-119.570677</v>
      </c>
      <c r="G354" s="2" t="n">
        <f aca="false">INDEX(FieldSites!H:H, MATCH(Ch2_FieldSurvey!B354,FieldSites!C:C,0))</f>
        <v>37.33823</v>
      </c>
      <c r="H354" s="18" t="n">
        <v>3</v>
      </c>
      <c r="I354" s="21" t="str">
        <f aca="false">CONCATENATE(B354,"_",C354,H354)</f>
        <v>AGFB_M. laciniatus3</v>
      </c>
      <c r="J354" s="22" t="n">
        <v>44673</v>
      </c>
      <c r="K354" s="23"/>
      <c r="L354" s="22" t="n">
        <v>44674</v>
      </c>
      <c r="M354" s="23" t="n">
        <v>0.66875</v>
      </c>
      <c r="O354" s="1" t="s">
        <v>368</v>
      </c>
      <c r="P354" s="16" t="s">
        <v>304</v>
      </c>
      <c r="R354" s="16" t="s">
        <v>306</v>
      </c>
      <c r="S354" s="4" t="s">
        <v>369</v>
      </c>
      <c r="T354" s="24" t="n">
        <v>290</v>
      </c>
      <c r="U354" s="18" t="n">
        <v>2.6</v>
      </c>
      <c r="V354" s="24" t="n">
        <v>0.27</v>
      </c>
      <c r="Z354" s="18"/>
      <c r="AA354" s="20" t="n">
        <v>181525</v>
      </c>
      <c r="AB354" s="20" t="n">
        <v>292548</v>
      </c>
      <c r="AC354" s="19" t="n">
        <f aca="false">(AB354-AA354)/AB354</f>
        <v>0.379503534462721</v>
      </c>
      <c r="AD354" s="2" t="s">
        <v>370</v>
      </c>
    </row>
    <row r="355" customFormat="false" ht="14.25" hidden="false" customHeight="true" outlineLevel="0" collapsed="false">
      <c r="A355" s="18" t="s">
        <v>342</v>
      </c>
      <c r="B355" s="18" t="s">
        <v>342</v>
      </c>
      <c r="C355" s="18" t="s">
        <v>31</v>
      </c>
      <c r="E355" s="2" t="n">
        <f aca="false">INDEX(FieldSites!F:F, MATCH(Ch2_FieldSurvey!B355,FieldSites!C:C,0))</f>
        <v>1124</v>
      </c>
      <c r="F355" s="2" t="n">
        <f aca="false">INDEX(FieldSites!G:G, MATCH(Ch2_FieldSurvey!B355,FieldSites!C:C,0))</f>
        <v>-119.570677</v>
      </c>
      <c r="G355" s="2" t="n">
        <f aca="false">INDEX(FieldSites!H:H, MATCH(Ch2_FieldSurvey!B355,FieldSites!C:C,0))</f>
        <v>37.33823</v>
      </c>
      <c r="H355" s="18" t="n">
        <v>3</v>
      </c>
      <c r="I355" s="21" t="str">
        <f aca="false">CONCATENATE(B355,"_",C355,H355)</f>
        <v>AGFB_M. laciniatus3</v>
      </c>
      <c r="J355" s="22" t="n">
        <v>44673</v>
      </c>
      <c r="K355" s="23"/>
      <c r="L355" s="22" t="n">
        <v>44674</v>
      </c>
      <c r="M355" s="23" t="n">
        <v>0.66875</v>
      </c>
      <c r="O355" s="1" t="s">
        <v>368</v>
      </c>
      <c r="P355" s="16" t="s">
        <v>304</v>
      </c>
      <c r="R355" s="16" t="s">
        <v>306</v>
      </c>
      <c r="S355" s="4" t="s">
        <v>369</v>
      </c>
      <c r="T355" s="24" t="n">
        <v>320</v>
      </c>
      <c r="U355" s="18" t="n">
        <v>2.7</v>
      </c>
      <c r="V355" s="24" t="n">
        <v>0.27</v>
      </c>
      <c r="Z355" s="18"/>
      <c r="AA355" s="20"/>
      <c r="AB355" s="20"/>
      <c r="AC355" s="19" t="e">
        <f aca="false">(AB355-AA355)/AB355</f>
        <v>#DIV/0!</v>
      </c>
    </row>
    <row r="356" customFormat="false" ht="14.25" hidden="false" customHeight="true" outlineLevel="0" collapsed="false">
      <c r="A356" s="18" t="s">
        <v>342</v>
      </c>
      <c r="B356" s="18" t="s">
        <v>342</v>
      </c>
      <c r="C356" s="18" t="s">
        <v>31</v>
      </c>
      <c r="E356" s="2" t="n">
        <f aca="false">INDEX(FieldSites!F:F, MATCH(Ch2_FieldSurvey!B356,FieldSites!C:C,0))</f>
        <v>1124</v>
      </c>
      <c r="F356" s="2" t="n">
        <f aca="false">INDEX(FieldSites!G:G, MATCH(Ch2_FieldSurvey!B356,FieldSites!C:C,0))</f>
        <v>-119.570677</v>
      </c>
      <c r="G356" s="2" t="n">
        <f aca="false">INDEX(FieldSites!H:H, MATCH(Ch2_FieldSurvey!B356,FieldSites!C:C,0))</f>
        <v>37.33823</v>
      </c>
      <c r="H356" s="18" t="n">
        <v>3</v>
      </c>
      <c r="I356" s="21" t="str">
        <f aca="false">CONCATENATE(B356,"_",C356,H356)</f>
        <v>AGFB_M. laciniatus3</v>
      </c>
      <c r="J356" s="22" t="n">
        <v>44673</v>
      </c>
      <c r="K356" s="23"/>
      <c r="L356" s="22" t="n">
        <v>44674</v>
      </c>
      <c r="M356" s="23" t="n">
        <v>0.66875</v>
      </c>
      <c r="O356" s="1" t="s">
        <v>368</v>
      </c>
      <c r="P356" s="16" t="s">
        <v>304</v>
      </c>
      <c r="R356" s="16" t="s">
        <v>306</v>
      </c>
      <c r="S356" s="4" t="s">
        <v>369</v>
      </c>
      <c r="T356" s="24" t="n">
        <v>287</v>
      </c>
      <c r="U356" s="18" t="n">
        <v>2.5</v>
      </c>
      <c r="V356" s="24" t="n">
        <v>0.28</v>
      </c>
      <c r="Z356" s="18"/>
      <c r="AA356" s="20"/>
      <c r="AB356" s="20"/>
      <c r="AC356" s="19" t="e">
        <f aca="false">(AB356-AA356)/AB356</f>
        <v>#DIV/0!</v>
      </c>
    </row>
    <row r="357" customFormat="false" ht="14.25" hidden="false" customHeight="true" outlineLevel="0" collapsed="false">
      <c r="A357" s="18" t="s">
        <v>342</v>
      </c>
      <c r="B357" s="18" t="s">
        <v>342</v>
      </c>
      <c r="C357" s="18" t="s">
        <v>31</v>
      </c>
      <c r="E357" s="2" t="n">
        <f aca="false">INDEX(FieldSites!F:F, MATCH(Ch2_FieldSurvey!B357,FieldSites!C:C,0))</f>
        <v>1124</v>
      </c>
      <c r="F357" s="2" t="n">
        <f aca="false">INDEX(FieldSites!G:G, MATCH(Ch2_FieldSurvey!B357,FieldSites!C:C,0))</f>
        <v>-119.570677</v>
      </c>
      <c r="G357" s="2" t="n">
        <f aca="false">INDEX(FieldSites!H:H, MATCH(Ch2_FieldSurvey!B357,FieldSites!C:C,0))</f>
        <v>37.33823</v>
      </c>
      <c r="H357" s="18" t="n">
        <v>4</v>
      </c>
      <c r="I357" s="21" t="str">
        <f aca="false">CONCATENATE(B357,"_",C357,H357)</f>
        <v>AGFB_M. laciniatus4</v>
      </c>
      <c r="J357" s="22" t="n">
        <v>44673</v>
      </c>
      <c r="K357" s="23"/>
      <c r="L357" s="22" t="n">
        <v>44674</v>
      </c>
      <c r="M357" s="23" t="n">
        <v>0.674305555555556</v>
      </c>
      <c r="O357" s="1" t="s">
        <v>371</v>
      </c>
      <c r="P357" s="16" t="s">
        <v>304</v>
      </c>
      <c r="R357" s="16" t="s">
        <v>306</v>
      </c>
      <c r="S357" s="4" t="s">
        <v>372</v>
      </c>
      <c r="T357" s="24" t="n">
        <v>305</v>
      </c>
      <c r="U357" s="18" t="n">
        <v>2.2</v>
      </c>
      <c r="V357" s="24" t="n">
        <v>0.29</v>
      </c>
      <c r="Z357" s="18"/>
      <c r="AA357" s="20" t="n">
        <v>113955</v>
      </c>
      <c r="AB357" s="20" t="n">
        <v>154963</v>
      </c>
      <c r="AC357" s="19" t="n">
        <f aca="false">(AB357-AA357)/AB357</f>
        <v>0.264630911895098</v>
      </c>
      <c r="AD357" s="2" t="s">
        <v>373</v>
      </c>
    </row>
    <row r="358" customFormat="false" ht="14.25" hidden="false" customHeight="true" outlineLevel="0" collapsed="false">
      <c r="A358" s="18" t="s">
        <v>342</v>
      </c>
      <c r="B358" s="18" t="s">
        <v>342</v>
      </c>
      <c r="C358" s="18" t="s">
        <v>31</v>
      </c>
      <c r="E358" s="2" t="n">
        <f aca="false">INDEX(FieldSites!F:F, MATCH(Ch2_FieldSurvey!B358,FieldSites!C:C,0))</f>
        <v>1124</v>
      </c>
      <c r="F358" s="2" t="n">
        <f aca="false">INDEX(FieldSites!G:G, MATCH(Ch2_FieldSurvey!B358,FieldSites!C:C,0))</f>
        <v>-119.570677</v>
      </c>
      <c r="G358" s="2" t="n">
        <f aca="false">INDEX(FieldSites!H:H, MATCH(Ch2_FieldSurvey!B358,FieldSites!C:C,0))</f>
        <v>37.33823</v>
      </c>
      <c r="H358" s="18" t="n">
        <v>4</v>
      </c>
      <c r="I358" s="21" t="str">
        <f aca="false">CONCATENATE(B358,"_",C358,H358)</f>
        <v>AGFB_M. laciniatus4</v>
      </c>
      <c r="J358" s="22" t="n">
        <v>44673</v>
      </c>
      <c r="K358" s="23"/>
      <c r="L358" s="22" t="n">
        <v>44674</v>
      </c>
      <c r="M358" s="23" t="n">
        <v>0.674305555555556</v>
      </c>
      <c r="O358" s="1" t="s">
        <v>371</v>
      </c>
      <c r="P358" s="16" t="s">
        <v>304</v>
      </c>
      <c r="R358" s="16" t="s">
        <v>306</v>
      </c>
      <c r="S358" s="4" t="s">
        <v>372</v>
      </c>
      <c r="T358" s="24" t="n">
        <v>320</v>
      </c>
      <c r="U358" s="18" t="n">
        <v>1.8</v>
      </c>
      <c r="V358" s="24" t="n">
        <v>0.27</v>
      </c>
      <c r="Z358" s="18"/>
      <c r="AA358" s="20"/>
      <c r="AB358" s="20"/>
      <c r="AC358" s="19" t="e">
        <f aca="false">(AB358-AA358)/AB358</f>
        <v>#DIV/0!</v>
      </c>
    </row>
    <row r="359" customFormat="false" ht="14.25" hidden="false" customHeight="true" outlineLevel="0" collapsed="false">
      <c r="A359" s="18" t="s">
        <v>342</v>
      </c>
      <c r="B359" s="18" t="s">
        <v>342</v>
      </c>
      <c r="C359" s="18" t="s">
        <v>31</v>
      </c>
      <c r="E359" s="2" t="n">
        <f aca="false">INDEX(FieldSites!F:F, MATCH(Ch2_FieldSurvey!B359,FieldSites!C:C,0))</f>
        <v>1124</v>
      </c>
      <c r="F359" s="2" t="n">
        <f aca="false">INDEX(FieldSites!G:G, MATCH(Ch2_FieldSurvey!B359,FieldSites!C:C,0))</f>
        <v>-119.570677</v>
      </c>
      <c r="G359" s="2" t="n">
        <f aca="false">INDEX(FieldSites!H:H, MATCH(Ch2_FieldSurvey!B359,FieldSites!C:C,0))</f>
        <v>37.33823</v>
      </c>
      <c r="H359" s="18" t="n">
        <v>4</v>
      </c>
      <c r="I359" s="21" t="str">
        <f aca="false">CONCATENATE(B359,"_",C359,H359)</f>
        <v>AGFB_M. laciniatus4</v>
      </c>
      <c r="J359" s="22" t="n">
        <v>44673</v>
      </c>
      <c r="K359" s="23"/>
      <c r="L359" s="22" t="n">
        <v>44674</v>
      </c>
      <c r="M359" s="23" t="n">
        <v>0.674305555555556</v>
      </c>
      <c r="O359" s="1" t="s">
        <v>371</v>
      </c>
      <c r="P359" s="16" t="s">
        <v>304</v>
      </c>
      <c r="R359" s="16" t="s">
        <v>306</v>
      </c>
      <c r="S359" s="4" t="s">
        <v>372</v>
      </c>
      <c r="T359" s="24" t="n">
        <v>325</v>
      </c>
      <c r="U359" s="18" t="n">
        <v>1.4</v>
      </c>
      <c r="V359" s="24" t="n">
        <v>0.25</v>
      </c>
      <c r="Z359" s="18"/>
      <c r="AA359" s="20"/>
      <c r="AB359" s="20"/>
      <c r="AC359" s="19" t="e">
        <f aca="false">(AB359-AA359)/AB359</f>
        <v>#DIV/0!</v>
      </c>
    </row>
    <row r="360" customFormat="false" ht="14.25" hidden="false" customHeight="true" outlineLevel="0" collapsed="false">
      <c r="A360" s="18" t="s">
        <v>342</v>
      </c>
      <c r="B360" s="18" t="s">
        <v>342</v>
      </c>
      <c r="C360" s="18" t="s">
        <v>31</v>
      </c>
      <c r="E360" s="2" t="n">
        <f aca="false">INDEX(FieldSites!F:F, MATCH(Ch2_FieldSurvey!B360,FieldSites!C:C,0))</f>
        <v>1124</v>
      </c>
      <c r="F360" s="2" t="n">
        <f aca="false">INDEX(FieldSites!G:G, MATCH(Ch2_FieldSurvey!B360,FieldSites!C:C,0))</f>
        <v>-119.570677</v>
      </c>
      <c r="G360" s="2" t="n">
        <f aca="false">INDEX(FieldSites!H:H, MATCH(Ch2_FieldSurvey!B360,FieldSites!C:C,0))</f>
        <v>37.33823</v>
      </c>
      <c r="H360" s="18" t="n">
        <v>5</v>
      </c>
      <c r="I360" s="21" t="str">
        <f aca="false">CONCATENATE(B360,"_",C360,H360)</f>
        <v>AGFB_M. laciniatus5</v>
      </c>
      <c r="J360" s="22" t="n">
        <v>44673</v>
      </c>
      <c r="K360" s="23"/>
      <c r="L360" s="22" t="n">
        <v>44674</v>
      </c>
      <c r="M360" s="23" t="n">
        <v>0.678472222222222</v>
      </c>
      <c r="O360" s="1" t="s">
        <v>374</v>
      </c>
      <c r="P360" s="16" t="s">
        <v>304</v>
      </c>
      <c r="R360" s="16" t="s">
        <v>306</v>
      </c>
      <c r="S360" s="4" t="s">
        <v>375</v>
      </c>
      <c r="T360" s="24" t="n">
        <v>260</v>
      </c>
      <c r="U360" s="18" t="n">
        <v>1.7</v>
      </c>
      <c r="V360" s="24" t="n">
        <v>0.24</v>
      </c>
      <c r="Z360" s="18"/>
      <c r="AA360" s="20" t="n">
        <v>231452</v>
      </c>
      <c r="AB360" s="20" t="n">
        <v>476635</v>
      </c>
      <c r="AC360" s="19" t="n">
        <f aca="false">(AB360-AA360)/AB360</f>
        <v>0.514404103769132</v>
      </c>
      <c r="AD360" s="2" t="s">
        <v>376</v>
      </c>
    </row>
    <row r="361" customFormat="false" ht="14.25" hidden="false" customHeight="true" outlineLevel="0" collapsed="false">
      <c r="A361" s="18" t="s">
        <v>342</v>
      </c>
      <c r="B361" s="18" t="s">
        <v>342</v>
      </c>
      <c r="C361" s="18" t="s">
        <v>31</v>
      </c>
      <c r="E361" s="2" t="n">
        <f aca="false">INDEX(FieldSites!F:F, MATCH(Ch2_FieldSurvey!B361,FieldSites!C:C,0))</f>
        <v>1124</v>
      </c>
      <c r="F361" s="2" t="n">
        <f aca="false">INDEX(FieldSites!G:G, MATCH(Ch2_FieldSurvey!B361,FieldSites!C:C,0))</f>
        <v>-119.570677</v>
      </c>
      <c r="G361" s="2" t="n">
        <f aca="false">INDEX(FieldSites!H:H, MATCH(Ch2_FieldSurvey!B361,FieldSites!C:C,0))</f>
        <v>37.33823</v>
      </c>
      <c r="H361" s="18" t="n">
        <v>5</v>
      </c>
      <c r="I361" s="21" t="str">
        <f aca="false">CONCATENATE(B361,"_",C361,H361)</f>
        <v>AGFB_M. laciniatus5</v>
      </c>
      <c r="J361" s="22" t="n">
        <v>44673</v>
      </c>
      <c r="K361" s="23"/>
      <c r="L361" s="22" t="n">
        <v>44674</v>
      </c>
      <c r="M361" s="23" t="n">
        <v>0.678472222222222</v>
      </c>
      <c r="O361" s="1" t="s">
        <v>374</v>
      </c>
      <c r="P361" s="16" t="s">
        <v>304</v>
      </c>
      <c r="R361" s="16" t="s">
        <v>306</v>
      </c>
      <c r="S361" s="4" t="s">
        <v>375</v>
      </c>
      <c r="T361" s="24" t="n">
        <v>297</v>
      </c>
      <c r="U361" s="18" t="n">
        <v>1.9</v>
      </c>
      <c r="V361" s="24" t="n">
        <v>0.24</v>
      </c>
      <c r="Z361" s="18"/>
      <c r="AA361" s="20"/>
      <c r="AB361" s="20"/>
      <c r="AC361" s="19" t="e">
        <f aca="false">(AB361-AA361)/AB361</f>
        <v>#DIV/0!</v>
      </c>
    </row>
    <row r="362" customFormat="false" ht="14.25" hidden="false" customHeight="true" outlineLevel="0" collapsed="false">
      <c r="A362" s="18" t="s">
        <v>342</v>
      </c>
      <c r="B362" s="18" t="s">
        <v>342</v>
      </c>
      <c r="C362" s="18" t="s">
        <v>31</v>
      </c>
      <c r="E362" s="2" t="n">
        <f aca="false">INDEX(FieldSites!F:F, MATCH(Ch2_FieldSurvey!B362,FieldSites!C:C,0))</f>
        <v>1124</v>
      </c>
      <c r="F362" s="2" t="n">
        <f aca="false">INDEX(FieldSites!G:G, MATCH(Ch2_FieldSurvey!B362,FieldSites!C:C,0))</f>
        <v>-119.570677</v>
      </c>
      <c r="G362" s="2" t="n">
        <f aca="false">INDEX(FieldSites!H:H, MATCH(Ch2_FieldSurvey!B362,FieldSites!C:C,0))</f>
        <v>37.33823</v>
      </c>
      <c r="H362" s="18" t="n">
        <v>5</v>
      </c>
      <c r="I362" s="21" t="str">
        <f aca="false">CONCATENATE(B362,"_",C362,H362)</f>
        <v>AGFB_M. laciniatus5</v>
      </c>
      <c r="J362" s="22" t="n">
        <v>44673</v>
      </c>
      <c r="K362" s="23"/>
      <c r="L362" s="22" t="n">
        <v>44674</v>
      </c>
      <c r="M362" s="23" t="n">
        <v>0.678472222222222</v>
      </c>
      <c r="O362" s="1" t="s">
        <v>374</v>
      </c>
      <c r="P362" s="16" t="s">
        <v>304</v>
      </c>
      <c r="R362" s="16" t="s">
        <v>306</v>
      </c>
      <c r="S362" s="4" t="s">
        <v>375</v>
      </c>
      <c r="T362" s="24" t="n">
        <v>225</v>
      </c>
      <c r="U362" s="18" t="n">
        <v>2</v>
      </c>
      <c r="V362" s="24" t="n">
        <v>0.22</v>
      </c>
      <c r="Z362" s="18"/>
      <c r="AA362" s="20"/>
      <c r="AB362" s="20"/>
      <c r="AC362" s="19" t="e">
        <f aca="false">(AB362-AA362)/AB362</f>
        <v>#DIV/0!</v>
      </c>
    </row>
    <row r="363" customFormat="false" ht="14.25" hidden="false" customHeight="true" outlineLevel="0" collapsed="false">
      <c r="A363" s="18" t="s">
        <v>342</v>
      </c>
      <c r="B363" s="18" t="s">
        <v>342</v>
      </c>
      <c r="C363" s="18" t="s">
        <v>31</v>
      </c>
      <c r="E363" s="2" t="n">
        <f aca="false">INDEX(FieldSites!F:F, MATCH(Ch2_FieldSurvey!B363,FieldSites!C:C,0))</f>
        <v>1124</v>
      </c>
      <c r="F363" s="2" t="n">
        <f aca="false">INDEX(FieldSites!G:G, MATCH(Ch2_FieldSurvey!B363,FieldSites!C:C,0))</f>
        <v>-119.570677</v>
      </c>
      <c r="G363" s="2" t="n">
        <f aca="false">INDEX(FieldSites!H:H, MATCH(Ch2_FieldSurvey!B363,FieldSites!C:C,0))</f>
        <v>37.33823</v>
      </c>
      <c r="H363" s="18" t="n">
        <v>6</v>
      </c>
      <c r="I363" s="21" t="str">
        <f aca="false">CONCATENATE(B363,"_",C363,H363)</f>
        <v>AGFB_M. laciniatus6</v>
      </c>
      <c r="J363" s="22" t="n">
        <v>44673</v>
      </c>
      <c r="K363" s="23"/>
      <c r="L363" s="22" t="n">
        <v>44674</v>
      </c>
      <c r="M363" s="23" t="n">
        <v>0.683333333333333</v>
      </c>
      <c r="O363" s="1" t="s">
        <v>377</v>
      </c>
      <c r="P363" s="16" t="s">
        <v>304</v>
      </c>
      <c r="R363" s="16" t="s">
        <v>306</v>
      </c>
      <c r="S363" s="4" t="s">
        <v>378</v>
      </c>
      <c r="T363" s="24" t="n">
        <v>215</v>
      </c>
      <c r="U363" s="18" t="n">
        <v>1.8</v>
      </c>
      <c r="V363" s="24" t="n">
        <v>0.18</v>
      </c>
      <c r="Z363" s="18"/>
      <c r="AA363" s="20" t="n">
        <v>96322</v>
      </c>
      <c r="AB363" s="20" t="n">
        <v>203685</v>
      </c>
      <c r="AC363" s="19" t="n">
        <f aca="false">(AB363-AA363)/AB363</f>
        <v>0.527103124923288</v>
      </c>
    </row>
    <row r="364" customFormat="false" ht="14.25" hidden="false" customHeight="true" outlineLevel="0" collapsed="false">
      <c r="A364" s="18" t="s">
        <v>342</v>
      </c>
      <c r="B364" s="18" t="s">
        <v>342</v>
      </c>
      <c r="C364" s="18" t="s">
        <v>31</v>
      </c>
      <c r="E364" s="2" t="n">
        <f aca="false">INDEX(FieldSites!F:F, MATCH(Ch2_FieldSurvey!B364,FieldSites!C:C,0))</f>
        <v>1124</v>
      </c>
      <c r="F364" s="2" t="n">
        <f aca="false">INDEX(FieldSites!G:G, MATCH(Ch2_FieldSurvey!B364,FieldSites!C:C,0))</f>
        <v>-119.570677</v>
      </c>
      <c r="G364" s="2" t="n">
        <f aca="false">INDEX(FieldSites!H:H, MATCH(Ch2_FieldSurvey!B364,FieldSites!C:C,0))</f>
        <v>37.33823</v>
      </c>
      <c r="H364" s="18" t="n">
        <v>6</v>
      </c>
      <c r="I364" s="21" t="str">
        <f aca="false">CONCATENATE(B364,"_",C364,H364)</f>
        <v>AGFB_M. laciniatus6</v>
      </c>
      <c r="J364" s="22" t="n">
        <v>44673</v>
      </c>
      <c r="K364" s="23"/>
      <c r="L364" s="22" t="n">
        <v>44674</v>
      </c>
      <c r="M364" s="23" t="n">
        <v>0.683333333333333</v>
      </c>
      <c r="O364" s="1" t="s">
        <v>377</v>
      </c>
      <c r="P364" s="16" t="s">
        <v>304</v>
      </c>
      <c r="R364" s="16" t="s">
        <v>306</v>
      </c>
      <c r="S364" s="4" t="s">
        <v>378</v>
      </c>
      <c r="T364" s="24" t="n">
        <v>214</v>
      </c>
      <c r="U364" s="18" t="n">
        <v>1.5</v>
      </c>
      <c r="V364" s="24" t="n">
        <v>0.21</v>
      </c>
      <c r="Z364" s="18"/>
      <c r="AA364" s="20"/>
      <c r="AB364" s="20"/>
      <c r="AC364" s="19" t="e">
        <f aca="false">(AB364-AA364)/AB364</f>
        <v>#DIV/0!</v>
      </c>
    </row>
    <row r="365" customFormat="false" ht="14.25" hidden="false" customHeight="true" outlineLevel="0" collapsed="false">
      <c r="A365" s="18" t="s">
        <v>342</v>
      </c>
      <c r="B365" s="18" t="s">
        <v>342</v>
      </c>
      <c r="C365" s="18" t="s">
        <v>31</v>
      </c>
      <c r="E365" s="2" t="n">
        <f aca="false">INDEX(FieldSites!F:F, MATCH(Ch2_FieldSurvey!B365,FieldSites!C:C,0))</f>
        <v>1124</v>
      </c>
      <c r="F365" s="2" t="n">
        <f aca="false">INDEX(FieldSites!G:G, MATCH(Ch2_FieldSurvey!B365,FieldSites!C:C,0))</f>
        <v>-119.570677</v>
      </c>
      <c r="G365" s="2" t="n">
        <f aca="false">INDEX(FieldSites!H:H, MATCH(Ch2_FieldSurvey!B365,FieldSites!C:C,0))</f>
        <v>37.33823</v>
      </c>
      <c r="H365" s="18" t="n">
        <v>6</v>
      </c>
      <c r="I365" s="21" t="str">
        <f aca="false">CONCATENATE(B365,"_",C365,H365)</f>
        <v>AGFB_M. laciniatus6</v>
      </c>
      <c r="J365" s="22" t="n">
        <v>44673</v>
      </c>
      <c r="K365" s="23"/>
      <c r="L365" s="22" t="n">
        <v>44674</v>
      </c>
      <c r="M365" s="23" t="n">
        <v>0.683333333333333</v>
      </c>
      <c r="O365" s="1" t="s">
        <v>377</v>
      </c>
      <c r="P365" s="16" t="s">
        <v>304</v>
      </c>
      <c r="R365" s="16" t="s">
        <v>306</v>
      </c>
      <c r="S365" s="4" t="s">
        <v>378</v>
      </c>
      <c r="T365" s="24" t="n">
        <v>222</v>
      </c>
      <c r="U365" s="18" t="n">
        <v>1.5</v>
      </c>
      <c r="V365" s="24" t="n">
        <v>0.21</v>
      </c>
      <c r="Z365" s="18"/>
      <c r="AA365" s="20"/>
      <c r="AB365" s="20"/>
      <c r="AC365" s="19" t="e">
        <f aca="false">(AB365-AA365)/AB365</f>
        <v>#DIV/0!</v>
      </c>
    </row>
    <row r="366" customFormat="false" ht="14.25" hidden="false" customHeight="true" outlineLevel="0" collapsed="false">
      <c r="A366" s="18" t="s">
        <v>342</v>
      </c>
      <c r="B366" s="18" t="s">
        <v>342</v>
      </c>
      <c r="C366" s="18" t="s">
        <v>31</v>
      </c>
      <c r="E366" s="2" t="n">
        <f aca="false">INDEX(FieldSites!F:F, MATCH(Ch2_FieldSurvey!B366,FieldSites!C:C,0))</f>
        <v>1124</v>
      </c>
      <c r="F366" s="2" t="n">
        <f aca="false">INDEX(FieldSites!G:G, MATCH(Ch2_FieldSurvey!B366,FieldSites!C:C,0))</f>
        <v>-119.570677</v>
      </c>
      <c r="G366" s="2" t="n">
        <f aca="false">INDEX(FieldSites!H:H, MATCH(Ch2_FieldSurvey!B366,FieldSites!C:C,0))</f>
        <v>37.33823</v>
      </c>
      <c r="H366" s="18" t="n">
        <v>7</v>
      </c>
      <c r="I366" s="21" t="str">
        <f aca="false">CONCATENATE(B366,"_",C366,H366)</f>
        <v>AGFB_M. laciniatus7</v>
      </c>
      <c r="J366" s="22" t="n">
        <v>44673</v>
      </c>
      <c r="K366" s="23"/>
      <c r="L366" s="22" t="n">
        <v>44674</v>
      </c>
      <c r="M366" s="23" t="n">
        <v>0.688888888888889</v>
      </c>
      <c r="O366" s="1" t="s">
        <v>379</v>
      </c>
      <c r="P366" s="16" t="s">
        <v>304</v>
      </c>
      <c r="R366" s="16" t="s">
        <v>306</v>
      </c>
      <c r="S366" s="4" t="s">
        <v>380</v>
      </c>
      <c r="T366" s="24" t="n">
        <v>257</v>
      </c>
      <c r="U366" s="18" t="n">
        <v>3.2</v>
      </c>
      <c r="V366" s="24" t="n">
        <v>0.36</v>
      </c>
      <c r="W366" s="2" t="n">
        <v>0.5</v>
      </c>
      <c r="Z366" s="18"/>
      <c r="AA366" s="20" t="n">
        <v>233738</v>
      </c>
      <c r="AB366" s="20" t="n">
        <v>295368</v>
      </c>
      <c r="AC366" s="19" t="n">
        <f aca="false">(AB366-AA366)/AB366</f>
        <v>0.208654966008505</v>
      </c>
      <c r="AD366" s="2" t="s">
        <v>381</v>
      </c>
    </row>
    <row r="367" customFormat="false" ht="14.25" hidden="false" customHeight="true" outlineLevel="0" collapsed="false">
      <c r="A367" s="18" t="s">
        <v>342</v>
      </c>
      <c r="B367" s="18" t="s">
        <v>342</v>
      </c>
      <c r="C367" s="18" t="s">
        <v>31</v>
      </c>
      <c r="E367" s="2" t="n">
        <f aca="false">INDEX(FieldSites!F:F, MATCH(Ch2_FieldSurvey!B367,FieldSites!C:C,0))</f>
        <v>1124</v>
      </c>
      <c r="F367" s="2" t="n">
        <f aca="false">INDEX(FieldSites!G:G, MATCH(Ch2_FieldSurvey!B367,FieldSites!C:C,0))</f>
        <v>-119.570677</v>
      </c>
      <c r="G367" s="2" t="n">
        <f aca="false">INDEX(FieldSites!H:H, MATCH(Ch2_FieldSurvey!B367,FieldSites!C:C,0))</f>
        <v>37.33823</v>
      </c>
      <c r="H367" s="18" t="n">
        <v>7</v>
      </c>
      <c r="I367" s="21" t="str">
        <f aca="false">CONCATENATE(B367,"_",C367,H367)</f>
        <v>AGFB_M. laciniatus7</v>
      </c>
      <c r="J367" s="22" t="n">
        <v>44673</v>
      </c>
      <c r="K367" s="23"/>
      <c r="L367" s="22" t="n">
        <v>44674</v>
      </c>
      <c r="M367" s="23" t="n">
        <v>0.688888888888889</v>
      </c>
      <c r="O367" s="1" t="s">
        <v>379</v>
      </c>
      <c r="P367" s="16" t="s">
        <v>304</v>
      </c>
      <c r="R367" s="16" t="s">
        <v>306</v>
      </c>
      <c r="S367" s="4" t="s">
        <v>380</v>
      </c>
      <c r="T367" s="24" t="n">
        <v>380</v>
      </c>
      <c r="U367" s="18" t="n">
        <v>1.5</v>
      </c>
      <c r="V367" s="24" t="n">
        <v>0.34</v>
      </c>
      <c r="Z367" s="18"/>
      <c r="AA367" s="20"/>
      <c r="AB367" s="20"/>
      <c r="AC367" s="19" t="e">
        <f aca="false">(AB367-AA367)/AB367</f>
        <v>#DIV/0!</v>
      </c>
    </row>
    <row r="368" customFormat="false" ht="14.25" hidden="false" customHeight="true" outlineLevel="0" collapsed="false">
      <c r="A368" s="18" t="s">
        <v>342</v>
      </c>
      <c r="B368" s="18" t="s">
        <v>342</v>
      </c>
      <c r="C368" s="18" t="s">
        <v>31</v>
      </c>
      <c r="E368" s="2" t="n">
        <f aca="false">INDEX(FieldSites!F:F, MATCH(Ch2_FieldSurvey!B368,FieldSites!C:C,0))</f>
        <v>1124</v>
      </c>
      <c r="F368" s="2" t="n">
        <f aca="false">INDEX(FieldSites!G:G, MATCH(Ch2_FieldSurvey!B368,FieldSites!C:C,0))</f>
        <v>-119.570677</v>
      </c>
      <c r="G368" s="2" t="n">
        <f aca="false">INDEX(FieldSites!H:H, MATCH(Ch2_FieldSurvey!B368,FieldSites!C:C,0))</f>
        <v>37.33823</v>
      </c>
      <c r="H368" s="18" t="n">
        <v>7</v>
      </c>
      <c r="I368" s="21" t="str">
        <f aca="false">CONCATENATE(B368,"_",C368,H368)</f>
        <v>AGFB_M. laciniatus7</v>
      </c>
      <c r="J368" s="22" t="n">
        <v>44673</v>
      </c>
      <c r="K368" s="23"/>
      <c r="L368" s="22" t="n">
        <v>44674</v>
      </c>
      <c r="M368" s="23" t="n">
        <v>0.688888888888889</v>
      </c>
      <c r="O368" s="1" t="s">
        <v>379</v>
      </c>
      <c r="P368" s="16" t="s">
        <v>304</v>
      </c>
      <c r="R368" s="16" t="s">
        <v>306</v>
      </c>
      <c r="S368" s="4" t="s">
        <v>380</v>
      </c>
      <c r="T368" s="24" t="n">
        <v>325</v>
      </c>
      <c r="U368" s="18" t="n">
        <v>1.7</v>
      </c>
      <c r="V368" s="24" t="n">
        <v>0.31</v>
      </c>
      <c r="Z368" s="18"/>
      <c r="AA368" s="20"/>
      <c r="AB368" s="20"/>
      <c r="AC368" s="19" t="e">
        <f aca="false">(AB368-AA368)/AB368</f>
        <v>#DIV/0!</v>
      </c>
    </row>
    <row r="369" customFormat="false" ht="14.25" hidden="false" customHeight="true" outlineLevel="0" collapsed="false">
      <c r="A369" s="18" t="s">
        <v>342</v>
      </c>
      <c r="B369" s="18" t="s">
        <v>342</v>
      </c>
      <c r="C369" s="18" t="s">
        <v>31</v>
      </c>
      <c r="E369" s="2" t="n">
        <f aca="false">INDEX(FieldSites!F:F, MATCH(Ch2_FieldSurvey!B369,FieldSites!C:C,0))</f>
        <v>1124</v>
      </c>
      <c r="F369" s="2" t="n">
        <f aca="false">INDEX(FieldSites!G:G, MATCH(Ch2_FieldSurvey!B369,FieldSites!C:C,0))</f>
        <v>-119.570677</v>
      </c>
      <c r="G369" s="2" t="n">
        <f aca="false">INDEX(FieldSites!H:H, MATCH(Ch2_FieldSurvey!B369,FieldSites!C:C,0))</f>
        <v>37.33823</v>
      </c>
      <c r="H369" s="18" t="n">
        <v>8</v>
      </c>
      <c r="I369" s="21" t="str">
        <f aca="false">CONCATENATE(B369,"_",C369,H369)</f>
        <v>AGFB_M. laciniatus8</v>
      </c>
      <c r="J369" s="22" t="n">
        <v>44673</v>
      </c>
      <c r="K369" s="23"/>
      <c r="L369" s="22" t="n">
        <v>44674</v>
      </c>
      <c r="M369" s="23" t="n">
        <v>0.694444444444445</v>
      </c>
      <c r="O369" s="1" t="s">
        <v>382</v>
      </c>
      <c r="P369" s="16" t="s">
        <v>304</v>
      </c>
      <c r="R369" s="16" t="s">
        <v>306</v>
      </c>
      <c r="S369" s="4" t="s">
        <v>137</v>
      </c>
      <c r="T369" s="24" t="n">
        <v>320</v>
      </c>
      <c r="U369" s="18" t="n">
        <v>1.7</v>
      </c>
      <c r="V369" s="24" t="n">
        <v>0.21</v>
      </c>
      <c r="Z369" s="18"/>
      <c r="AA369" s="20" t="n">
        <v>98569</v>
      </c>
      <c r="AB369" s="20" t="n">
        <v>166229</v>
      </c>
      <c r="AC369" s="19" t="n">
        <f aca="false">(AB369-AA369)/AB369</f>
        <v>0.407028857780532</v>
      </c>
    </row>
    <row r="370" customFormat="false" ht="14.25" hidden="false" customHeight="true" outlineLevel="0" collapsed="false">
      <c r="A370" s="18" t="s">
        <v>342</v>
      </c>
      <c r="B370" s="18" t="s">
        <v>342</v>
      </c>
      <c r="C370" s="18" t="s">
        <v>31</v>
      </c>
      <c r="E370" s="2" t="n">
        <f aca="false">INDEX(FieldSites!F:F, MATCH(Ch2_FieldSurvey!B370,FieldSites!C:C,0))</f>
        <v>1124</v>
      </c>
      <c r="F370" s="2" t="n">
        <f aca="false">INDEX(FieldSites!G:G, MATCH(Ch2_FieldSurvey!B370,FieldSites!C:C,0))</f>
        <v>-119.570677</v>
      </c>
      <c r="G370" s="2" t="n">
        <f aca="false">INDEX(FieldSites!H:H, MATCH(Ch2_FieldSurvey!B370,FieldSites!C:C,0))</f>
        <v>37.33823</v>
      </c>
      <c r="H370" s="18" t="n">
        <v>8</v>
      </c>
      <c r="I370" s="21" t="str">
        <f aca="false">CONCATENATE(B370,"_",C370,H370)</f>
        <v>AGFB_M. laciniatus8</v>
      </c>
      <c r="J370" s="22" t="n">
        <v>44673</v>
      </c>
      <c r="K370" s="23"/>
      <c r="L370" s="22" t="n">
        <v>44674</v>
      </c>
      <c r="M370" s="23" t="n">
        <v>0.694444444444445</v>
      </c>
      <c r="O370" s="1" t="s">
        <v>382</v>
      </c>
      <c r="P370" s="16" t="s">
        <v>304</v>
      </c>
      <c r="R370" s="16" t="s">
        <v>306</v>
      </c>
      <c r="S370" s="4" t="s">
        <v>137</v>
      </c>
      <c r="T370" s="24" t="n">
        <v>280</v>
      </c>
      <c r="U370" s="18" t="n">
        <v>2.1</v>
      </c>
      <c r="V370" s="24" t="n">
        <v>0.23</v>
      </c>
      <c r="Z370" s="18"/>
      <c r="AA370" s="20"/>
      <c r="AB370" s="20"/>
      <c r="AC370" s="19" t="e">
        <f aca="false">(AB370-AA370)/AB370</f>
        <v>#DIV/0!</v>
      </c>
    </row>
    <row r="371" customFormat="false" ht="14.25" hidden="false" customHeight="true" outlineLevel="0" collapsed="false">
      <c r="A371" s="18" t="s">
        <v>342</v>
      </c>
      <c r="B371" s="18" t="s">
        <v>342</v>
      </c>
      <c r="C371" s="18" t="s">
        <v>31</v>
      </c>
      <c r="E371" s="2" t="n">
        <f aca="false">INDEX(FieldSites!F:F, MATCH(Ch2_FieldSurvey!B371,FieldSites!C:C,0))</f>
        <v>1124</v>
      </c>
      <c r="F371" s="2" t="n">
        <f aca="false">INDEX(FieldSites!G:G, MATCH(Ch2_FieldSurvey!B371,FieldSites!C:C,0))</f>
        <v>-119.570677</v>
      </c>
      <c r="G371" s="2" t="n">
        <f aca="false">INDEX(FieldSites!H:H, MATCH(Ch2_FieldSurvey!B371,FieldSites!C:C,0))</f>
        <v>37.33823</v>
      </c>
      <c r="H371" s="18" t="n">
        <v>8</v>
      </c>
      <c r="I371" s="21" t="str">
        <f aca="false">CONCATENATE(B371,"_",C371,H371)</f>
        <v>AGFB_M. laciniatus8</v>
      </c>
      <c r="J371" s="22" t="n">
        <v>44673</v>
      </c>
      <c r="K371" s="23"/>
      <c r="L371" s="22" t="n">
        <v>44674</v>
      </c>
      <c r="M371" s="23" t="n">
        <v>0.694444444444445</v>
      </c>
      <c r="O371" s="1" t="s">
        <v>382</v>
      </c>
      <c r="P371" s="16" t="s">
        <v>304</v>
      </c>
      <c r="R371" s="16" t="s">
        <v>306</v>
      </c>
      <c r="S371" s="4" t="s">
        <v>137</v>
      </c>
      <c r="T371" s="24" t="n">
        <v>231</v>
      </c>
      <c r="U371" s="18" t="n">
        <v>1.9</v>
      </c>
      <c r="V371" s="24" t="n">
        <v>0.25</v>
      </c>
      <c r="Z371" s="18"/>
      <c r="AA371" s="20"/>
      <c r="AB371" s="20"/>
      <c r="AC371" s="19" t="e">
        <f aca="false">(AB371-AA371)/AB371</f>
        <v>#DIV/0!</v>
      </c>
    </row>
    <row r="372" customFormat="false" ht="14.25" hidden="false" customHeight="true" outlineLevel="0" collapsed="false">
      <c r="A372" s="18" t="s">
        <v>342</v>
      </c>
      <c r="B372" s="18" t="s">
        <v>342</v>
      </c>
      <c r="C372" s="18" t="s">
        <v>31</v>
      </c>
      <c r="E372" s="2" t="n">
        <f aca="false">INDEX(FieldSites!F:F, MATCH(Ch2_FieldSurvey!B372,FieldSites!C:C,0))</f>
        <v>1124</v>
      </c>
      <c r="F372" s="2" t="n">
        <f aca="false">INDEX(FieldSites!G:G, MATCH(Ch2_FieldSurvey!B372,FieldSites!C:C,0))</f>
        <v>-119.570677</v>
      </c>
      <c r="G372" s="2" t="n">
        <f aca="false">INDEX(FieldSites!H:H, MATCH(Ch2_FieldSurvey!B372,FieldSites!C:C,0))</f>
        <v>37.33823</v>
      </c>
      <c r="H372" s="18" t="n">
        <v>9</v>
      </c>
      <c r="I372" s="21" t="str">
        <f aca="false">CONCATENATE(B372,"_",C372,H372)</f>
        <v>AGFB_M. laciniatus9</v>
      </c>
      <c r="J372" s="22" t="n">
        <v>44673</v>
      </c>
      <c r="K372" s="23"/>
      <c r="L372" s="22" t="n">
        <v>44674</v>
      </c>
      <c r="M372" s="23" t="n">
        <v>0.7</v>
      </c>
      <c r="O372" s="1" t="s">
        <v>383</v>
      </c>
      <c r="P372" s="16" t="s">
        <v>304</v>
      </c>
      <c r="R372" s="16" t="s">
        <v>306</v>
      </c>
      <c r="S372" s="4" t="s">
        <v>384</v>
      </c>
      <c r="T372" s="24" t="n">
        <v>304</v>
      </c>
      <c r="U372" s="18" t="n">
        <v>2.2</v>
      </c>
      <c r="V372" s="24" t="n">
        <v>0.25</v>
      </c>
      <c r="Z372" s="18"/>
      <c r="AA372" s="20" t="n">
        <v>66523</v>
      </c>
      <c r="AB372" s="20" t="n">
        <v>117327</v>
      </c>
      <c r="AC372" s="19" t="n">
        <f aca="false">(AB372-AA372)/AB372</f>
        <v>0.43301200917095</v>
      </c>
    </row>
    <row r="373" customFormat="false" ht="14.25" hidden="false" customHeight="true" outlineLevel="0" collapsed="false">
      <c r="A373" s="18" t="s">
        <v>342</v>
      </c>
      <c r="B373" s="18" t="s">
        <v>342</v>
      </c>
      <c r="C373" s="18" t="s">
        <v>31</v>
      </c>
      <c r="E373" s="2" t="n">
        <f aca="false">INDEX(FieldSites!F:F, MATCH(Ch2_FieldSurvey!B373,FieldSites!C:C,0))</f>
        <v>1124</v>
      </c>
      <c r="F373" s="2" t="n">
        <f aca="false">INDEX(FieldSites!G:G, MATCH(Ch2_FieldSurvey!B373,FieldSites!C:C,0))</f>
        <v>-119.570677</v>
      </c>
      <c r="G373" s="2" t="n">
        <f aca="false">INDEX(FieldSites!H:H, MATCH(Ch2_FieldSurvey!B373,FieldSites!C:C,0))</f>
        <v>37.33823</v>
      </c>
      <c r="H373" s="18" t="n">
        <v>9</v>
      </c>
      <c r="I373" s="21" t="str">
        <f aca="false">CONCATENATE(B373,"_",C373,H373)</f>
        <v>AGFB_M. laciniatus9</v>
      </c>
      <c r="J373" s="22" t="n">
        <v>44673</v>
      </c>
      <c r="K373" s="23"/>
      <c r="L373" s="22" t="n">
        <v>44674</v>
      </c>
      <c r="M373" s="23" t="n">
        <v>0.7</v>
      </c>
      <c r="O373" s="1" t="s">
        <v>383</v>
      </c>
      <c r="P373" s="16" t="s">
        <v>304</v>
      </c>
      <c r="R373" s="16" t="s">
        <v>306</v>
      </c>
      <c r="S373" s="4" t="s">
        <v>384</v>
      </c>
      <c r="T373" s="24" t="n">
        <v>245</v>
      </c>
      <c r="U373" s="18" t="n">
        <v>2.1</v>
      </c>
      <c r="V373" s="24" t="n">
        <v>0.24</v>
      </c>
      <c r="Z373" s="18"/>
      <c r="AA373" s="20"/>
      <c r="AB373" s="20"/>
      <c r="AC373" s="19" t="e">
        <f aca="false">(AB373-AA373)/AB373</f>
        <v>#DIV/0!</v>
      </c>
    </row>
    <row r="374" customFormat="false" ht="14.25" hidden="false" customHeight="true" outlineLevel="0" collapsed="false">
      <c r="A374" s="18" t="s">
        <v>342</v>
      </c>
      <c r="B374" s="18" t="s">
        <v>342</v>
      </c>
      <c r="C374" s="18" t="s">
        <v>31</v>
      </c>
      <c r="E374" s="2" t="n">
        <f aca="false">INDEX(FieldSites!F:F, MATCH(Ch2_FieldSurvey!B374,FieldSites!C:C,0))</f>
        <v>1124</v>
      </c>
      <c r="F374" s="2" t="n">
        <f aca="false">INDEX(FieldSites!G:G, MATCH(Ch2_FieldSurvey!B374,FieldSites!C:C,0))</f>
        <v>-119.570677</v>
      </c>
      <c r="G374" s="2" t="n">
        <f aca="false">INDEX(FieldSites!H:H, MATCH(Ch2_FieldSurvey!B374,FieldSites!C:C,0))</f>
        <v>37.33823</v>
      </c>
      <c r="H374" s="18" t="n">
        <v>9</v>
      </c>
      <c r="I374" s="21" t="str">
        <f aca="false">CONCATENATE(B374,"_",C374,H374)</f>
        <v>AGFB_M. laciniatus9</v>
      </c>
      <c r="J374" s="22" t="n">
        <v>44673</v>
      </c>
      <c r="K374" s="23"/>
      <c r="L374" s="22" t="n">
        <v>44674</v>
      </c>
      <c r="M374" s="23" t="n">
        <v>0.7</v>
      </c>
      <c r="O374" s="1" t="s">
        <v>383</v>
      </c>
      <c r="P374" s="16" t="s">
        <v>304</v>
      </c>
      <c r="R374" s="16" t="s">
        <v>306</v>
      </c>
      <c r="S374" s="4" t="s">
        <v>384</v>
      </c>
      <c r="T374" s="24" t="n">
        <v>260</v>
      </c>
      <c r="U374" s="18" t="n">
        <v>1.8</v>
      </c>
      <c r="V374" s="24" t="n">
        <v>0.18</v>
      </c>
      <c r="Z374" s="18"/>
      <c r="AA374" s="20"/>
      <c r="AB374" s="20"/>
      <c r="AC374" s="19" t="e">
        <f aca="false">(AB374-AA374)/AB374</f>
        <v>#DIV/0!</v>
      </c>
    </row>
    <row r="375" customFormat="false" ht="14.25" hidden="false" customHeight="true" outlineLevel="0" collapsed="false">
      <c r="A375" s="18" t="s">
        <v>342</v>
      </c>
      <c r="B375" s="18" t="s">
        <v>342</v>
      </c>
      <c r="C375" s="18" t="s">
        <v>31</v>
      </c>
      <c r="E375" s="2" t="n">
        <f aca="false">INDEX(FieldSites!F:F, MATCH(Ch2_FieldSurvey!B375,FieldSites!C:C,0))</f>
        <v>1124</v>
      </c>
      <c r="F375" s="2" t="n">
        <f aca="false">INDEX(FieldSites!G:G, MATCH(Ch2_FieldSurvey!B375,FieldSites!C:C,0))</f>
        <v>-119.570677</v>
      </c>
      <c r="G375" s="2" t="n">
        <f aca="false">INDEX(FieldSites!H:H, MATCH(Ch2_FieldSurvey!B375,FieldSites!C:C,0))</f>
        <v>37.33823</v>
      </c>
      <c r="H375" s="18" t="n">
        <v>10</v>
      </c>
      <c r="I375" s="21" t="str">
        <f aca="false">CONCATENATE(B375,"_",C375,H375)</f>
        <v>AGFB_M. laciniatus10</v>
      </c>
      <c r="J375" s="22" t="n">
        <v>44673</v>
      </c>
      <c r="K375" s="23"/>
      <c r="L375" s="22" t="n">
        <v>44674</v>
      </c>
      <c r="M375" s="23" t="n">
        <v>0.704166666666667</v>
      </c>
      <c r="O375" s="1" t="s">
        <v>385</v>
      </c>
      <c r="P375" s="16" t="s">
        <v>304</v>
      </c>
      <c r="R375" s="16" t="s">
        <v>306</v>
      </c>
      <c r="S375" s="4" t="s">
        <v>386</v>
      </c>
      <c r="T375" s="24" t="n">
        <v>263</v>
      </c>
      <c r="U375" s="18" t="n">
        <v>1.9</v>
      </c>
      <c r="V375" s="24" t="n">
        <v>0.22</v>
      </c>
      <c r="Z375" s="18"/>
      <c r="AA375" s="20" t="n">
        <v>193921</v>
      </c>
      <c r="AB375" s="20" t="n">
        <v>322675</v>
      </c>
      <c r="AC375" s="19" t="n">
        <f aca="false">(AB375-AA375)/AB375</f>
        <v>0.399020686449214</v>
      </c>
    </row>
    <row r="376" customFormat="false" ht="14.25" hidden="false" customHeight="true" outlineLevel="0" collapsed="false">
      <c r="A376" s="18" t="s">
        <v>342</v>
      </c>
      <c r="B376" s="18" t="s">
        <v>342</v>
      </c>
      <c r="C376" s="18" t="s">
        <v>31</v>
      </c>
      <c r="E376" s="2" t="n">
        <f aca="false">INDEX(FieldSites!F:F, MATCH(Ch2_FieldSurvey!B376,FieldSites!C:C,0))</f>
        <v>1124</v>
      </c>
      <c r="F376" s="2" t="n">
        <f aca="false">INDEX(FieldSites!G:G, MATCH(Ch2_FieldSurvey!B376,FieldSites!C:C,0))</f>
        <v>-119.570677</v>
      </c>
      <c r="G376" s="2" t="n">
        <f aca="false">INDEX(FieldSites!H:H, MATCH(Ch2_FieldSurvey!B376,FieldSites!C:C,0))</f>
        <v>37.33823</v>
      </c>
      <c r="H376" s="18" t="n">
        <v>10</v>
      </c>
      <c r="I376" s="21" t="str">
        <f aca="false">CONCATENATE(B376,"_",C376,H376)</f>
        <v>AGFB_M. laciniatus10</v>
      </c>
      <c r="J376" s="22" t="n">
        <v>44673</v>
      </c>
      <c r="K376" s="23"/>
      <c r="L376" s="22" t="n">
        <v>44674</v>
      </c>
      <c r="M376" s="23" t="n">
        <v>0.704166666666667</v>
      </c>
      <c r="O376" s="1" t="s">
        <v>385</v>
      </c>
      <c r="P376" s="16" t="s">
        <v>304</v>
      </c>
      <c r="R376" s="16" t="s">
        <v>306</v>
      </c>
      <c r="S376" s="4" t="s">
        <v>386</v>
      </c>
      <c r="T376" s="24" t="n">
        <v>243</v>
      </c>
      <c r="U376" s="18" t="n">
        <v>1.8</v>
      </c>
      <c r="V376" s="24" t="n">
        <v>0.2</v>
      </c>
      <c r="Z376" s="18"/>
      <c r="AA376" s="20"/>
      <c r="AB376" s="20"/>
      <c r="AC376" s="19" t="e">
        <f aca="false">(AB376-AA376)/AB376</f>
        <v>#DIV/0!</v>
      </c>
    </row>
    <row r="377" customFormat="false" ht="14.25" hidden="false" customHeight="true" outlineLevel="0" collapsed="false">
      <c r="A377" s="18" t="s">
        <v>342</v>
      </c>
      <c r="B377" s="18" t="s">
        <v>342</v>
      </c>
      <c r="C377" s="18" t="s">
        <v>31</v>
      </c>
      <c r="E377" s="2" t="n">
        <f aca="false">INDEX(FieldSites!F:F, MATCH(Ch2_FieldSurvey!B377,FieldSites!C:C,0))</f>
        <v>1124</v>
      </c>
      <c r="F377" s="2" t="n">
        <f aca="false">INDEX(FieldSites!G:G, MATCH(Ch2_FieldSurvey!B377,FieldSites!C:C,0))</f>
        <v>-119.570677</v>
      </c>
      <c r="G377" s="2" t="n">
        <f aca="false">INDEX(FieldSites!H:H, MATCH(Ch2_FieldSurvey!B377,FieldSites!C:C,0))</f>
        <v>37.33823</v>
      </c>
      <c r="H377" s="18" t="n">
        <v>10</v>
      </c>
      <c r="I377" s="21" t="str">
        <f aca="false">CONCATENATE(B377,"_",C377,H377)</f>
        <v>AGFB_M. laciniatus10</v>
      </c>
      <c r="J377" s="22" t="n">
        <v>44673</v>
      </c>
      <c r="K377" s="23"/>
      <c r="L377" s="22" t="n">
        <v>44674</v>
      </c>
      <c r="M377" s="23" t="n">
        <v>0.704166666666667</v>
      </c>
      <c r="O377" s="1" t="s">
        <v>385</v>
      </c>
      <c r="P377" s="16" t="s">
        <v>304</v>
      </c>
      <c r="R377" s="16" t="s">
        <v>306</v>
      </c>
      <c r="S377" s="4" t="s">
        <v>386</v>
      </c>
      <c r="T377" s="24" t="n">
        <v>262</v>
      </c>
      <c r="U377" s="18" t="n">
        <v>1.7</v>
      </c>
      <c r="V377" s="24" t="n">
        <v>0.21</v>
      </c>
      <c r="Z377" s="18"/>
      <c r="AA377" s="20"/>
      <c r="AB377" s="20"/>
      <c r="AC377" s="19" t="e">
        <f aca="false">(AB377-AA377)/AB377</f>
        <v>#DIV/0!</v>
      </c>
    </row>
    <row r="378" customFormat="false" ht="14.25" hidden="false" customHeight="true" outlineLevel="0" collapsed="false">
      <c r="A378" s="18" t="s">
        <v>342</v>
      </c>
      <c r="B378" s="18" t="s">
        <v>342</v>
      </c>
      <c r="C378" s="18" t="s">
        <v>31</v>
      </c>
      <c r="E378" s="2" t="n">
        <f aca="false">INDEX(FieldSites!F:F, MATCH(Ch2_FieldSurvey!B378,FieldSites!C:C,0))</f>
        <v>1124</v>
      </c>
      <c r="F378" s="2" t="n">
        <f aca="false">INDEX(FieldSites!G:G, MATCH(Ch2_FieldSurvey!B378,FieldSites!C:C,0))</f>
        <v>-119.570677</v>
      </c>
      <c r="G378" s="2" t="n">
        <f aca="false">INDEX(FieldSites!H:H, MATCH(Ch2_FieldSurvey!B378,FieldSites!C:C,0))</f>
        <v>37.33823</v>
      </c>
      <c r="H378" s="18" t="n">
        <v>11</v>
      </c>
      <c r="I378" s="21" t="str">
        <f aca="false">CONCATENATE(B378,"_",C378,H378)</f>
        <v>AGFB_M. laciniatus11</v>
      </c>
      <c r="J378" s="22" t="n">
        <v>44673</v>
      </c>
      <c r="K378" s="23"/>
      <c r="L378" s="22" t="n">
        <v>44674</v>
      </c>
      <c r="M378" s="23" t="n">
        <v>0.707638888888889</v>
      </c>
      <c r="O378" s="1" t="s">
        <v>387</v>
      </c>
      <c r="P378" s="16" t="s">
        <v>304</v>
      </c>
      <c r="R378" s="16" t="s">
        <v>306</v>
      </c>
      <c r="S378" s="4" t="s">
        <v>388</v>
      </c>
      <c r="T378" s="24" t="n">
        <v>337</v>
      </c>
      <c r="U378" s="18" t="n">
        <v>2.9</v>
      </c>
      <c r="V378" s="24" t="n">
        <v>0.26</v>
      </c>
      <c r="Z378" s="18"/>
      <c r="AA378" s="20" t="n">
        <v>124027</v>
      </c>
      <c r="AB378" s="20" t="n">
        <v>194156</v>
      </c>
      <c r="AC378" s="19" t="n">
        <f aca="false">(AB378-AA378)/AB378</f>
        <v>0.361199241846762</v>
      </c>
    </row>
    <row r="379" customFormat="false" ht="14.25" hidden="false" customHeight="true" outlineLevel="0" collapsed="false">
      <c r="A379" s="18" t="s">
        <v>342</v>
      </c>
      <c r="B379" s="18" t="s">
        <v>342</v>
      </c>
      <c r="C379" s="18" t="s">
        <v>31</v>
      </c>
      <c r="E379" s="2" t="n">
        <f aca="false">INDEX(FieldSites!F:F, MATCH(Ch2_FieldSurvey!B379,FieldSites!C:C,0))</f>
        <v>1124</v>
      </c>
      <c r="F379" s="2" t="n">
        <f aca="false">INDEX(FieldSites!G:G, MATCH(Ch2_FieldSurvey!B379,FieldSites!C:C,0))</f>
        <v>-119.570677</v>
      </c>
      <c r="G379" s="2" t="n">
        <f aca="false">INDEX(FieldSites!H:H, MATCH(Ch2_FieldSurvey!B379,FieldSites!C:C,0))</f>
        <v>37.33823</v>
      </c>
      <c r="H379" s="18" t="n">
        <v>11</v>
      </c>
      <c r="I379" s="21" t="str">
        <f aca="false">CONCATENATE(B379,"_",C379,H379)</f>
        <v>AGFB_M. laciniatus11</v>
      </c>
      <c r="J379" s="22" t="n">
        <v>44673</v>
      </c>
      <c r="K379" s="23"/>
      <c r="L379" s="22" t="n">
        <v>44674</v>
      </c>
      <c r="M379" s="23" t="n">
        <v>0.707638888888889</v>
      </c>
      <c r="O379" s="1" t="s">
        <v>387</v>
      </c>
      <c r="P379" s="16" t="s">
        <v>304</v>
      </c>
      <c r="R379" s="16" t="s">
        <v>306</v>
      </c>
      <c r="S379" s="4" t="s">
        <v>388</v>
      </c>
      <c r="T379" s="24" t="n">
        <v>301</v>
      </c>
      <c r="U379" s="18" t="n">
        <v>2.4</v>
      </c>
      <c r="V379" s="24" t="n">
        <v>0.26</v>
      </c>
      <c r="Z379" s="18"/>
      <c r="AA379" s="20"/>
      <c r="AB379" s="20"/>
      <c r="AC379" s="19" t="e">
        <f aca="false">(AB379-AA379)/AB379</f>
        <v>#DIV/0!</v>
      </c>
    </row>
    <row r="380" customFormat="false" ht="14.25" hidden="false" customHeight="true" outlineLevel="0" collapsed="false">
      <c r="A380" s="18" t="s">
        <v>342</v>
      </c>
      <c r="B380" s="18" t="s">
        <v>342</v>
      </c>
      <c r="C380" s="18" t="s">
        <v>31</v>
      </c>
      <c r="E380" s="2" t="n">
        <f aca="false">INDEX(FieldSites!F:F, MATCH(Ch2_FieldSurvey!B380,FieldSites!C:C,0))</f>
        <v>1124</v>
      </c>
      <c r="F380" s="2" t="n">
        <f aca="false">INDEX(FieldSites!G:G, MATCH(Ch2_FieldSurvey!B380,FieldSites!C:C,0))</f>
        <v>-119.570677</v>
      </c>
      <c r="G380" s="2" t="n">
        <f aca="false">INDEX(FieldSites!H:H, MATCH(Ch2_FieldSurvey!B380,FieldSites!C:C,0))</f>
        <v>37.33823</v>
      </c>
      <c r="H380" s="18" t="n">
        <v>11</v>
      </c>
      <c r="I380" s="21" t="str">
        <f aca="false">CONCATENATE(B380,"_",C380,H380)</f>
        <v>AGFB_M. laciniatus11</v>
      </c>
      <c r="J380" s="22" t="n">
        <v>44673</v>
      </c>
      <c r="K380" s="23"/>
      <c r="L380" s="22" t="n">
        <v>44674</v>
      </c>
      <c r="M380" s="23" t="n">
        <v>0.707638888888889</v>
      </c>
      <c r="O380" s="1" t="s">
        <v>387</v>
      </c>
      <c r="P380" s="16" t="s">
        <v>304</v>
      </c>
      <c r="R380" s="16" t="s">
        <v>306</v>
      </c>
      <c r="S380" s="4" t="s">
        <v>388</v>
      </c>
      <c r="T380" s="24" t="n">
        <v>268</v>
      </c>
      <c r="U380" s="18" t="n">
        <v>1.8</v>
      </c>
      <c r="V380" s="24" t="n">
        <v>0.22</v>
      </c>
      <c r="Z380" s="18"/>
      <c r="AA380" s="20"/>
      <c r="AB380" s="20"/>
      <c r="AC380" s="19" t="e">
        <f aca="false">(AB380-AA380)/AB380</f>
        <v>#DIV/0!</v>
      </c>
    </row>
    <row r="381" customFormat="false" ht="14.25" hidden="false" customHeight="true" outlineLevel="0" collapsed="false">
      <c r="A381" s="18" t="s">
        <v>389</v>
      </c>
      <c r="B381" s="18" t="s">
        <v>389</v>
      </c>
      <c r="C381" s="18" t="s">
        <v>31</v>
      </c>
      <c r="E381" s="2" t="n">
        <f aca="false">INDEX(FieldSites!F:F, MATCH(Ch2_FieldSurvey!B381,FieldSites!C:C,0))</f>
        <v>1486</v>
      </c>
      <c r="F381" s="2" t="n">
        <f aca="false">INDEX(FieldSites!G:G, MATCH(Ch2_FieldSurvey!B381,FieldSites!C:C,0))</f>
        <v>-119.70531698</v>
      </c>
      <c r="G381" s="2" t="n">
        <f aca="false">INDEX(FieldSites!H:H, MATCH(Ch2_FieldSurvey!B381,FieldSites!C:C,0))</f>
        <v>37.71609798</v>
      </c>
      <c r="H381" s="18" t="n">
        <v>1</v>
      </c>
      <c r="I381" s="21" t="str">
        <f aca="false">CONCATENATE(B381,"_",C381,H381)</f>
        <v>TRT_M. laciniatus1</v>
      </c>
      <c r="J381" s="22" t="n">
        <v>44683</v>
      </c>
      <c r="K381" s="23"/>
      <c r="L381" s="22" t="n">
        <v>44684</v>
      </c>
      <c r="M381" s="23" t="n">
        <v>0.400694444444444</v>
      </c>
      <c r="O381" s="1" t="s">
        <v>390</v>
      </c>
      <c r="P381" s="16" t="s">
        <v>391</v>
      </c>
      <c r="R381" s="16" t="s">
        <v>392</v>
      </c>
      <c r="S381" s="4" t="s">
        <v>393</v>
      </c>
      <c r="T381" s="24" t="n">
        <v>415</v>
      </c>
      <c r="U381" s="18" t="n">
        <v>3.7</v>
      </c>
      <c r="V381" s="24" t="n">
        <v>0.25</v>
      </c>
      <c r="W381" s="2" t="n">
        <v>0.4</v>
      </c>
      <c r="Z381" s="18"/>
      <c r="AA381" s="20" t="n">
        <v>344360</v>
      </c>
      <c r="AB381" s="20" t="n">
        <v>616011</v>
      </c>
      <c r="AC381" s="19" t="n">
        <f aca="false">(AB381-AA381)/AB381</f>
        <v>0.440984008402447</v>
      </c>
    </row>
    <row r="382" customFormat="false" ht="14.25" hidden="false" customHeight="true" outlineLevel="0" collapsed="false">
      <c r="A382" s="18" t="s">
        <v>389</v>
      </c>
      <c r="B382" s="18" t="s">
        <v>389</v>
      </c>
      <c r="C382" s="18" t="s">
        <v>31</v>
      </c>
      <c r="E382" s="2" t="n">
        <f aca="false">INDEX(FieldSites!F:F, MATCH(Ch2_FieldSurvey!B382,FieldSites!C:C,0))</f>
        <v>1486</v>
      </c>
      <c r="F382" s="2" t="n">
        <f aca="false">INDEX(FieldSites!G:G, MATCH(Ch2_FieldSurvey!B382,FieldSites!C:C,0))</f>
        <v>-119.70531698</v>
      </c>
      <c r="G382" s="2" t="n">
        <f aca="false">INDEX(FieldSites!H:H, MATCH(Ch2_FieldSurvey!B382,FieldSites!C:C,0))</f>
        <v>37.71609798</v>
      </c>
      <c r="H382" s="18" t="n">
        <v>1</v>
      </c>
      <c r="I382" s="21" t="str">
        <f aca="false">CONCATENATE(B382,"_",C382,H382)</f>
        <v>TRT_M. laciniatus1</v>
      </c>
      <c r="J382" s="22" t="n">
        <v>44683</v>
      </c>
      <c r="K382" s="23"/>
      <c r="L382" s="22" t="n">
        <v>44684</v>
      </c>
      <c r="M382" s="23" t="n">
        <v>0.400694444444444</v>
      </c>
      <c r="O382" s="1" t="s">
        <v>390</v>
      </c>
      <c r="P382" s="16" t="s">
        <v>391</v>
      </c>
      <c r="R382" s="16" t="s">
        <v>392</v>
      </c>
      <c r="S382" s="4" t="s">
        <v>393</v>
      </c>
      <c r="T382" s="24" t="n">
        <v>318</v>
      </c>
      <c r="U382" s="18" t="n">
        <v>3.7</v>
      </c>
      <c r="V382" s="24" t="n">
        <v>0.2</v>
      </c>
      <c r="W382" s="2" t="n">
        <v>0.5</v>
      </c>
      <c r="Z382" s="18"/>
      <c r="AA382" s="20"/>
      <c r="AB382" s="20"/>
      <c r="AC382" s="19" t="e">
        <f aca="false">(AB382-AA382)/AB382</f>
        <v>#DIV/0!</v>
      </c>
    </row>
    <row r="383" customFormat="false" ht="14.25" hidden="false" customHeight="true" outlineLevel="0" collapsed="false">
      <c r="A383" s="18" t="s">
        <v>389</v>
      </c>
      <c r="B383" s="18" t="s">
        <v>389</v>
      </c>
      <c r="C383" s="18" t="s">
        <v>31</v>
      </c>
      <c r="E383" s="2" t="n">
        <f aca="false">INDEX(FieldSites!F:F, MATCH(Ch2_FieldSurvey!B383,FieldSites!C:C,0))</f>
        <v>1486</v>
      </c>
      <c r="F383" s="2" t="n">
        <f aca="false">INDEX(FieldSites!G:G, MATCH(Ch2_FieldSurvey!B383,FieldSites!C:C,0))</f>
        <v>-119.70531698</v>
      </c>
      <c r="G383" s="2" t="n">
        <f aca="false">INDEX(FieldSites!H:H, MATCH(Ch2_FieldSurvey!B383,FieldSites!C:C,0))</f>
        <v>37.71609798</v>
      </c>
      <c r="H383" s="18" t="n">
        <v>1</v>
      </c>
      <c r="I383" s="21" t="str">
        <f aca="false">CONCATENATE(B383,"_",C383,H383)</f>
        <v>TRT_M. laciniatus1</v>
      </c>
      <c r="J383" s="22" t="n">
        <v>44683</v>
      </c>
      <c r="K383" s="23"/>
      <c r="L383" s="22" t="n">
        <v>44684</v>
      </c>
      <c r="M383" s="23" t="n">
        <v>0.400694444444444</v>
      </c>
      <c r="O383" s="1" t="s">
        <v>390</v>
      </c>
      <c r="P383" s="16" t="s">
        <v>391</v>
      </c>
      <c r="R383" s="16" t="s">
        <v>392</v>
      </c>
      <c r="S383" s="4" t="s">
        <v>393</v>
      </c>
      <c r="T383" s="24" t="n">
        <v>441</v>
      </c>
      <c r="U383" s="18" t="n">
        <v>4</v>
      </c>
      <c r="V383" s="24" t="n">
        <v>0.2</v>
      </c>
      <c r="W383" s="2" t="n">
        <v>0.3</v>
      </c>
      <c r="Z383" s="18"/>
      <c r="AA383" s="20"/>
      <c r="AB383" s="20"/>
      <c r="AC383" s="19" t="e">
        <f aca="false">(AB383-AA383)/AB383</f>
        <v>#DIV/0!</v>
      </c>
    </row>
    <row r="384" customFormat="false" ht="14.25" hidden="false" customHeight="true" outlineLevel="0" collapsed="false">
      <c r="A384" s="18" t="s">
        <v>389</v>
      </c>
      <c r="B384" s="18" t="s">
        <v>389</v>
      </c>
      <c r="C384" s="18" t="s">
        <v>31</v>
      </c>
      <c r="E384" s="2" t="n">
        <f aca="false">INDEX(FieldSites!F:F, MATCH(Ch2_FieldSurvey!B384,FieldSites!C:C,0))</f>
        <v>1486</v>
      </c>
      <c r="F384" s="2" t="n">
        <f aca="false">INDEX(FieldSites!G:G, MATCH(Ch2_FieldSurvey!B384,FieldSites!C:C,0))</f>
        <v>-119.70531698</v>
      </c>
      <c r="G384" s="2" t="n">
        <f aca="false">INDEX(FieldSites!H:H, MATCH(Ch2_FieldSurvey!B384,FieldSites!C:C,0))</f>
        <v>37.71609798</v>
      </c>
      <c r="H384" s="18" t="n">
        <v>2</v>
      </c>
      <c r="I384" s="21" t="str">
        <f aca="false">CONCATENATE(B384,"_",C384,H384)</f>
        <v>TRT_M. laciniatus2</v>
      </c>
      <c r="J384" s="22" t="n">
        <v>44683</v>
      </c>
      <c r="K384" s="23"/>
      <c r="L384" s="22" t="n">
        <v>44684</v>
      </c>
      <c r="M384" s="23" t="n">
        <v>0.413888888888889</v>
      </c>
      <c r="O384" s="1" t="s">
        <v>394</v>
      </c>
      <c r="P384" s="16" t="s">
        <v>391</v>
      </c>
      <c r="R384" s="16" t="s">
        <v>392</v>
      </c>
      <c r="S384" s="4" t="s">
        <v>395</v>
      </c>
      <c r="T384" s="24" t="n">
        <v>344</v>
      </c>
      <c r="U384" s="18" t="n">
        <v>6.6</v>
      </c>
      <c r="V384" s="24" t="n">
        <v>0.24</v>
      </c>
      <c r="W384" s="2" t="n">
        <v>0.3</v>
      </c>
      <c r="Z384" s="18"/>
      <c r="AA384" s="20" t="n">
        <v>176368</v>
      </c>
      <c r="AB384" s="20" t="n">
        <v>281320</v>
      </c>
      <c r="AC384" s="19" t="n">
        <f aca="false">(AB384-AA384)/AB384</f>
        <v>0.373069813735248</v>
      </c>
    </row>
    <row r="385" customFormat="false" ht="14.25" hidden="false" customHeight="true" outlineLevel="0" collapsed="false">
      <c r="A385" s="18" t="s">
        <v>389</v>
      </c>
      <c r="B385" s="18" t="s">
        <v>389</v>
      </c>
      <c r="C385" s="18" t="s">
        <v>31</v>
      </c>
      <c r="E385" s="2" t="n">
        <f aca="false">INDEX(FieldSites!F:F, MATCH(Ch2_FieldSurvey!B385,FieldSites!C:C,0))</f>
        <v>1486</v>
      </c>
      <c r="F385" s="2" t="n">
        <f aca="false">INDEX(FieldSites!G:G, MATCH(Ch2_FieldSurvey!B385,FieldSites!C:C,0))</f>
        <v>-119.70531698</v>
      </c>
      <c r="G385" s="2" t="n">
        <f aca="false">INDEX(FieldSites!H:H, MATCH(Ch2_FieldSurvey!B385,FieldSites!C:C,0))</f>
        <v>37.71609798</v>
      </c>
      <c r="H385" s="18" t="n">
        <v>2</v>
      </c>
      <c r="I385" s="21" t="str">
        <f aca="false">CONCATENATE(B385,"_",C385,H385)</f>
        <v>TRT_M. laciniatus2</v>
      </c>
      <c r="J385" s="22" t="n">
        <v>44683</v>
      </c>
      <c r="K385" s="23"/>
      <c r="L385" s="22" t="n">
        <v>44684</v>
      </c>
      <c r="M385" s="23" t="n">
        <v>0.413888888888889</v>
      </c>
      <c r="O385" s="1" t="s">
        <v>394</v>
      </c>
      <c r="P385" s="16" t="s">
        <v>391</v>
      </c>
      <c r="R385" s="16" t="s">
        <v>392</v>
      </c>
      <c r="S385" s="4" t="s">
        <v>395</v>
      </c>
      <c r="T385" s="24" t="n">
        <v>405</v>
      </c>
      <c r="U385" s="18" t="n">
        <v>2.6</v>
      </c>
      <c r="V385" s="24" t="n">
        <v>0.22</v>
      </c>
      <c r="W385" s="2" t="n">
        <v>0.6</v>
      </c>
      <c r="Z385" s="18"/>
      <c r="AA385" s="20"/>
      <c r="AB385" s="20"/>
      <c r="AC385" s="19" t="e">
        <f aca="false">(AB385-AA385)/AB385</f>
        <v>#DIV/0!</v>
      </c>
    </row>
    <row r="386" customFormat="false" ht="14.25" hidden="false" customHeight="true" outlineLevel="0" collapsed="false">
      <c r="A386" s="18" t="s">
        <v>389</v>
      </c>
      <c r="B386" s="18" t="s">
        <v>389</v>
      </c>
      <c r="C386" s="18" t="s">
        <v>31</v>
      </c>
      <c r="E386" s="2" t="n">
        <f aca="false">INDEX(FieldSites!F:F, MATCH(Ch2_FieldSurvey!B386,FieldSites!C:C,0))</f>
        <v>1486</v>
      </c>
      <c r="F386" s="2" t="n">
        <f aca="false">INDEX(FieldSites!G:G, MATCH(Ch2_FieldSurvey!B386,FieldSites!C:C,0))</f>
        <v>-119.70531698</v>
      </c>
      <c r="G386" s="2" t="n">
        <f aca="false">INDEX(FieldSites!H:H, MATCH(Ch2_FieldSurvey!B386,FieldSites!C:C,0))</f>
        <v>37.71609798</v>
      </c>
      <c r="H386" s="18" t="n">
        <v>2</v>
      </c>
      <c r="I386" s="21" t="str">
        <f aca="false">CONCATENATE(B386,"_",C386,H386)</f>
        <v>TRT_M. laciniatus2</v>
      </c>
      <c r="J386" s="22" t="n">
        <v>44683</v>
      </c>
      <c r="K386" s="23"/>
      <c r="L386" s="22" t="n">
        <v>44684</v>
      </c>
      <c r="M386" s="23" t="n">
        <v>0.413888888888889</v>
      </c>
      <c r="O386" s="1" t="s">
        <v>394</v>
      </c>
      <c r="P386" s="16" t="s">
        <v>391</v>
      </c>
      <c r="R386" s="16" t="s">
        <v>392</v>
      </c>
      <c r="S386" s="4" t="s">
        <v>395</v>
      </c>
      <c r="T386" s="24" t="n">
        <v>336</v>
      </c>
      <c r="U386" s="18" t="n">
        <v>3.7</v>
      </c>
      <c r="V386" s="24" t="n">
        <v>0.27</v>
      </c>
      <c r="W386" s="2" t="n">
        <v>0.3</v>
      </c>
      <c r="Z386" s="18"/>
      <c r="AA386" s="20"/>
      <c r="AB386" s="20"/>
      <c r="AC386" s="19" t="e">
        <f aca="false">(AB386-AA386)/AB386</f>
        <v>#DIV/0!</v>
      </c>
    </row>
    <row r="387" customFormat="false" ht="14.25" hidden="false" customHeight="true" outlineLevel="0" collapsed="false">
      <c r="A387" s="18" t="s">
        <v>389</v>
      </c>
      <c r="B387" s="18" t="s">
        <v>389</v>
      </c>
      <c r="C387" s="18" t="s">
        <v>31</v>
      </c>
      <c r="E387" s="2" t="n">
        <f aca="false">INDEX(FieldSites!F:F, MATCH(Ch2_FieldSurvey!B387,FieldSites!C:C,0))</f>
        <v>1486</v>
      </c>
      <c r="F387" s="2" t="n">
        <f aca="false">INDEX(FieldSites!G:G, MATCH(Ch2_FieldSurvey!B387,FieldSites!C:C,0))</f>
        <v>-119.70531698</v>
      </c>
      <c r="G387" s="2" t="n">
        <f aca="false">INDEX(FieldSites!H:H, MATCH(Ch2_FieldSurvey!B387,FieldSites!C:C,0))</f>
        <v>37.71609798</v>
      </c>
      <c r="H387" s="18" t="n">
        <v>3</v>
      </c>
      <c r="I387" s="21" t="str">
        <f aca="false">CONCATENATE(B387,"_",C387,H387)</f>
        <v>TRT_M. laciniatus3</v>
      </c>
      <c r="J387" s="22" t="n">
        <v>44683</v>
      </c>
      <c r="K387" s="23"/>
      <c r="L387" s="22" t="n">
        <v>44684</v>
      </c>
      <c r="M387" s="23" t="n">
        <v>0.41875</v>
      </c>
      <c r="O387" s="1" t="s">
        <v>396</v>
      </c>
      <c r="P387" s="16" t="s">
        <v>391</v>
      </c>
      <c r="R387" s="16" t="s">
        <v>392</v>
      </c>
      <c r="S387" s="4" t="s">
        <v>397</v>
      </c>
      <c r="T387" s="24" t="n">
        <v>417</v>
      </c>
      <c r="U387" s="18" t="n">
        <v>3.6</v>
      </c>
      <c r="V387" s="24" t="n">
        <v>0.33</v>
      </c>
      <c r="W387" s="2" t="n">
        <v>0.6</v>
      </c>
      <c r="Z387" s="18"/>
      <c r="AA387" s="20" t="n">
        <v>341775</v>
      </c>
      <c r="AB387" s="20" t="n">
        <v>674782</v>
      </c>
      <c r="AC387" s="19" t="n">
        <f aca="false">(AB387-AA387)/AB387</f>
        <v>0.493503086922888</v>
      </c>
    </row>
    <row r="388" customFormat="false" ht="14.25" hidden="false" customHeight="true" outlineLevel="0" collapsed="false">
      <c r="A388" s="18" t="s">
        <v>389</v>
      </c>
      <c r="B388" s="18" t="s">
        <v>389</v>
      </c>
      <c r="C388" s="18" t="s">
        <v>31</v>
      </c>
      <c r="E388" s="2" t="n">
        <f aca="false">INDEX(FieldSites!F:F, MATCH(Ch2_FieldSurvey!B388,FieldSites!C:C,0))</f>
        <v>1486</v>
      </c>
      <c r="F388" s="2" t="n">
        <f aca="false">INDEX(FieldSites!G:G, MATCH(Ch2_FieldSurvey!B388,FieldSites!C:C,0))</f>
        <v>-119.70531698</v>
      </c>
      <c r="G388" s="2" t="n">
        <f aca="false">INDEX(FieldSites!H:H, MATCH(Ch2_FieldSurvey!B388,FieldSites!C:C,0))</f>
        <v>37.71609798</v>
      </c>
      <c r="H388" s="18" t="n">
        <v>3</v>
      </c>
      <c r="I388" s="21" t="str">
        <f aca="false">CONCATENATE(B388,"_",C388,H388)</f>
        <v>TRT_M. laciniatus3</v>
      </c>
      <c r="J388" s="22" t="n">
        <v>44683</v>
      </c>
      <c r="K388" s="23"/>
      <c r="L388" s="22" t="n">
        <v>44684</v>
      </c>
      <c r="M388" s="23" t="n">
        <v>0.41875</v>
      </c>
      <c r="O388" s="1" t="s">
        <v>396</v>
      </c>
      <c r="P388" s="16" t="s">
        <v>391</v>
      </c>
      <c r="R388" s="16" t="s">
        <v>392</v>
      </c>
      <c r="S388" s="4" t="s">
        <v>397</v>
      </c>
      <c r="T388" s="24" t="n">
        <v>355</v>
      </c>
      <c r="U388" s="18" t="n">
        <v>2.5</v>
      </c>
      <c r="V388" s="24" t="n">
        <v>0.32</v>
      </c>
      <c r="W388" s="2" t="n">
        <v>0.6</v>
      </c>
      <c r="Z388" s="18"/>
      <c r="AA388" s="20"/>
      <c r="AB388" s="20"/>
      <c r="AC388" s="19" t="e">
        <f aca="false">(AB388-AA388)/AB388</f>
        <v>#DIV/0!</v>
      </c>
    </row>
    <row r="389" customFormat="false" ht="14.25" hidden="false" customHeight="true" outlineLevel="0" collapsed="false">
      <c r="A389" s="18" t="s">
        <v>389</v>
      </c>
      <c r="B389" s="18" t="s">
        <v>389</v>
      </c>
      <c r="C389" s="18" t="s">
        <v>31</v>
      </c>
      <c r="E389" s="2" t="n">
        <f aca="false">INDEX(FieldSites!F:F, MATCH(Ch2_FieldSurvey!B389,FieldSites!C:C,0))</f>
        <v>1486</v>
      </c>
      <c r="F389" s="2" t="n">
        <f aca="false">INDEX(FieldSites!G:G, MATCH(Ch2_FieldSurvey!B389,FieldSites!C:C,0))</f>
        <v>-119.70531698</v>
      </c>
      <c r="G389" s="2" t="n">
        <f aca="false">INDEX(FieldSites!H:H, MATCH(Ch2_FieldSurvey!B389,FieldSites!C:C,0))</f>
        <v>37.71609798</v>
      </c>
      <c r="H389" s="18" t="n">
        <v>3</v>
      </c>
      <c r="I389" s="21" t="str">
        <f aca="false">CONCATENATE(B389,"_",C389,H389)</f>
        <v>TRT_M. laciniatus3</v>
      </c>
      <c r="J389" s="22" t="n">
        <v>44683</v>
      </c>
      <c r="K389" s="23"/>
      <c r="L389" s="22" t="n">
        <v>44684</v>
      </c>
      <c r="M389" s="23" t="n">
        <v>0.41875</v>
      </c>
      <c r="O389" s="1" t="s">
        <v>396</v>
      </c>
      <c r="P389" s="16" t="s">
        <v>391</v>
      </c>
      <c r="R389" s="16" t="s">
        <v>392</v>
      </c>
      <c r="S389" s="4" t="s">
        <v>397</v>
      </c>
      <c r="T389" s="24" t="n">
        <v>320</v>
      </c>
      <c r="U389" s="18" t="n">
        <v>3.9</v>
      </c>
      <c r="V389" s="24" t="n">
        <v>0.28</v>
      </c>
      <c r="W389" s="2" t="n">
        <v>0.6</v>
      </c>
      <c r="Z389" s="18"/>
      <c r="AA389" s="20"/>
      <c r="AB389" s="20"/>
      <c r="AC389" s="19" t="e">
        <f aca="false">(AB389-AA389)/AB389</f>
        <v>#DIV/0!</v>
      </c>
    </row>
    <row r="390" customFormat="false" ht="14.25" hidden="false" customHeight="true" outlineLevel="0" collapsed="false">
      <c r="A390" s="18" t="s">
        <v>389</v>
      </c>
      <c r="B390" s="18" t="s">
        <v>389</v>
      </c>
      <c r="C390" s="18" t="s">
        <v>31</v>
      </c>
      <c r="E390" s="2" t="n">
        <f aca="false">INDEX(FieldSites!F:F, MATCH(Ch2_FieldSurvey!B390,FieldSites!C:C,0))</f>
        <v>1486</v>
      </c>
      <c r="F390" s="2" t="n">
        <f aca="false">INDEX(FieldSites!G:G, MATCH(Ch2_FieldSurvey!B390,FieldSites!C:C,0))</f>
        <v>-119.70531698</v>
      </c>
      <c r="G390" s="2" t="n">
        <f aca="false">INDEX(FieldSites!H:H, MATCH(Ch2_FieldSurvey!B390,FieldSites!C:C,0))</f>
        <v>37.71609798</v>
      </c>
      <c r="H390" s="18" t="n">
        <v>4</v>
      </c>
      <c r="I390" s="21" t="str">
        <f aca="false">CONCATENATE(B390,"_",C390,H390)</f>
        <v>TRT_M. laciniatus4</v>
      </c>
      <c r="J390" s="22" t="n">
        <v>44683</v>
      </c>
      <c r="K390" s="23"/>
      <c r="L390" s="22" t="n">
        <v>44684</v>
      </c>
      <c r="M390" s="23" t="n">
        <v>0.422916666666667</v>
      </c>
      <c r="O390" s="1" t="s">
        <v>398</v>
      </c>
      <c r="P390" s="16" t="s">
        <v>391</v>
      </c>
      <c r="R390" s="16" t="s">
        <v>392</v>
      </c>
      <c r="S390" s="4" t="s">
        <v>399</v>
      </c>
      <c r="T390" s="24" t="n">
        <v>396</v>
      </c>
      <c r="U390" s="18" t="n">
        <v>6.1</v>
      </c>
      <c r="V390" s="24" t="n">
        <v>0.32</v>
      </c>
      <c r="W390" s="2" t="n">
        <v>0.6</v>
      </c>
      <c r="Z390" s="18"/>
      <c r="AA390" s="20" t="n">
        <v>238776</v>
      </c>
      <c r="AB390" s="20" t="n">
        <v>567641</v>
      </c>
      <c r="AC390" s="19" t="n">
        <f aca="false">(AB390-AA390)/AB390</f>
        <v>0.57935385217065</v>
      </c>
    </row>
    <row r="391" customFormat="false" ht="14.25" hidden="false" customHeight="true" outlineLevel="0" collapsed="false">
      <c r="A391" s="18" t="s">
        <v>389</v>
      </c>
      <c r="B391" s="18" t="s">
        <v>389</v>
      </c>
      <c r="C391" s="18" t="s">
        <v>31</v>
      </c>
      <c r="E391" s="2" t="n">
        <f aca="false">INDEX(FieldSites!F:F, MATCH(Ch2_FieldSurvey!B391,FieldSites!C:C,0))</f>
        <v>1486</v>
      </c>
      <c r="F391" s="2" t="n">
        <f aca="false">INDEX(FieldSites!G:G, MATCH(Ch2_FieldSurvey!B391,FieldSites!C:C,0))</f>
        <v>-119.70531698</v>
      </c>
      <c r="G391" s="2" t="n">
        <f aca="false">INDEX(FieldSites!H:H, MATCH(Ch2_FieldSurvey!B391,FieldSites!C:C,0))</f>
        <v>37.71609798</v>
      </c>
      <c r="H391" s="18" t="n">
        <v>4</v>
      </c>
      <c r="I391" s="21" t="str">
        <f aca="false">CONCATENATE(B391,"_",C391,H391)</f>
        <v>TRT_M. laciniatus4</v>
      </c>
      <c r="J391" s="22" t="n">
        <v>44683</v>
      </c>
      <c r="K391" s="23"/>
      <c r="L391" s="22" t="n">
        <v>44684</v>
      </c>
      <c r="M391" s="23" t="n">
        <v>0.422916666666667</v>
      </c>
      <c r="O391" s="1" t="s">
        <v>398</v>
      </c>
      <c r="P391" s="16" t="s">
        <v>391</v>
      </c>
      <c r="R391" s="16" t="s">
        <v>392</v>
      </c>
      <c r="S391" s="4" t="s">
        <v>399</v>
      </c>
      <c r="T391" s="24" t="n">
        <v>527</v>
      </c>
      <c r="U391" s="18" t="n">
        <v>5.6</v>
      </c>
      <c r="V391" s="24" t="n">
        <v>0.32</v>
      </c>
      <c r="W391" s="2" t="n">
        <v>0.8</v>
      </c>
      <c r="Z391" s="18"/>
      <c r="AA391" s="20"/>
      <c r="AB391" s="20"/>
      <c r="AC391" s="19" t="e">
        <f aca="false">(AB391-AA391)/AB391</f>
        <v>#DIV/0!</v>
      </c>
    </row>
    <row r="392" customFormat="false" ht="14.25" hidden="false" customHeight="true" outlineLevel="0" collapsed="false">
      <c r="A392" s="18" t="s">
        <v>389</v>
      </c>
      <c r="B392" s="18" t="s">
        <v>389</v>
      </c>
      <c r="C392" s="18" t="s">
        <v>31</v>
      </c>
      <c r="E392" s="2" t="n">
        <f aca="false">INDEX(FieldSites!F:F, MATCH(Ch2_FieldSurvey!B392,FieldSites!C:C,0))</f>
        <v>1486</v>
      </c>
      <c r="F392" s="2" t="n">
        <f aca="false">INDEX(FieldSites!G:G, MATCH(Ch2_FieldSurvey!B392,FieldSites!C:C,0))</f>
        <v>-119.70531698</v>
      </c>
      <c r="G392" s="2" t="n">
        <f aca="false">INDEX(FieldSites!H:H, MATCH(Ch2_FieldSurvey!B392,FieldSites!C:C,0))</f>
        <v>37.71609798</v>
      </c>
      <c r="H392" s="18" t="n">
        <v>4</v>
      </c>
      <c r="I392" s="21" t="str">
        <f aca="false">CONCATENATE(B392,"_",C392,H392)</f>
        <v>TRT_M. laciniatus4</v>
      </c>
      <c r="J392" s="22" t="n">
        <v>44683</v>
      </c>
      <c r="K392" s="23"/>
      <c r="L392" s="22" t="n">
        <v>44684</v>
      </c>
      <c r="M392" s="23" t="n">
        <v>0.422916666666667</v>
      </c>
      <c r="O392" s="1" t="s">
        <v>398</v>
      </c>
      <c r="P392" s="16" t="s">
        <v>391</v>
      </c>
      <c r="R392" s="16" t="s">
        <v>392</v>
      </c>
      <c r="S392" s="4" t="s">
        <v>399</v>
      </c>
      <c r="T392" s="24" t="n">
        <v>530</v>
      </c>
      <c r="U392" s="18" t="n">
        <v>5.6</v>
      </c>
      <c r="V392" s="24" t="n">
        <v>0.32</v>
      </c>
      <c r="W392" s="2" t="n">
        <v>0.5</v>
      </c>
      <c r="Z392" s="18"/>
      <c r="AA392" s="20"/>
      <c r="AB392" s="20"/>
      <c r="AC392" s="19" t="e">
        <f aca="false">(AB392-AA392)/AB392</f>
        <v>#DIV/0!</v>
      </c>
    </row>
    <row r="393" customFormat="false" ht="14.25" hidden="false" customHeight="true" outlineLevel="0" collapsed="false">
      <c r="A393" s="18" t="s">
        <v>389</v>
      </c>
      <c r="B393" s="18" t="s">
        <v>389</v>
      </c>
      <c r="C393" s="18" t="s">
        <v>31</v>
      </c>
      <c r="E393" s="2" t="n">
        <f aca="false">INDEX(FieldSites!F:F, MATCH(Ch2_FieldSurvey!B393,FieldSites!C:C,0))</f>
        <v>1486</v>
      </c>
      <c r="F393" s="2" t="n">
        <f aca="false">INDEX(FieldSites!G:G, MATCH(Ch2_FieldSurvey!B393,FieldSites!C:C,0))</f>
        <v>-119.70531698</v>
      </c>
      <c r="G393" s="2" t="n">
        <f aca="false">INDEX(FieldSites!H:H, MATCH(Ch2_FieldSurvey!B393,FieldSites!C:C,0))</f>
        <v>37.71609798</v>
      </c>
      <c r="H393" s="18" t="n">
        <v>5</v>
      </c>
      <c r="I393" s="21" t="str">
        <f aca="false">CONCATENATE(B393,"_",C393,H393)</f>
        <v>TRT_M. laciniatus5</v>
      </c>
      <c r="J393" s="22" t="n">
        <v>44683</v>
      </c>
      <c r="K393" s="23"/>
      <c r="L393" s="22" t="n">
        <v>44684</v>
      </c>
      <c r="M393" s="23" t="n">
        <v>0.427083333333333</v>
      </c>
      <c r="O393" s="1" t="s">
        <v>400</v>
      </c>
      <c r="P393" s="16" t="s">
        <v>391</v>
      </c>
      <c r="R393" s="16" t="s">
        <v>392</v>
      </c>
      <c r="S393" s="4" t="s">
        <v>401</v>
      </c>
      <c r="T393" s="24" t="n">
        <v>186</v>
      </c>
      <c r="U393" s="18" t="n">
        <v>2.6</v>
      </c>
      <c r="V393" s="24" t="n">
        <v>0.09</v>
      </c>
      <c r="W393" s="2" t="n">
        <v>0.2</v>
      </c>
      <c r="Z393" s="18"/>
      <c r="AA393" s="20" t="n">
        <v>337969</v>
      </c>
      <c r="AB393" s="20" t="n">
        <v>839882</v>
      </c>
      <c r="AC393" s="19" t="n">
        <f aca="false">(AB393-AA393)/AB393</f>
        <v>0.597599424681086</v>
      </c>
    </row>
    <row r="394" customFormat="false" ht="14.25" hidden="false" customHeight="true" outlineLevel="0" collapsed="false">
      <c r="A394" s="18" t="s">
        <v>389</v>
      </c>
      <c r="B394" s="18" t="s">
        <v>389</v>
      </c>
      <c r="C394" s="18" t="s">
        <v>31</v>
      </c>
      <c r="E394" s="2" t="n">
        <f aca="false">INDEX(FieldSites!F:F, MATCH(Ch2_FieldSurvey!B394,FieldSites!C:C,0))</f>
        <v>1486</v>
      </c>
      <c r="F394" s="2" t="n">
        <f aca="false">INDEX(FieldSites!G:G, MATCH(Ch2_FieldSurvey!B394,FieldSites!C:C,0))</f>
        <v>-119.70531698</v>
      </c>
      <c r="G394" s="2" t="n">
        <f aca="false">INDEX(FieldSites!H:H, MATCH(Ch2_FieldSurvey!B394,FieldSites!C:C,0))</f>
        <v>37.71609798</v>
      </c>
      <c r="H394" s="18" t="n">
        <v>5</v>
      </c>
      <c r="I394" s="21" t="str">
        <f aca="false">CONCATENATE(B394,"_",C394,H394)</f>
        <v>TRT_M. laciniatus5</v>
      </c>
      <c r="J394" s="22" t="n">
        <v>44683</v>
      </c>
      <c r="K394" s="23"/>
      <c r="L394" s="22" t="n">
        <v>44684</v>
      </c>
      <c r="M394" s="23" t="n">
        <v>0.427083333333333</v>
      </c>
      <c r="O394" s="1" t="s">
        <v>400</v>
      </c>
      <c r="P394" s="16" t="s">
        <v>391</v>
      </c>
      <c r="R394" s="16" t="s">
        <v>392</v>
      </c>
      <c r="S394" s="4" t="s">
        <v>401</v>
      </c>
      <c r="T394" s="24" t="n">
        <v>267</v>
      </c>
      <c r="U394" s="18" t="n">
        <v>2.6</v>
      </c>
      <c r="V394" s="24" t="n">
        <v>0.1</v>
      </c>
      <c r="W394" s="2" t="n">
        <v>0.1</v>
      </c>
      <c r="Z394" s="18"/>
      <c r="AA394" s="20"/>
      <c r="AB394" s="20"/>
      <c r="AC394" s="19" t="e">
        <f aca="false">(AB394-AA394)/AB394</f>
        <v>#DIV/0!</v>
      </c>
    </row>
    <row r="395" customFormat="false" ht="14.25" hidden="false" customHeight="true" outlineLevel="0" collapsed="false">
      <c r="A395" s="18" t="s">
        <v>389</v>
      </c>
      <c r="B395" s="18" t="s">
        <v>389</v>
      </c>
      <c r="C395" s="18" t="s">
        <v>31</v>
      </c>
      <c r="E395" s="2" t="n">
        <f aca="false">INDEX(FieldSites!F:F, MATCH(Ch2_FieldSurvey!B395,FieldSites!C:C,0))</f>
        <v>1486</v>
      </c>
      <c r="F395" s="2" t="n">
        <f aca="false">INDEX(FieldSites!G:G, MATCH(Ch2_FieldSurvey!B395,FieldSites!C:C,0))</f>
        <v>-119.70531698</v>
      </c>
      <c r="G395" s="2" t="n">
        <f aca="false">INDEX(FieldSites!H:H, MATCH(Ch2_FieldSurvey!B395,FieldSites!C:C,0))</f>
        <v>37.71609798</v>
      </c>
      <c r="H395" s="18" t="n">
        <v>5</v>
      </c>
      <c r="I395" s="21" t="str">
        <f aca="false">CONCATENATE(B395,"_",C395,H395)</f>
        <v>TRT_M. laciniatus5</v>
      </c>
      <c r="J395" s="22" t="n">
        <v>44683</v>
      </c>
      <c r="K395" s="23"/>
      <c r="L395" s="22" t="n">
        <v>44684</v>
      </c>
      <c r="M395" s="23" t="n">
        <v>0.427083333333333</v>
      </c>
      <c r="O395" s="1" t="s">
        <v>400</v>
      </c>
      <c r="P395" s="16" t="s">
        <v>391</v>
      </c>
      <c r="R395" s="16" t="s">
        <v>392</v>
      </c>
      <c r="S395" s="4" t="s">
        <v>401</v>
      </c>
      <c r="T395" s="24" t="n">
        <v>296</v>
      </c>
      <c r="U395" s="18" t="n">
        <v>2.4</v>
      </c>
      <c r="V395" s="24" t="n">
        <v>0.13</v>
      </c>
      <c r="Z395" s="18"/>
      <c r="AA395" s="20"/>
      <c r="AB395" s="20"/>
      <c r="AC395" s="19" t="e">
        <f aca="false">(AB395-AA395)/AB395</f>
        <v>#DIV/0!</v>
      </c>
    </row>
    <row r="396" customFormat="false" ht="14.25" hidden="false" customHeight="true" outlineLevel="0" collapsed="false">
      <c r="A396" s="18" t="s">
        <v>389</v>
      </c>
      <c r="B396" s="18" t="s">
        <v>389</v>
      </c>
      <c r="C396" s="18" t="s">
        <v>31</v>
      </c>
      <c r="E396" s="2" t="n">
        <f aca="false">INDEX(FieldSites!F:F, MATCH(Ch2_FieldSurvey!B396,FieldSites!C:C,0))</f>
        <v>1486</v>
      </c>
      <c r="F396" s="2" t="n">
        <f aca="false">INDEX(FieldSites!G:G, MATCH(Ch2_FieldSurvey!B396,FieldSites!C:C,0))</f>
        <v>-119.70531698</v>
      </c>
      <c r="G396" s="2" t="n">
        <f aca="false">INDEX(FieldSites!H:H, MATCH(Ch2_FieldSurvey!B396,FieldSites!C:C,0))</f>
        <v>37.71609798</v>
      </c>
      <c r="H396" s="18" t="n">
        <v>6</v>
      </c>
      <c r="I396" s="21" t="str">
        <f aca="false">CONCATENATE(B396,"_",C396,H396)</f>
        <v>TRT_M. laciniatus6</v>
      </c>
      <c r="J396" s="22" t="n">
        <v>44683</v>
      </c>
      <c r="K396" s="23"/>
      <c r="L396" s="22" t="n">
        <v>44684</v>
      </c>
      <c r="M396" s="23" t="n">
        <v>0.430555555555556</v>
      </c>
      <c r="O396" s="1" t="s">
        <v>402</v>
      </c>
      <c r="P396" s="16" t="s">
        <v>391</v>
      </c>
      <c r="R396" s="16" t="s">
        <v>392</v>
      </c>
      <c r="S396" s="4" t="s">
        <v>403</v>
      </c>
      <c r="T396" s="24" t="n">
        <v>470</v>
      </c>
      <c r="U396" s="18" t="n">
        <v>3.8</v>
      </c>
      <c r="V396" s="24" t="n">
        <v>0.32</v>
      </c>
      <c r="W396" s="2" t="n">
        <v>0.6</v>
      </c>
      <c r="Z396" s="18"/>
      <c r="AA396" s="20" t="n">
        <v>171218</v>
      </c>
      <c r="AB396" s="20" t="n">
        <v>440295</v>
      </c>
      <c r="AC396" s="19" t="n">
        <f aca="false">(AB396-AA396)/AB396</f>
        <v>0.611128902213289</v>
      </c>
    </row>
    <row r="397" customFormat="false" ht="14.25" hidden="false" customHeight="true" outlineLevel="0" collapsed="false">
      <c r="A397" s="18" t="s">
        <v>389</v>
      </c>
      <c r="B397" s="18" t="s">
        <v>389</v>
      </c>
      <c r="C397" s="18" t="s">
        <v>31</v>
      </c>
      <c r="E397" s="2" t="n">
        <f aca="false">INDEX(FieldSites!F:F, MATCH(Ch2_FieldSurvey!B397,FieldSites!C:C,0))</f>
        <v>1486</v>
      </c>
      <c r="F397" s="2" t="n">
        <f aca="false">INDEX(FieldSites!G:G, MATCH(Ch2_FieldSurvey!B397,FieldSites!C:C,0))</f>
        <v>-119.70531698</v>
      </c>
      <c r="G397" s="2" t="n">
        <f aca="false">INDEX(FieldSites!H:H, MATCH(Ch2_FieldSurvey!B397,FieldSites!C:C,0))</f>
        <v>37.71609798</v>
      </c>
      <c r="H397" s="18" t="n">
        <v>6</v>
      </c>
      <c r="I397" s="21" t="str">
        <f aca="false">CONCATENATE(B397,"_",C397,H397)</f>
        <v>TRT_M. laciniatus6</v>
      </c>
      <c r="J397" s="22" t="n">
        <v>44683</v>
      </c>
      <c r="K397" s="23"/>
      <c r="L397" s="22" t="n">
        <v>44684</v>
      </c>
      <c r="M397" s="23" t="n">
        <v>0.430555555555556</v>
      </c>
      <c r="O397" s="1" t="s">
        <v>402</v>
      </c>
      <c r="P397" s="16" t="s">
        <v>391</v>
      </c>
      <c r="R397" s="16" t="s">
        <v>392</v>
      </c>
      <c r="S397" s="4" t="s">
        <v>403</v>
      </c>
      <c r="T397" s="24" t="n">
        <v>555</v>
      </c>
      <c r="U397" s="18" t="n">
        <v>5</v>
      </c>
      <c r="V397" s="24" t="n">
        <v>0.24</v>
      </c>
      <c r="W397" s="2" t="n">
        <v>0.5</v>
      </c>
      <c r="Z397" s="18"/>
      <c r="AA397" s="20"/>
      <c r="AB397" s="20"/>
      <c r="AC397" s="19" t="e">
        <f aca="false">(AB397-AA397)/AB397</f>
        <v>#DIV/0!</v>
      </c>
    </row>
    <row r="398" customFormat="false" ht="14.25" hidden="false" customHeight="true" outlineLevel="0" collapsed="false">
      <c r="A398" s="18" t="s">
        <v>389</v>
      </c>
      <c r="B398" s="18" t="s">
        <v>389</v>
      </c>
      <c r="C398" s="18" t="s">
        <v>31</v>
      </c>
      <c r="E398" s="2" t="n">
        <f aca="false">INDEX(FieldSites!F:F, MATCH(Ch2_FieldSurvey!B398,FieldSites!C:C,0))</f>
        <v>1486</v>
      </c>
      <c r="F398" s="2" t="n">
        <f aca="false">INDEX(FieldSites!G:G, MATCH(Ch2_FieldSurvey!B398,FieldSites!C:C,0))</f>
        <v>-119.70531698</v>
      </c>
      <c r="G398" s="2" t="n">
        <f aca="false">INDEX(FieldSites!H:H, MATCH(Ch2_FieldSurvey!B398,FieldSites!C:C,0))</f>
        <v>37.71609798</v>
      </c>
      <c r="H398" s="18" t="n">
        <v>6</v>
      </c>
      <c r="I398" s="21" t="str">
        <f aca="false">CONCATENATE(B398,"_",C398,H398)</f>
        <v>TRT_M. laciniatus6</v>
      </c>
      <c r="J398" s="22" t="n">
        <v>44683</v>
      </c>
      <c r="K398" s="23"/>
      <c r="L398" s="22" t="n">
        <v>44684</v>
      </c>
      <c r="M398" s="23" t="n">
        <v>0.430555555555556</v>
      </c>
      <c r="O398" s="1" t="s">
        <v>402</v>
      </c>
      <c r="P398" s="16" t="s">
        <v>391</v>
      </c>
      <c r="R398" s="16" t="s">
        <v>392</v>
      </c>
      <c r="S398" s="4" t="s">
        <v>403</v>
      </c>
      <c r="T398" s="24" t="n">
        <v>555</v>
      </c>
      <c r="U398" s="18" t="n">
        <v>3.9</v>
      </c>
      <c r="V398" s="24" t="n">
        <v>0.27</v>
      </c>
      <c r="W398" s="2" t="n">
        <v>0.6</v>
      </c>
      <c r="Z398" s="18"/>
      <c r="AA398" s="20"/>
      <c r="AB398" s="20"/>
      <c r="AC398" s="19" t="e">
        <f aca="false">(AB398-AA398)/AB398</f>
        <v>#DIV/0!</v>
      </c>
    </row>
    <row r="399" customFormat="false" ht="14.25" hidden="false" customHeight="true" outlineLevel="0" collapsed="false">
      <c r="A399" s="18" t="s">
        <v>389</v>
      </c>
      <c r="B399" s="18" t="s">
        <v>389</v>
      </c>
      <c r="C399" s="18" t="s">
        <v>31</v>
      </c>
      <c r="E399" s="2" t="n">
        <f aca="false">INDEX(FieldSites!F:F, MATCH(Ch2_FieldSurvey!B399,FieldSites!C:C,0))</f>
        <v>1486</v>
      </c>
      <c r="F399" s="2" t="n">
        <f aca="false">INDEX(FieldSites!G:G, MATCH(Ch2_FieldSurvey!B399,FieldSites!C:C,0))</f>
        <v>-119.70531698</v>
      </c>
      <c r="G399" s="2" t="n">
        <f aca="false">INDEX(FieldSites!H:H, MATCH(Ch2_FieldSurvey!B399,FieldSites!C:C,0))</f>
        <v>37.71609798</v>
      </c>
      <c r="H399" s="18" t="n">
        <v>7</v>
      </c>
      <c r="I399" s="21" t="str">
        <f aca="false">CONCATENATE(B399,"_",C399,H399)</f>
        <v>TRT_M. laciniatus7</v>
      </c>
      <c r="J399" s="22" t="n">
        <v>44683</v>
      </c>
      <c r="K399" s="23"/>
      <c r="L399" s="22" t="n">
        <v>44684</v>
      </c>
      <c r="M399" s="23" t="n">
        <v>0.434722222222222</v>
      </c>
      <c r="O399" s="1" t="s">
        <v>404</v>
      </c>
      <c r="P399" s="16" t="s">
        <v>391</v>
      </c>
      <c r="R399" s="16" t="s">
        <v>392</v>
      </c>
      <c r="S399" s="4" t="s">
        <v>405</v>
      </c>
      <c r="T399" s="24" t="n">
        <v>473</v>
      </c>
      <c r="U399" s="18" t="n">
        <v>7.5</v>
      </c>
      <c r="V399" s="24" t="n">
        <v>0.28</v>
      </c>
      <c r="W399" s="2" t="n">
        <v>0.6</v>
      </c>
      <c r="Z399" s="18"/>
      <c r="AA399" s="20" t="n">
        <v>87034</v>
      </c>
      <c r="AB399" s="20" t="n">
        <v>171841</v>
      </c>
      <c r="AC399" s="19" t="n">
        <f aca="false">(AB399-AA399)/AB399</f>
        <v>0.493520172717803</v>
      </c>
    </row>
    <row r="400" customFormat="false" ht="14.25" hidden="false" customHeight="true" outlineLevel="0" collapsed="false">
      <c r="A400" s="18" t="s">
        <v>389</v>
      </c>
      <c r="B400" s="18" t="s">
        <v>389</v>
      </c>
      <c r="C400" s="18" t="s">
        <v>31</v>
      </c>
      <c r="E400" s="2" t="n">
        <f aca="false">INDEX(FieldSites!F:F, MATCH(Ch2_FieldSurvey!B400,FieldSites!C:C,0))</f>
        <v>1486</v>
      </c>
      <c r="F400" s="2" t="n">
        <f aca="false">INDEX(FieldSites!G:G, MATCH(Ch2_FieldSurvey!B400,FieldSites!C:C,0))</f>
        <v>-119.70531698</v>
      </c>
      <c r="G400" s="2" t="n">
        <f aca="false">INDEX(FieldSites!H:H, MATCH(Ch2_FieldSurvey!B400,FieldSites!C:C,0))</f>
        <v>37.71609798</v>
      </c>
      <c r="H400" s="18" t="n">
        <v>7</v>
      </c>
      <c r="I400" s="21" t="str">
        <f aca="false">CONCATENATE(B400,"_",C400,H400)</f>
        <v>TRT_M. laciniatus7</v>
      </c>
      <c r="J400" s="22" t="n">
        <v>44683</v>
      </c>
      <c r="K400" s="23"/>
      <c r="L400" s="22" t="n">
        <v>44684</v>
      </c>
      <c r="M400" s="23" t="n">
        <v>0.434722222222222</v>
      </c>
      <c r="O400" s="1" t="s">
        <v>404</v>
      </c>
      <c r="P400" s="16" t="s">
        <v>391</v>
      </c>
      <c r="R400" s="16" t="s">
        <v>392</v>
      </c>
      <c r="S400" s="4" t="s">
        <v>405</v>
      </c>
      <c r="T400" s="24" t="n">
        <v>470</v>
      </c>
      <c r="U400" s="18" t="n">
        <v>7.3</v>
      </c>
      <c r="V400" s="24" t="n">
        <v>0.31</v>
      </c>
      <c r="W400" s="2" t="n">
        <v>0.6</v>
      </c>
      <c r="Z400" s="18"/>
      <c r="AA400" s="20"/>
      <c r="AB400" s="20"/>
      <c r="AC400" s="19" t="e">
        <f aca="false">(AB400-AA400)/AB400</f>
        <v>#DIV/0!</v>
      </c>
    </row>
    <row r="401" customFormat="false" ht="14.25" hidden="false" customHeight="true" outlineLevel="0" collapsed="false">
      <c r="A401" s="18" t="s">
        <v>389</v>
      </c>
      <c r="B401" s="18" t="s">
        <v>389</v>
      </c>
      <c r="C401" s="18" t="s">
        <v>31</v>
      </c>
      <c r="E401" s="2" t="n">
        <f aca="false">INDEX(FieldSites!F:F, MATCH(Ch2_FieldSurvey!B401,FieldSites!C:C,0))</f>
        <v>1486</v>
      </c>
      <c r="F401" s="2" t="n">
        <f aca="false">INDEX(FieldSites!G:G, MATCH(Ch2_FieldSurvey!B401,FieldSites!C:C,0))</f>
        <v>-119.70531698</v>
      </c>
      <c r="G401" s="2" t="n">
        <f aca="false">INDEX(FieldSites!H:H, MATCH(Ch2_FieldSurvey!B401,FieldSites!C:C,0))</f>
        <v>37.71609798</v>
      </c>
      <c r="H401" s="18" t="n">
        <v>7</v>
      </c>
      <c r="I401" s="21" t="str">
        <f aca="false">CONCATENATE(B401,"_",C401,H401)</f>
        <v>TRT_M. laciniatus7</v>
      </c>
      <c r="J401" s="22" t="n">
        <v>44683</v>
      </c>
      <c r="K401" s="23"/>
      <c r="L401" s="22" t="n">
        <v>44684</v>
      </c>
      <c r="M401" s="23" t="n">
        <v>0.434722222222222</v>
      </c>
      <c r="O401" s="1" t="s">
        <v>404</v>
      </c>
      <c r="P401" s="16" t="s">
        <v>391</v>
      </c>
      <c r="R401" s="16" t="s">
        <v>392</v>
      </c>
      <c r="S401" s="4" t="s">
        <v>405</v>
      </c>
      <c r="T401" s="24" t="n">
        <v>556</v>
      </c>
      <c r="U401" s="18" t="n">
        <v>4.6</v>
      </c>
      <c r="V401" s="24" t="n">
        <v>0.26</v>
      </c>
      <c r="Z401" s="18"/>
      <c r="AA401" s="20"/>
      <c r="AB401" s="20"/>
      <c r="AC401" s="19" t="e">
        <f aca="false">(AB401-AA401)/AB401</f>
        <v>#DIV/0!</v>
      </c>
    </row>
    <row r="402" customFormat="false" ht="14.25" hidden="false" customHeight="true" outlineLevel="0" collapsed="false">
      <c r="A402" s="18" t="s">
        <v>389</v>
      </c>
      <c r="B402" s="18" t="s">
        <v>389</v>
      </c>
      <c r="C402" s="18" t="s">
        <v>31</v>
      </c>
      <c r="E402" s="2" t="n">
        <f aca="false">INDEX(FieldSites!F:F, MATCH(Ch2_FieldSurvey!B402,FieldSites!C:C,0))</f>
        <v>1486</v>
      </c>
      <c r="F402" s="2" t="n">
        <f aca="false">INDEX(FieldSites!G:G, MATCH(Ch2_FieldSurvey!B402,FieldSites!C:C,0))</f>
        <v>-119.70531698</v>
      </c>
      <c r="G402" s="2" t="n">
        <f aca="false">INDEX(FieldSites!H:H, MATCH(Ch2_FieldSurvey!B402,FieldSites!C:C,0))</f>
        <v>37.71609798</v>
      </c>
      <c r="H402" s="18" t="n">
        <v>8</v>
      </c>
      <c r="I402" s="21" t="str">
        <f aca="false">CONCATENATE(B402,"_",C402,H402)</f>
        <v>TRT_M. laciniatus8</v>
      </c>
      <c r="J402" s="22" t="n">
        <v>44683</v>
      </c>
      <c r="K402" s="23"/>
      <c r="L402" s="22" t="n">
        <v>44684</v>
      </c>
      <c r="M402" s="23" t="n">
        <v>0.438888888888889</v>
      </c>
      <c r="O402" s="1" t="s">
        <v>406</v>
      </c>
      <c r="P402" s="16" t="s">
        <v>391</v>
      </c>
      <c r="R402" s="16" t="s">
        <v>392</v>
      </c>
      <c r="S402" s="4" t="s">
        <v>407</v>
      </c>
      <c r="T402" s="24" t="n">
        <v>520</v>
      </c>
      <c r="U402" s="18" t="n">
        <v>2.7</v>
      </c>
      <c r="V402" s="24" t="n">
        <v>0.32</v>
      </c>
      <c r="W402" s="2" t="n">
        <v>0.8</v>
      </c>
      <c r="Z402" s="18"/>
      <c r="AA402" s="20" t="n">
        <v>97732</v>
      </c>
      <c r="AB402" s="20" t="n">
        <v>226523</v>
      </c>
      <c r="AC402" s="19" t="n">
        <f aca="false">(AB402-AA402)/AB402</f>
        <v>0.568555952375697</v>
      </c>
    </row>
    <row r="403" customFormat="false" ht="14.25" hidden="false" customHeight="true" outlineLevel="0" collapsed="false">
      <c r="A403" s="18" t="s">
        <v>389</v>
      </c>
      <c r="B403" s="18" t="s">
        <v>389</v>
      </c>
      <c r="C403" s="18" t="s">
        <v>31</v>
      </c>
      <c r="E403" s="2" t="n">
        <f aca="false">INDEX(FieldSites!F:F, MATCH(Ch2_FieldSurvey!B403,FieldSites!C:C,0))</f>
        <v>1486</v>
      </c>
      <c r="F403" s="2" t="n">
        <f aca="false">INDEX(FieldSites!G:G, MATCH(Ch2_FieldSurvey!B403,FieldSites!C:C,0))</f>
        <v>-119.70531698</v>
      </c>
      <c r="G403" s="2" t="n">
        <f aca="false">INDEX(FieldSites!H:H, MATCH(Ch2_FieldSurvey!B403,FieldSites!C:C,0))</f>
        <v>37.71609798</v>
      </c>
      <c r="H403" s="18" t="n">
        <v>8</v>
      </c>
      <c r="I403" s="21" t="str">
        <f aca="false">CONCATENATE(B403,"_",C403,H403)</f>
        <v>TRT_M. laciniatus8</v>
      </c>
      <c r="J403" s="22" t="n">
        <v>44683</v>
      </c>
      <c r="K403" s="23"/>
      <c r="L403" s="22" t="n">
        <v>44684</v>
      </c>
      <c r="M403" s="23" t="n">
        <v>0.438888888888889</v>
      </c>
      <c r="O403" s="1" t="s">
        <v>406</v>
      </c>
      <c r="P403" s="16" t="s">
        <v>391</v>
      </c>
      <c r="R403" s="16" t="s">
        <v>392</v>
      </c>
      <c r="S403" s="4" t="s">
        <v>407</v>
      </c>
      <c r="T403" s="24" t="n">
        <v>455</v>
      </c>
      <c r="U403" s="18" t="n">
        <v>6.3</v>
      </c>
      <c r="V403" s="24" t="n">
        <v>0.29</v>
      </c>
      <c r="W403" s="2" t="n">
        <v>0.8</v>
      </c>
      <c r="Z403" s="18"/>
      <c r="AA403" s="20"/>
      <c r="AB403" s="20"/>
      <c r="AC403" s="19" t="e">
        <f aca="false">(AB403-AA403)/AB403</f>
        <v>#DIV/0!</v>
      </c>
    </row>
    <row r="404" customFormat="false" ht="14.25" hidden="false" customHeight="true" outlineLevel="0" collapsed="false">
      <c r="A404" s="18" t="s">
        <v>389</v>
      </c>
      <c r="B404" s="18" t="s">
        <v>389</v>
      </c>
      <c r="C404" s="18" t="s">
        <v>31</v>
      </c>
      <c r="E404" s="2" t="n">
        <f aca="false">INDEX(FieldSites!F:F, MATCH(Ch2_FieldSurvey!B404,FieldSites!C:C,0))</f>
        <v>1486</v>
      </c>
      <c r="F404" s="2" t="n">
        <f aca="false">INDEX(FieldSites!G:G, MATCH(Ch2_FieldSurvey!B404,FieldSites!C:C,0))</f>
        <v>-119.70531698</v>
      </c>
      <c r="G404" s="2" t="n">
        <f aca="false">INDEX(FieldSites!H:H, MATCH(Ch2_FieldSurvey!B404,FieldSites!C:C,0))</f>
        <v>37.71609798</v>
      </c>
      <c r="H404" s="18" t="n">
        <v>8</v>
      </c>
      <c r="I404" s="21" t="str">
        <f aca="false">CONCATENATE(B404,"_",C404,H404)</f>
        <v>TRT_M. laciniatus8</v>
      </c>
      <c r="J404" s="22" t="n">
        <v>44683</v>
      </c>
      <c r="K404" s="23"/>
      <c r="L404" s="22" t="n">
        <v>44684</v>
      </c>
      <c r="M404" s="23" t="n">
        <v>0.438888888888889</v>
      </c>
      <c r="O404" s="1" t="s">
        <v>406</v>
      </c>
      <c r="P404" s="16" t="s">
        <v>391</v>
      </c>
      <c r="R404" s="16" t="s">
        <v>392</v>
      </c>
      <c r="S404" s="4" t="s">
        <v>407</v>
      </c>
      <c r="T404" s="24" t="n">
        <v>602</v>
      </c>
      <c r="U404" s="18" t="n">
        <v>4.4</v>
      </c>
      <c r="V404" s="24" t="n">
        <v>0.37</v>
      </c>
      <c r="W404" s="2" t="n">
        <v>0.8</v>
      </c>
      <c r="Z404" s="18"/>
      <c r="AA404" s="20"/>
      <c r="AB404" s="20"/>
      <c r="AC404" s="19" t="e">
        <f aca="false">(AB404-AA404)/AB404</f>
        <v>#DIV/0!</v>
      </c>
    </row>
    <row r="405" customFormat="false" ht="14.25" hidden="false" customHeight="true" outlineLevel="0" collapsed="false">
      <c r="A405" s="18" t="s">
        <v>389</v>
      </c>
      <c r="B405" s="18" t="s">
        <v>389</v>
      </c>
      <c r="C405" s="18" t="s">
        <v>31</v>
      </c>
      <c r="E405" s="2" t="n">
        <f aca="false">INDEX(FieldSites!F:F, MATCH(Ch2_FieldSurvey!B405,FieldSites!C:C,0))</f>
        <v>1486</v>
      </c>
      <c r="F405" s="2" t="n">
        <f aca="false">INDEX(FieldSites!G:G, MATCH(Ch2_FieldSurvey!B405,FieldSites!C:C,0))</f>
        <v>-119.70531698</v>
      </c>
      <c r="G405" s="2" t="n">
        <f aca="false">INDEX(FieldSites!H:H, MATCH(Ch2_FieldSurvey!B405,FieldSites!C:C,0))</f>
        <v>37.71609798</v>
      </c>
      <c r="H405" s="18" t="n">
        <v>9</v>
      </c>
      <c r="I405" s="21" t="str">
        <f aca="false">CONCATENATE(B405,"_",C405,H405)</f>
        <v>TRT_M. laciniatus9</v>
      </c>
      <c r="J405" s="22" t="n">
        <v>44683</v>
      </c>
      <c r="K405" s="23"/>
      <c r="L405" s="22" t="n">
        <v>44684</v>
      </c>
      <c r="M405" s="23" t="n">
        <v>0.442361111111111</v>
      </c>
      <c r="O405" s="1" t="s">
        <v>408</v>
      </c>
      <c r="P405" s="16" t="s">
        <v>391</v>
      </c>
      <c r="R405" s="16" t="s">
        <v>392</v>
      </c>
      <c r="S405" s="4" t="s">
        <v>409</v>
      </c>
      <c r="T405" s="24" t="n">
        <v>385</v>
      </c>
      <c r="U405" s="18" t="n">
        <v>3.2</v>
      </c>
      <c r="V405" s="24" t="n">
        <v>0.23</v>
      </c>
      <c r="W405" s="2" t="n">
        <v>0.5</v>
      </c>
      <c r="Z405" s="18"/>
      <c r="AA405" s="20" t="n">
        <v>138077</v>
      </c>
      <c r="AB405" s="20" t="n">
        <v>230920</v>
      </c>
      <c r="AC405" s="19" t="n">
        <f aca="false">(AB405-AA405)/AB405</f>
        <v>0.40205698943357</v>
      </c>
    </row>
    <row r="406" customFormat="false" ht="14.25" hidden="false" customHeight="true" outlineLevel="0" collapsed="false">
      <c r="A406" s="18" t="s">
        <v>389</v>
      </c>
      <c r="B406" s="18" t="s">
        <v>389</v>
      </c>
      <c r="C406" s="18" t="s">
        <v>31</v>
      </c>
      <c r="E406" s="2" t="n">
        <f aca="false">INDEX(FieldSites!F:F, MATCH(Ch2_FieldSurvey!B406,FieldSites!C:C,0))</f>
        <v>1486</v>
      </c>
      <c r="F406" s="2" t="n">
        <f aca="false">INDEX(FieldSites!G:G, MATCH(Ch2_FieldSurvey!B406,FieldSites!C:C,0))</f>
        <v>-119.70531698</v>
      </c>
      <c r="G406" s="2" t="n">
        <f aca="false">INDEX(FieldSites!H:H, MATCH(Ch2_FieldSurvey!B406,FieldSites!C:C,0))</f>
        <v>37.71609798</v>
      </c>
      <c r="H406" s="18" t="n">
        <v>9</v>
      </c>
      <c r="I406" s="21" t="str">
        <f aca="false">CONCATENATE(B406,"_",C406,H406)</f>
        <v>TRT_M. laciniatus9</v>
      </c>
      <c r="J406" s="22" t="n">
        <v>44683</v>
      </c>
      <c r="K406" s="23"/>
      <c r="L406" s="22" t="n">
        <v>44684</v>
      </c>
      <c r="M406" s="23" t="n">
        <v>0.442361111111111</v>
      </c>
      <c r="O406" s="1" t="s">
        <v>408</v>
      </c>
      <c r="P406" s="16" t="s">
        <v>391</v>
      </c>
      <c r="R406" s="16" t="s">
        <v>392</v>
      </c>
      <c r="S406" s="4" t="s">
        <v>409</v>
      </c>
      <c r="T406" s="24" t="n">
        <v>355</v>
      </c>
      <c r="U406" s="18" t="n">
        <v>3.8</v>
      </c>
      <c r="V406" s="24" t="n">
        <v>0.23</v>
      </c>
      <c r="W406" s="2" t="n">
        <v>0.5</v>
      </c>
      <c r="Z406" s="18"/>
      <c r="AA406" s="20"/>
      <c r="AB406" s="20"/>
      <c r="AC406" s="19" t="e">
        <f aca="false">(AB406-AA406)/AB406</f>
        <v>#DIV/0!</v>
      </c>
    </row>
    <row r="407" customFormat="false" ht="14.25" hidden="false" customHeight="true" outlineLevel="0" collapsed="false">
      <c r="A407" s="18" t="s">
        <v>389</v>
      </c>
      <c r="B407" s="18" t="s">
        <v>389</v>
      </c>
      <c r="C407" s="18" t="s">
        <v>31</v>
      </c>
      <c r="E407" s="2" t="n">
        <f aca="false">INDEX(FieldSites!F:F, MATCH(Ch2_FieldSurvey!B407,FieldSites!C:C,0))</f>
        <v>1486</v>
      </c>
      <c r="F407" s="2" t="n">
        <f aca="false">INDEX(FieldSites!G:G, MATCH(Ch2_FieldSurvey!B407,FieldSites!C:C,0))</f>
        <v>-119.70531698</v>
      </c>
      <c r="G407" s="2" t="n">
        <f aca="false">INDEX(FieldSites!H:H, MATCH(Ch2_FieldSurvey!B407,FieldSites!C:C,0))</f>
        <v>37.71609798</v>
      </c>
      <c r="H407" s="18" t="n">
        <v>9</v>
      </c>
      <c r="I407" s="21" t="str">
        <f aca="false">CONCATENATE(B407,"_",C407,H407)</f>
        <v>TRT_M. laciniatus9</v>
      </c>
      <c r="J407" s="22" t="n">
        <v>44683</v>
      </c>
      <c r="K407" s="23"/>
      <c r="L407" s="22" t="n">
        <v>44684</v>
      </c>
      <c r="M407" s="23" t="n">
        <v>0.442361111111111</v>
      </c>
      <c r="O407" s="1" t="s">
        <v>408</v>
      </c>
      <c r="P407" s="16" t="s">
        <v>391</v>
      </c>
      <c r="R407" s="16" t="s">
        <v>392</v>
      </c>
      <c r="S407" s="4" t="s">
        <v>409</v>
      </c>
      <c r="T407" s="24" t="n">
        <v>378</v>
      </c>
      <c r="U407" s="18" t="n">
        <v>3.9</v>
      </c>
      <c r="V407" s="24" t="n">
        <v>0.21</v>
      </c>
      <c r="W407" s="2" t="n">
        <v>0.4</v>
      </c>
      <c r="Z407" s="18"/>
      <c r="AA407" s="20"/>
      <c r="AB407" s="20"/>
      <c r="AC407" s="19" t="e">
        <f aca="false">(AB407-AA407)/AB407</f>
        <v>#DIV/0!</v>
      </c>
    </row>
    <row r="408" customFormat="false" ht="14.25" hidden="false" customHeight="true" outlineLevel="0" collapsed="false">
      <c r="A408" s="18" t="s">
        <v>389</v>
      </c>
      <c r="B408" s="18" t="s">
        <v>389</v>
      </c>
      <c r="C408" s="18" t="s">
        <v>31</v>
      </c>
      <c r="E408" s="2" t="n">
        <f aca="false">INDEX(FieldSites!F:F, MATCH(Ch2_FieldSurvey!B408,FieldSites!C:C,0))</f>
        <v>1486</v>
      </c>
      <c r="F408" s="2" t="n">
        <f aca="false">INDEX(FieldSites!G:G, MATCH(Ch2_FieldSurvey!B408,FieldSites!C:C,0))</f>
        <v>-119.70531698</v>
      </c>
      <c r="G408" s="2" t="n">
        <f aca="false">INDEX(FieldSites!H:H, MATCH(Ch2_FieldSurvey!B408,FieldSites!C:C,0))</f>
        <v>37.71609798</v>
      </c>
      <c r="H408" s="18" t="n">
        <v>10</v>
      </c>
      <c r="I408" s="21" t="str">
        <f aca="false">CONCATENATE(B408,"_",C408,H408)</f>
        <v>TRT_M. laciniatus10</v>
      </c>
      <c r="J408" s="22" t="n">
        <v>44683</v>
      </c>
      <c r="K408" s="23"/>
      <c r="L408" s="22" t="n">
        <v>44684</v>
      </c>
      <c r="M408" s="23" t="n">
        <v>0.445138888888889</v>
      </c>
      <c r="O408" s="1" t="s">
        <v>410</v>
      </c>
      <c r="P408" s="16" t="s">
        <v>391</v>
      </c>
      <c r="R408" s="16" t="s">
        <v>392</v>
      </c>
      <c r="S408" s="4" t="s">
        <v>264</v>
      </c>
      <c r="T408" s="24" t="n">
        <v>468</v>
      </c>
      <c r="U408" s="18" t="n">
        <v>4</v>
      </c>
      <c r="V408" s="24" t="n">
        <v>0.21</v>
      </c>
      <c r="W408" s="2" t="n">
        <v>0.5</v>
      </c>
      <c r="Z408" s="18"/>
      <c r="AA408" s="20" t="n">
        <v>93967</v>
      </c>
      <c r="AB408" s="20" t="n">
        <v>144137</v>
      </c>
      <c r="AC408" s="19" t="n">
        <f aca="false">(AB408-AA408)/AB408</f>
        <v>0.348071626299979</v>
      </c>
    </row>
    <row r="409" customFormat="false" ht="14.25" hidden="false" customHeight="true" outlineLevel="0" collapsed="false">
      <c r="A409" s="18" t="s">
        <v>389</v>
      </c>
      <c r="B409" s="18" t="s">
        <v>389</v>
      </c>
      <c r="C409" s="18" t="s">
        <v>31</v>
      </c>
      <c r="E409" s="2" t="n">
        <f aca="false">INDEX(FieldSites!F:F, MATCH(Ch2_FieldSurvey!B409,FieldSites!C:C,0))</f>
        <v>1486</v>
      </c>
      <c r="F409" s="2" t="n">
        <f aca="false">INDEX(FieldSites!G:G, MATCH(Ch2_FieldSurvey!B409,FieldSites!C:C,0))</f>
        <v>-119.70531698</v>
      </c>
      <c r="G409" s="2" t="n">
        <f aca="false">INDEX(FieldSites!H:H, MATCH(Ch2_FieldSurvey!B409,FieldSites!C:C,0))</f>
        <v>37.71609798</v>
      </c>
      <c r="H409" s="18" t="n">
        <v>10</v>
      </c>
      <c r="I409" s="21" t="str">
        <f aca="false">CONCATENATE(B409,"_",C409,H409)</f>
        <v>TRT_M. laciniatus10</v>
      </c>
      <c r="J409" s="22" t="n">
        <v>44683</v>
      </c>
      <c r="K409" s="23"/>
      <c r="L409" s="22" t="n">
        <v>44684</v>
      </c>
      <c r="M409" s="23" t="n">
        <v>0.445138888888889</v>
      </c>
      <c r="O409" s="1" t="s">
        <v>410</v>
      </c>
      <c r="P409" s="16" t="s">
        <v>391</v>
      </c>
      <c r="R409" s="16" t="s">
        <v>392</v>
      </c>
      <c r="S409" s="4" t="s">
        <v>264</v>
      </c>
      <c r="T409" s="24" t="n">
        <v>470</v>
      </c>
      <c r="U409" s="18" t="n">
        <v>3.6</v>
      </c>
      <c r="V409" s="24" t="n">
        <v>0.27</v>
      </c>
      <c r="W409" s="2" t="n">
        <v>0.5</v>
      </c>
      <c r="Z409" s="18"/>
      <c r="AA409" s="20"/>
      <c r="AB409" s="20"/>
      <c r="AC409" s="19" t="e">
        <f aca="false">(AB409-AA409)/AB409</f>
        <v>#DIV/0!</v>
      </c>
    </row>
    <row r="410" customFormat="false" ht="14.25" hidden="false" customHeight="true" outlineLevel="0" collapsed="false">
      <c r="A410" s="18" t="s">
        <v>389</v>
      </c>
      <c r="B410" s="18" t="s">
        <v>389</v>
      </c>
      <c r="C410" s="18" t="s">
        <v>31</v>
      </c>
      <c r="E410" s="2" t="n">
        <f aca="false">INDEX(FieldSites!F:F, MATCH(Ch2_FieldSurvey!B410,FieldSites!C:C,0))</f>
        <v>1486</v>
      </c>
      <c r="F410" s="2" t="n">
        <f aca="false">INDEX(FieldSites!G:G, MATCH(Ch2_FieldSurvey!B410,FieldSites!C:C,0))</f>
        <v>-119.70531698</v>
      </c>
      <c r="G410" s="2" t="n">
        <f aca="false">INDEX(FieldSites!H:H, MATCH(Ch2_FieldSurvey!B410,FieldSites!C:C,0))</f>
        <v>37.71609798</v>
      </c>
      <c r="H410" s="18" t="n">
        <v>10</v>
      </c>
      <c r="I410" s="21" t="str">
        <f aca="false">CONCATENATE(B410,"_",C410,H410)</f>
        <v>TRT_M. laciniatus10</v>
      </c>
      <c r="J410" s="22" t="n">
        <v>44683</v>
      </c>
      <c r="K410" s="23"/>
      <c r="L410" s="22" t="n">
        <v>44684</v>
      </c>
      <c r="M410" s="23" t="n">
        <v>0.445138888888889</v>
      </c>
      <c r="O410" s="1" t="s">
        <v>410</v>
      </c>
      <c r="P410" s="16" t="s">
        <v>391</v>
      </c>
      <c r="R410" s="16" t="s">
        <v>392</v>
      </c>
      <c r="S410" s="4" t="s">
        <v>264</v>
      </c>
      <c r="T410" s="24" t="n">
        <v>485</v>
      </c>
      <c r="U410" s="18" t="n">
        <v>3.1</v>
      </c>
      <c r="V410" s="24" t="n">
        <v>0.18</v>
      </c>
      <c r="Z410" s="18"/>
      <c r="AA410" s="20"/>
      <c r="AB410" s="20"/>
      <c r="AC410" s="19" t="e">
        <f aca="false">(AB410-AA410)/AB410</f>
        <v>#DIV/0!</v>
      </c>
    </row>
    <row r="411" customFormat="false" ht="14.25" hidden="false" customHeight="true" outlineLevel="0" collapsed="false">
      <c r="A411" s="18" t="s">
        <v>411</v>
      </c>
      <c r="B411" s="18" t="s">
        <v>411</v>
      </c>
      <c r="C411" s="18" t="s">
        <v>40</v>
      </c>
      <c r="E411" s="2" t="n">
        <f aca="false">INDEX(FieldSites!F:F, MATCH(Ch2_FieldSurvey!B411,FieldSites!C:C,0))</f>
        <v>1238</v>
      </c>
      <c r="F411" s="2" t="n">
        <f aca="false">INDEX(FieldSites!G:G, MATCH(Ch2_FieldSurvey!B411,FieldSites!C:C,0))</f>
        <v>-119.951305</v>
      </c>
      <c r="G411" s="2" t="n">
        <f aca="false">INDEX(FieldSites!H:H, MATCH(Ch2_FieldSurvey!B411,FieldSites!C:C,0))</f>
        <v>37.85882</v>
      </c>
      <c r="H411" s="18" t="n">
        <v>1</v>
      </c>
      <c r="I411" s="21" t="str">
        <f aca="false">CONCATENATE(B411,"_",C411,H411)</f>
        <v>TWGB_M. guttatus1</v>
      </c>
      <c r="J411" s="22" t="n">
        <v>44683</v>
      </c>
      <c r="K411" s="23"/>
      <c r="L411" s="22" t="n">
        <v>44684</v>
      </c>
      <c r="M411" s="23" t="n">
        <v>0.455555555555556</v>
      </c>
      <c r="O411" s="1" t="s">
        <v>412</v>
      </c>
      <c r="P411" s="16" t="s">
        <v>391</v>
      </c>
      <c r="R411" s="16" t="s">
        <v>392</v>
      </c>
      <c r="S411" s="4" t="s">
        <v>413</v>
      </c>
      <c r="T411" s="24" t="n">
        <v>431</v>
      </c>
      <c r="U411" s="18" t="n">
        <v>2.7</v>
      </c>
      <c r="V411" s="24" t="n">
        <v>0.32</v>
      </c>
      <c r="W411" s="2" t="n">
        <v>0.4</v>
      </c>
      <c r="Z411" s="18"/>
      <c r="AA411" s="20" t="n">
        <v>460801</v>
      </c>
      <c r="AB411" s="20" t="n">
        <v>512794</v>
      </c>
      <c r="AC411" s="19" t="n">
        <f aca="false">(AB411-AA411)/AB411</f>
        <v>0.101391591945304</v>
      </c>
    </row>
    <row r="412" customFormat="false" ht="14.25" hidden="false" customHeight="true" outlineLevel="0" collapsed="false">
      <c r="A412" s="18" t="s">
        <v>411</v>
      </c>
      <c r="B412" s="18" t="s">
        <v>411</v>
      </c>
      <c r="C412" s="18" t="s">
        <v>40</v>
      </c>
      <c r="E412" s="2" t="n">
        <f aca="false">INDEX(FieldSites!F:F, MATCH(Ch2_FieldSurvey!B412,FieldSites!C:C,0))</f>
        <v>1238</v>
      </c>
      <c r="F412" s="2" t="n">
        <f aca="false">INDEX(FieldSites!G:G, MATCH(Ch2_FieldSurvey!B412,FieldSites!C:C,0))</f>
        <v>-119.951305</v>
      </c>
      <c r="G412" s="2" t="n">
        <f aca="false">INDEX(FieldSites!H:H, MATCH(Ch2_FieldSurvey!B412,FieldSites!C:C,0))</f>
        <v>37.85882</v>
      </c>
      <c r="H412" s="18" t="n">
        <v>1</v>
      </c>
      <c r="I412" s="21" t="str">
        <f aca="false">CONCATENATE(B412,"_",C412,H412)</f>
        <v>TWGB_M. guttatus1</v>
      </c>
      <c r="J412" s="22" t="n">
        <v>44683</v>
      </c>
      <c r="K412" s="23"/>
      <c r="L412" s="22" t="n">
        <v>44684</v>
      </c>
      <c r="M412" s="23" t="n">
        <v>0.455555555555556</v>
      </c>
      <c r="O412" s="1" t="s">
        <v>412</v>
      </c>
      <c r="P412" s="16" t="s">
        <v>391</v>
      </c>
      <c r="R412" s="16" t="s">
        <v>392</v>
      </c>
      <c r="S412" s="4" t="s">
        <v>413</v>
      </c>
      <c r="T412" s="24" t="n">
        <v>285</v>
      </c>
      <c r="U412" s="18" t="n">
        <v>2.9</v>
      </c>
      <c r="V412" s="24" t="n">
        <v>0.35</v>
      </c>
      <c r="W412" s="2" t="n">
        <v>0.4</v>
      </c>
      <c r="Z412" s="18"/>
      <c r="AA412" s="20"/>
      <c r="AB412" s="20"/>
      <c r="AC412" s="19" t="e">
        <f aca="false">(AB412-AA412)/AB412</f>
        <v>#DIV/0!</v>
      </c>
    </row>
    <row r="413" customFormat="false" ht="14.25" hidden="false" customHeight="true" outlineLevel="0" collapsed="false">
      <c r="A413" s="18" t="s">
        <v>411</v>
      </c>
      <c r="B413" s="18" t="s">
        <v>411</v>
      </c>
      <c r="C413" s="18" t="s">
        <v>40</v>
      </c>
      <c r="E413" s="2" t="n">
        <f aca="false">INDEX(FieldSites!F:F, MATCH(Ch2_FieldSurvey!B413,FieldSites!C:C,0))</f>
        <v>1238</v>
      </c>
      <c r="F413" s="2" t="n">
        <f aca="false">INDEX(FieldSites!G:G, MATCH(Ch2_FieldSurvey!B413,FieldSites!C:C,0))</f>
        <v>-119.951305</v>
      </c>
      <c r="G413" s="2" t="n">
        <f aca="false">INDEX(FieldSites!H:H, MATCH(Ch2_FieldSurvey!B413,FieldSites!C:C,0))</f>
        <v>37.85882</v>
      </c>
      <c r="H413" s="18" t="n">
        <v>1</v>
      </c>
      <c r="I413" s="21" t="str">
        <f aca="false">CONCATENATE(B413,"_",C413,H413)</f>
        <v>TWGB_M. guttatus1</v>
      </c>
      <c r="J413" s="22" t="n">
        <v>44683</v>
      </c>
      <c r="K413" s="23"/>
      <c r="L413" s="22" t="n">
        <v>44684</v>
      </c>
      <c r="M413" s="23" t="n">
        <v>0.455555555555556</v>
      </c>
      <c r="O413" s="1" t="s">
        <v>412</v>
      </c>
      <c r="P413" s="16" t="s">
        <v>391</v>
      </c>
      <c r="R413" s="16" t="s">
        <v>392</v>
      </c>
      <c r="S413" s="4" t="s">
        <v>413</v>
      </c>
      <c r="T413" s="24" t="n">
        <v>284</v>
      </c>
      <c r="U413" s="18" t="n">
        <v>3</v>
      </c>
      <c r="V413" s="24" t="n">
        <v>0.34</v>
      </c>
      <c r="W413" s="2" t="n">
        <v>0.6</v>
      </c>
      <c r="Z413" s="18"/>
      <c r="AA413" s="20"/>
      <c r="AB413" s="20"/>
      <c r="AC413" s="19" t="e">
        <f aca="false">(AB413-AA413)/AB413</f>
        <v>#DIV/0!</v>
      </c>
    </row>
    <row r="414" customFormat="false" ht="14.25" hidden="false" customHeight="true" outlineLevel="0" collapsed="false">
      <c r="A414" s="18" t="s">
        <v>411</v>
      </c>
      <c r="B414" s="18" t="s">
        <v>411</v>
      </c>
      <c r="C414" s="18" t="s">
        <v>40</v>
      </c>
      <c r="E414" s="2" t="n">
        <f aca="false">INDEX(FieldSites!F:F, MATCH(Ch2_FieldSurvey!B414,FieldSites!C:C,0))</f>
        <v>1238</v>
      </c>
      <c r="F414" s="2" t="n">
        <f aca="false">INDEX(FieldSites!G:G, MATCH(Ch2_FieldSurvey!B414,FieldSites!C:C,0))</f>
        <v>-119.951305</v>
      </c>
      <c r="G414" s="2" t="n">
        <f aca="false">INDEX(FieldSites!H:H, MATCH(Ch2_FieldSurvey!B414,FieldSites!C:C,0))</f>
        <v>37.85882</v>
      </c>
      <c r="H414" s="18" t="n">
        <v>2</v>
      </c>
      <c r="I414" s="21" t="str">
        <f aca="false">CONCATENATE(B414,"_",C414,H414)</f>
        <v>TWGB_M. guttatus2</v>
      </c>
      <c r="J414" s="22" t="n">
        <v>44683</v>
      </c>
      <c r="K414" s="23"/>
      <c r="L414" s="22" t="n">
        <v>44684</v>
      </c>
      <c r="M414" s="23" t="n">
        <v>0.459027777777778</v>
      </c>
      <c r="O414" s="1" t="s">
        <v>414</v>
      </c>
      <c r="P414" s="16" t="s">
        <v>391</v>
      </c>
      <c r="R414" s="16" t="s">
        <v>392</v>
      </c>
      <c r="S414" s="4" t="s">
        <v>415</v>
      </c>
      <c r="T414" s="24" t="n">
        <v>326</v>
      </c>
      <c r="U414" s="18" t="n">
        <v>2.6</v>
      </c>
      <c r="V414" s="24" t="n">
        <v>0.27</v>
      </c>
      <c r="W414" s="2" t="n">
        <v>0.5</v>
      </c>
      <c r="Z414" s="18"/>
      <c r="AA414" s="20" t="n">
        <v>227002</v>
      </c>
      <c r="AB414" s="20" t="n">
        <v>256381</v>
      </c>
      <c r="AC414" s="19" t="n">
        <f aca="false">(AB414-AA414)/AB414</f>
        <v>0.114591174853051</v>
      </c>
    </row>
    <row r="415" customFormat="false" ht="14.25" hidden="false" customHeight="true" outlineLevel="0" collapsed="false">
      <c r="A415" s="18" t="s">
        <v>411</v>
      </c>
      <c r="B415" s="18" t="s">
        <v>411</v>
      </c>
      <c r="C415" s="18" t="s">
        <v>40</v>
      </c>
      <c r="E415" s="2" t="n">
        <f aca="false">INDEX(FieldSites!F:F, MATCH(Ch2_FieldSurvey!B415,FieldSites!C:C,0))</f>
        <v>1238</v>
      </c>
      <c r="F415" s="2" t="n">
        <f aca="false">INDEX(FieldSites!G:G, MATCH(Ch2_FieldSurvey!B415,FieldSites!C:C,0))</f>
        <v>-119.951305</v>
      </c>
      <c r="G415" s="2" t="n">
        <f aca="false">INDEX(FieldSites!H:H, MATCH(Ch2_FieldSurvey!B415,FieldSites!C:C,0))</f>
        <v>37.85882</v>
      </c>
      <c r="H415" s="18" t="n">
        <v>2</v>
      </c>
      <c r="I415" s="21" t="str">
        <f aca="false">CONCATENATE(B415,"_",C415,H415)</f>
        <v>TWGB_M. guttatus2</v>
      </c>
      <c r="J415" s="22" t="n">
        <v>44683</v>
      </c>
      <c r="K415" s="23"/>
      <c r="L415" s="22" t="n">
        <v>44684</v>
      </c>
      <c r="M415" s="23" t="n">
        <v>0.459027777777778</v>
      </c>
      <c r="O415" s="1" t="s">
        <v>414</v>
      </c>
      <c r="P415" s="16" t="s">
        <v>391</v>
      </c>
      <c r="R415" s="16" t="s">
        <v>392</v>
      </c>
      <c r="S415" s="4" t="s">
        <v>415</v>
      </c>
      <c r="T415" s="24" t="n">
        <v>285</v>
      </c>
      <c r="U415" s="18" t="n">
        <v>2.7</v>
      </c>
      <c r="V415" s="24" t="n">
        <v>0.4</v>
      </c>
      <c r="W415" s="2" t="n">
        <v>0.5</v>
      </c>
      <c r="Z415" s="18"/>
      <c r="AA415" s="20"/>
      <c r="AB415" s="20"/>
      <c r="AC415" s="19" t="e">
        <f aca="false">(AB415-AA415)/AB415</f>
        <v>#DIV/0!</v>
      </c>
    </row>
    <row r="416" customFormat="false" ht="14.25" hidden="false" customHeight="true" outlineLevel="0" collapsed="false">
      <c r="A416" s="18" t="s">
        <v>411</v>
      </c>
      <c r="B416" s="18" t="s">
        <v>411</v>
      </c>
      <c r="C416" s="18" t="s">
        <v>40</v>
      </c>
      <c r="E416" s="2" t="n">
        <f aca="false">INDEX(FieldSites!F:F, MATCH(Ch2_FieldSurvey!B416,FieldSites!C:C,0))</f>
        <v>1238</v>
      </c>
      <c r="F416" s="2" t="n">
        <f aca="false">INDEX(FieldSites!G:G, MATCH(Ch2_FieldSurvey!B416,FieldSites!C:C,0))</f>
        <v>-119.951305</v>
      </c>
      <c r="G416" s="2" t="n">
        <f aca="false">INDEX(FieldSites!H:H, MATCH(Ch2_FieldSurvey!B416,FieldSites!C:C,0))</f>
        <v>37.85882</v>
      </c>
      <c r="H416" s="18" t="n">
        <v>2</v>
      </c>
      <c r="I416" s="21" t="str">
        <f aca="false">CONCATENATE(B416,"_",C416,H416)</f>
        <v>TWGB_M. guttatus2</v>
      </c>
      <c r="J416" s="22" t="n">
        <v>44683</v>
      </c>
      <c r="K416" s="23"/>
      <c r="L416" s="22" t="n">
        <v>44684</v>
      </c>
      <c r="M416" s="23" t="n">
        <v>0.459027777777778</v>
      </c>
      <c r="O416" s="1" t="s">
        <v>414</v>
      </c>
      <c r="P416" s="16" t="s">
        <v>391</v>
      </c>
      <c r="R416" s="16" t="s">
        <v>392</v>
      </c>
      <c r="S416" s="4" t="s">
        <v>415</v>
      </c>
      <c r="T416" s="24" t="n">
        <v>282</v>
      </c>
      <c r="U416" s="18" t="n">
        <v>1.7</v>
      </c>
      <c r="V416" s="24" t="n">
        <v>0.34</v>
      </c>
      <c r="W416" s="2" t="n">
        <v>0.5</v>
      </c>
      <c r="Z416" s="18"/>
      <c r="AA416" s="20"/>
      <c r="AB416" s="20"/>
      <c r="AC416" s="19" t="e">
        <f aca="false">(AB416-AA416)/AB416</f>
        <v>#DIV/0!</v>
      </c>
    </row>
    <row r="417" customFormat="false" ht="14.25" hidden="false" customHeight="true" outlineLevel="0" collapsed="false">
      <c r="A417" s="18" t="s">
        <v>411</v>
      </c>
      <c r="B417" s="18" t="s">
        <v>411</v>
      </c>
      <c r="C417" s="18" t="s">
        <v>40</v>
      </c>
      <c r="E417" s="2" t="n">
        <f aca="false">INDEX(FieldSites!F:F, MATCH(Ch2_FieldSurvey!B417,FieldSites!C:C,0))</f>
        <v>1238</v>
      </c>
      <c r="F417" s="2" t="n">
        <f aca="false">INDEX(FieldSites!G:G, MATCH(Ch2_FieldSurvey!B417,FieldSites!C:C,0))</f>
        <v>-119.951305</v>
      </c>
      <c r="G417" s="2" t="n">
        <f aca="false">INDEX(FieldSites!H:H, MATCH(Ch2_FieldSurvey!B417,FieldSites!C:C,0))</f>
        <v>37.85882</v>
      </c>
      <c r="H417" s="18" t="n">
        <v>3</v>
      </c>
      <c r="I417" s="21" t="str">
        <f aca="false">CONCATENATE(B417,"_",C417,H417)</f>
        <v>TWGB_M. guttatus3</v>
      </c>
      <c r="J417" s="22" t="n">
        <v>44683</v>
      </c>
      <c r="K417" s="23"/>
      <c r="L417" s="22" t="n">
        <v>44684</v>
      </c>
      <c r="M417" s="23" t="n">
        <v>0.461805555555556</v>
      </c>
      <c r="O417" s="1" t="s">
        <v>416</v>
      </c>
      <c r="P417" s="16" t="s">
        <v>391</v>
      </c>
      <c r="R417" s="16" t="s">
        <v>392</v>
      </c>
      <c r="S417" s="4" t="s">
        <v>276</v>
      </c>
      <c r="T417" s="24" t="n">
        <v>255</v>
      </c>
      <c r="U417" s="18" t="n">
        <v>3</v>
      </c>
      <c r="V417" s="24" t="n">
        <v>0.39</v>
      </c>
      <c r="W417" s="2" t="n">
        <v>0.4</v>
      </c>
      <c r="Z417" s="18"/>
      <c r="AA417" s="20" t="n">
        <v>163724</v>
      </c>
      <c r="AB417" s="20" t="n">
        <v>191452</v>
      </c>
      <c r="AC417" s="19" t="n">
        <f aca="false">(AB417-AA417)/AB417</f>
        <v>0.144830035726971</v>
      </c>
    </row>
    <row r="418" customFormat="false" ht="14.25" hidden="false" customHeight="true" outlineLevel="0" collapsed="false">
      <c r="A418" s="18" t="s">
        <v>411</v>
      </c>
      <c r="B418" s="18" t="s">
        <v>411</v>
      </c>
      <c r="C418" s="18" t="s">
        <v>40</v>
      </c>
      <c r="E418" s="2" t="n">
        <f aca="false">INDEX(FieldSites!F:F, MATCH(Ch2_FieldSurvey!B418,FieldSites!C:C,0))</f>
        <v>1238</v>
      </c>
      <c r="F418" s="2" t="n">
        <f aca="false">INDEX(FieldSites!G:G, MATCH(Ch2_FieldSurvey!B418,FieldSites!C:C,0))</f>
        <v>-119.951305</v>
      </c>
      <c r="G418" s="2" t="n">
        <f aca="false">INDEX(FieldSites!H:H, MATCH(Ch2_FieldSurvey!B418,FieldSites!C:C,0))</f>
        <v>37.85882</v>
      </c>
      <c r="H418" s="18" t="n">
        <v>3</v>
      </c>
      <c r="I418" s="21" t="str">
        <f aca="false">CONCATENATE(B418,"_",C418,H418)</f>
        <v>TWGB_M. guttatus3</v>
      </c>
      <c r="J418" s="22" t="n">
        <v>44683</v>
      </c>
      <c r="K418" s="23"/>
      <c r="L418" s="22" t="n">
        <v>44684</v>
      </c>
      <c r="M418" s="23" t="n">
        <v>0.461805555555556</v>
      </c>
      <c r="O418" s="1" t="s">
        <v>416</v>
      </c>
      <c r="P418" s="16" t="s">
        <v>391</v>
      </c>
      <c r="R418" s="16" t="s">
        <v>392</v>
      </c>
      <c r="S418" s="4" t="s">
        <v>276</v>
      </c>
      <c r="T418" s="24" t="n">
        <v>337</v>
      </c>
      <c r="U418" s="18" t="n">
        <v>2.8</v>
      </c>
      <c r="V418" s="24" t="n">
        <v>0.5</v>
      </c>
      <c r="W418" s="2" t="n">
        <v>0.3</v>
      </c>
      <c r="Z418" s="18"/>
      <c r="AA418" s="20"/>
      <c r="AB418" s="20"/>
      <c r="AC418" s="19" t="e">
        <f aca="false">(AB418-AA418)/AB418</f>
        <v>#DIV/0!</v>
      </c>
    </row>
    <row r="419" customFormat="false" ht="14.25" hidden="false" customHeight="true" outlineLevel="0" collapsed="false">
      <c r="A419" s="18" t="s">
        <v>411</v>
      </c>
      <c r="B419" s="18" t="s">
        <v>411</v>
      </c>
      <c r="C419" s="18" t="s">
        <v>40</v>
      </c>
      <c r="E419" s="2" t="n">
        <f aca="false">INDEX(FieldSites!F:F, MATCH(Ch2_FieldSurvey!B419,FieldSites!C:C,0))</f>
        <v>1238</v>
      </c>
      <c r="F419" s="2" t="n">
        <f aca="false">INDEX(FieldSites!G:G, MATCH(Ch2_FieldSurvey!B419,FieldSites!C:C,0))</f>
        <v>-119.951305</v>
      </c>
      <c r="G419" s="2" t="n">
        <f aca="false">INDEX(FieldSites!H:H, MATCH(Ch2_FieldSurvey!B419,FieldSites!C:C,0))</f>
        <v>37.85882</v>
      </c>
      <c r="H419" s="18" t="n">
        <v>3</v>
      </c>
      <c r="I419" s="21" t="str">
        <f aca="false">CONCATENATE(B419,"_",C419,H419)</f>
        <v>TWGB_M. guttatus3</v>
      </c>
      <c r="J419" s="22" t="n">
        <v>44683</v>
      </c>
      <c r="K419" s="23"/>
      <c r="L419" s="22" t="n">
        <v>44684</v>
      </c>
      <c r="M419" s="23" t="n">
        <v>0.461805555555556</v>
      </c>
      <c r="O419" s="1" t="s">
        <v>416</v>
      </c>
      <c r="P419" s="16" t="s">
        <v>391</v>
      </c>
      <c r="R419" s="16" t="s">
        <v>392</v>
      </c>
      <c r="S419" s="4" t="s">
        <v>276</v>
      </c>
      <c r="T419" s="24" t="n">
        <v>365</v>
      </c>
      <c r="U419" s="18" t="n">
        <v>3.3</v>
      </c>
      <c r="V419" s="24" t="n">
        <v>0.46</v>
      </c>
      <c r="W419" s="2" t="n">
        <v>0.5</v>
      </c>
      <c r="Z419" s="18"/>
      <c r="AA419" s="20"/>
      <c r="AB419" s="20"/>
      <c r="AC419" s="19" t="e">
        <f aca="false">(AB419-AA419)/AB419</f>
        <v>#DIV/0!</v>
      </c>
    </row>
    <row r="420" customFormat="false" ht="14.25" hidden="false" customHeight="true" outlineLevel="0" collapsed="false">
      <c r="A420" s="18" t="s">
        <v>411</v>
      </c>
      <c r="B420" s="18" t="s">
        <v>411</v>
      </c>
      <c r="C420" s="18" t="s">
        <v>40</v>
      </c>
      <c r="E420" s="2" t="n">
        <f aca="false">INDEX(FieldSites!F:F, MATCH(Ch2_FieldSurvey!B420,FieldSites!C:C,0))</f>
        <v>1238</v>
      </c>
      <c r="F420" s="2" t="n">
        <f aca="false">INDEX(FieldSites!G:G, MATCH(Ch2_FieldSurvey!B420,FieldSites!C:C,0))</f>
        <v>-119.951305</v>
      </c>
      <c r="G420" s="2" t="n">
        <f aca="false">INDEX(FieldSites!H:H, MATCH(Ch2_FieldSurvey!B420,FieldSites!C:C,0))</f>
        <v>37.85882</v>
      </c>
      <c r="H420" s="18" t="n">
        <v>4</v>
      </c>
      <c r="I420" s="21" t="str">
        <f aca="false">CONCATENATE(B420,"_",C420,H420)</f>
        <v>TWGB_M. guttatus4</v>
      </c>
      <c r="J420" s="22" t="n">
        <v>44683</v>
      </c>
      <c r="K420" s="23"/>
      <c r="L420" s="22" t="n">
        <v>44684</v>
      </c>
      <c r="M420" s="23" t="n">
        <v>0.464583333333333</v>
      </c>
      <c r="O420" s="1" t="s">
        <v>417</v>
      </c>
      <c r="P420" s="16" t="s">
        <v>391</v>
      </c>
      <c r="R420" s="16" t="s">
        <v>392</v>
      </c>
      <c r="S420" s="4" t="s">
        <v>418</v>
      </c>
      <c r="T420" s="24" t="n">
        <v>229</v>
      </c>
      <c r="U420" s="18" t="n">
        <v>2</v>
      </c>
      <c r="V420" s="24" t="n">
        <v>0.45</v>
      </c>
      <c r="W420" s="2" t="n">
        <v>0.2</v>
      </c>
      <c r="Z420" s="18"/>
      <c r="AA420" s="20" t="s">
        <v>419</v>
      </c>
      <c r="AB420" s="20"/>
      <c r="AC420" s="19" t="e">
        <f aca="false">(AB420-AA420)/AB420</f>
        <v>#VALUE!</v>
      </c>
      <c r="AD420" s="2" t="s">
        <v>420</v>
      </c>
    </row>
    <row r="421" customFormat="false" ht="14.25" hidden="false" customHeight="true" outlineLevel="0" collapsed="false">
      <c r="A421" s="18" t="s">
        <v>411</v>
      </c>
      <c r="B421" s="18" t="s">
        <v>411</v>
      </c>
      <c r="C421" s="18" t="s">
        <v>40</v>
      </c>
      <c r="E421" s="2" t="n">
        <f aca="false">INDEX(FieldSites!F:F, MATCH(Ch2_FieldSurvey!B421,FieldSites!C:C,0))</f>
        <v>1238</v>
      </c>
      <c r="F421" s="2" t="n">
        <f aca="false">INDEX(FieldSites!G:G, MATCH(Ch2_FieldSurvey!B421,FieldSites!C:C,0))</f>
        <v>-119.951305</v>
      </c>
      <c r="G421" s="2" t="n">
        <f aca="false">INDEX(FieldSites!H:H, MATCH(Ch2_FieldSurvey!B421,FieldSites!C:C,0))</f>
        <v>37.85882</v>
      </c>
      <c r="H421" s="18" t="n">
        <v>4</v>
      </c>
      <c r="I421" s="21" t="str">
        <f aca="false">CONCATENATE(B421,"_",C421,H421)</f>
        <v>TWGB_M. guttatus4</v>
      </c>
      <c r="J421" s="22" t="n">
        <v>44683</v>
      </c>
      <c r="K421" s="23"/>
      <c r="L421" s="22" t="n">
        <v>44684</v>
      </c>
      <c r="M421" s="23" t="n">
        <v>0.464583333333333</v>
      </c>
      <c r="O421" s="1" t="s">
        <v>417</v>
      </c>
      <c r="P421" s="16" t="s">
        <v>391</v>
      </c>
      <c r="R421" s="16" t="s">
        <v>392</v>
      </c>
      <c r="S421" s="4" t="s">
        <v>418</v>
      </c>
      <c r="T421" s="24" t="n">
        <v>215</v>
      </c>
      <c r="U421" s="18" t="n">
        <v>1.9</v>
      </c>
      <c r="V421" s="24" t="n">
        <v>0.46</v>
      </c>
      <c r="Z421" s="18"/>
      <c r="AA421" s="20"/>
      <c r="AB421" s="20"/>
      <c r="AC421" s="19" t="e">
        <f aca="false">(AB421-AA421)/AB421</f>
        <v>#DIV/0!</v>
      </c>
      <c r="AD421" s="2" t="s">
        <v>420</v>
      </c>
    </row>
    <row r="422" customFormat="false" ht="14.25" hidden="false" customHeight="true" outlineLevel="0" collapsed="false">
      <c r="A422" s="18" t="s">
        <v>411</v>
      </c>
      <c r="B422" s="18" t="s">
        <v>411</v>
      </c>
      <c r="C422" s="18" t="s">
        <v>40</v>
      </c>
      <c r="E422" s="2" t="n">
        <f aca="false">INDEX(FieldSites!F:F, MATCH(Ch2_FieldSurvey!B422,FieldSites!C:C,0))</f>
        <v>1238</v>
      </c>
      <c r="F422" s="2" t="n">
        <f aca="false">INDEX(FieldSites!G:G, MATCH(Ch2_FieldSurvey!B422,FieldSites!C:C,0))</f>
        <v>-119.951305</v>
      </c>
      <c r="G422" s="2" t="n">
        <f aca="false">INDEX(FieldSites!H:H, MATCH(Ch2_FieldSurvey!B422,FieldSites!C:C,0))</f>
        <v>37.85882</v>
      </c>
      <c r="H422" s="18" t="n">
        <v>4</v>
      </c>
      <c r="I422" s="21" t="str">
        <f aca="false">CONCATENATE(B422,"_",C422,H422)</f>
        <v>TWGB_M. guttatus4</v>
      </c>
      <c r="J422" s="22" t="n">
        <v>44683</v>
      </c>
      <c r="K422" s="23"/>
      <c r="L422" s="22" t="n">
        <v>44684</v>
      </c>
      <c r="M422" s="23" t="n">
        <v>0.464583333333333</v>
      </c>
      <c r="O422" s="1" t="s">
        <v>417</v>
      </c>
      <c r="P422" s="16" t="s">
        <v>391</v>
      </c>
      <c r="R422" s="16" t="s">
        <v>392</v>
      </c>
      <c r="S422" s="4" t="s">
        <v>418</v>
      </c>
      <c r="T422" s="24" t="n">
        <v>208</v>
      </c>
      <c r="U422" s="18" t="n">
        <v>2.3</v>
      </c>
      <c r="V422" s="24" t="n">
        <v>0.27</v>
      </c>
      <c r="Z422" s="18"/>
      <c r="AA422" s="20"/>
      <c r="AB422" s="20"/>
      <c r="AC422" s="19" t="e">
        <f aca="false">(AB422-AA422)/AB422</f>
        <v>#DIV/0!</v>
      </c>
      <c r="AD422" s="2" t="s">
        <v>420</v>
      </c>
    </row>
    <row r="423" customFormat="false" ht="14.25" hidden="false" customHeight="true" outlineLevel="0" collapsed="false">
      <c r="A423" s="18" t="s">
        <v>411</v>
      </c>
      <c r="B423" s="18" t="s">
        <v>411</v>
      </c>
      <c r="C423" s="18" t="s">
        <v>40</v>
      </c>
      <c r="E423" s="2" t="n">
        <f aca="false">INDEX(FieldSites!F:F, MATCH(Ch2_FieldSurvey!B423,FieldSites!C:C,0))</f>
        <v>1238</v>
      </c>
      <c r="F423" s="2" t="n">
        <f aca="false">INDEX(FieldSites!G:G, MATCH(Ch2_FieldSurvey!B423,FieldSites!C:C,0))</f>
        <v>-119.951305</v>
      </c>
      <c r="G423" s="2" t="n">
        <f aca="false">INDEX(FieldSites!H:H, MATCH(Ch2_FieldSurvey!B423,FieldSites!C:C,0))</f>
        <v>37.85882</v>
      </c>
      <c r="H423" s="18" t="n">
        <v>5</v>
      </c>
      <c r="I423" s="21" t="str">
        <f aca="false">CONCATENATE(B423,"_",C423,H423)</f>
        <v>TWGB_M. guttatus5</v>
      </c>
      <c r="J423" s="22" t="n">
        <v>44683</v>
      </c>
      <c r="K423" s="23"/>
      <c r="L423" s="22" t="n">
        <v>44684</v>
      </c>
      <c r="M423" s="23" t="n">
        <v>0.46875</v>
      </c>
      <c r="O423" s="1" t="s">
        <v>421</v>
      </c>
      <c r="P423" s="16" t="s">
        <v>391</v>
      </c>
      <c r="R423" s="16" t="s">
        <v>392</v>
      </c>
      <c r="S423" s="4" t="s">
        <v>126</v>
      </c>
      <c r="T423" s="24" t="n">
        <v>250</v>
      </c>
      <c r="U423" s="18" t="n">
        <v>2.6</v>
      </c>
      <c r="V423" s="24" t="n">
        <v>0.3</v>
      </c>
      <c r="W423" s="2" t="n">
        <v>0.2</v>
      </c>
      <c r="Z423" s="18"/>
      <c r="AA423" s="20" t="n">
        <v>178368</v>
      </c>
      <c r="AB423" s="20" t="n">
        <v>206204</v>
      </c>
      <c r="AC423" s="19" t="n">
        <f aca="false">(AB423-AA423)/AB423</f>
        <v>0.134992531667669</v>
      </c>
    </row>
    <row r="424" customFormat="false" ht="14.25" hidden="false" customHeight="true" outlineLevel="0" collapsed="false">
      <c r="A424" s="18" t="s">
        <v>411</v>
      </c>
      <c r="B424" s="18" t="s">
        <v>411</v>
      </c>
      <c r="C424" s="18" t="s">
        <v>40</v>
      </c>
      <c r="E424" s="2" t="n">
        <f aca="false">INDEX(FieldSites!F:F, MATCH(Ch2_FieldSurvey!B424,FieldSites!C:C,0))</f>
        <v>1238</v>
      </c>
      <c r="F424" s="2" t="n">
        <f aca="false">INDEX(FieldSites!G:G, MATCH(Ch2_FieldSurvey!B424,FieldSites!C:C,0))</f>
        <v>-119.951305</v>
      </c>
      <c r="G424" s="2" t="n">
        <f aca="false">INDEX(FieldSites!H:H, MATCH(Ch2_FieldSurvey!B424,FieldSites!C:C,0))</f>
        <v>37.85882</v>
      </c>
      <c r="H424" s="18" t="n">
        <v>5</v>
      </c>
      <c r="I424" s="21" t="str">
        <f aca="false">CONCATENATE(B424,"_",C424,H424)</f>
        <v>TWGB_M. guttatus5</v>
      </c>
      <c r="J424" s="22" t="n">
        <v>44683</v>
      </c>
      <c r="K424" s="23"/>
      <c r="L424" s="22" t="n">
        <v>44684</v>
      </c>
      <c r="M424" s="23" t="n">
        <v>0.46875</v>
      </c>
      <c r="O424" s="1" t="s">
        <v>421</v>
      </c>
      <c r="P424" s="16" t="s">
        <v>391</v>
      </c>
      <c r="R424" s="16" t="s">
        <v>392</v>
      </c>
      <c r="S424" s="4" t="s">
        <v>126</v>
      </c>
      <c r="T424" s="24" t="n">
        <v>240</v>
      </c>
      <c r="U424" s="18" t="n">
        <v>2.5</v>
      </c>
      <c r="V424" s="24" t="n">
        <v>0.3</v>
      </c>
      <c r="W424" s="2" t="n">
        <v>0.2</v>
      </c>
      <c r="Z424" s="18"/>
      <c r="AA424" s="20"/>
      <c r="AB424" s="20"/>
      <c r="AC424" s="19" t="e">
        <f aca="false">(AB424-AA424)/AB424</f>
        <v>#DIV/0!</v>
      </c>
    </row>
    <row r="425" customFormat="false" ht="14.25" hidden="false" customHeight="true" outlineLevel="0" collapsed="false">
      <c r="A425" s="18" t="s">
        <v>411</v>
      </c>
      <c r="B425" s="18" t="s">
        <v>411</v>
      </c>
      <c r="C425" s="18" t="s">
        <v>40</v>
      </c>
      <c r="E425" s="2" t="n">
        <f aca="false">INDEX(FieldSites!F:F, MATCH(Ch2_FieldSurvey!B425,FieldSites!C:C,0))</f>
        <v>1238</v>
      </c>
      <c r="F425" s="2" t="n">
        <f aca="false">INDEX(FieldSites!G:G, MATCH(Ch2_FieldSurvey!B425,FieldSites!C:C,0))</f>
        <v>-119.951305</v>
      </c>
      <c r="G425" s="2" t="n">
        <f aca="false">INDEX(FieldSites!H:H, MATCH(Ch2_FieldSurvey!B425,FieldSites!C:C,0))</f>
        <v>37.85882</v>
      </c>
      <c r="H425" s="18" t="n">
        <v>5</v>
      </c>
      <c r="I425" s="21" t="str">
        <f aca="false">CONCATENATE(B425,"_",C425,H425)</f>
        <v>TWGB_M. guttatus5</v>
      </c>
      <c r="J425" s="22" t="n">
        <v>44683</v>
      </c>
      <c r="K425" s="23"/>
      <c r="L425" s="22" t="n">
        <v>44684</v>
      </c>
      <c r="M425" s="23" t="n">
        <v>0.46875</v>
      </c>
      <c r="O425" s="1" t="s">
        <v>421</v>
      </c>
      <c r="P425" s="16" t="s">
        <v>391</v>
      </c>
      <c r="R425" s="16" t="s">
        <v>392</v>
      </c>
      <c r="S425" s="4" t="s">
        <v>126</v>
      </c>
      <c r="T425" s="24" t="n">
        <v>210</v>
      </c>
      <c r="U425" s="18" t="n">
        <v>2.1</v>
      </c>
      <c r="V425" s="24" t="n">
        <v>0.4</v>
      </c>
      <c r="W425" s="2" t="n">
        <v>0.2</v>
      </c>
      <c r="Z425" s="18"/>
      <c r="AA425" s="20"/>
      <c r="AB425" s="20"/>
      <c r="AC425" s="19" t="e">
        <f aca="false">(AB425-AA425)/AB425</f>
        <v>#DIV/0!</v>
      </c>
    </row>
    <row r="426" customFormat="false" ht="14.25" hidden="false" customHeight="true" outlineLevel="0" collapsed="false">
      <c r="A426" s="18" t="s">
        <v>411</v>
      </c>
      <c r="B426" s="18" t="s">
        <v>411</v>
      </c>
      <c r="C426" s="18" t="s">
        <v>40</v>
      </c>
      <c r="E426" s="2" t="n">
        <f aca="false">INDEX(FieldSites!F:F, MATCH(Ch2_FieldSurvey!B426,FieldSites!C:C,0))</f>
        <v>1238</v>
      </c>
      <c r="F426" s="2" t="n">
        <f aca="false">INDEX(FieldSites!G:G, MATCH(Ch2_FieldSurvey!B426,FieldSites!C:C,0))</f>
        <v>-119.951305</v>
      </c>
      <c r="G426" s="2" t="n">
        <f aca="false">INDEX(FieldSites!H:H, MATCH(Ch2_FieldSurvey!B426,FieldSites!C:C,0))</f>
        <v>37.85882</v>
      </c>
      <c r="H426" s="18" t="n">
        <v>6</v>
      </c>
      <c r="I426" s="21" t="str">
        <f aca="false">CONCATENATE(B426,"_",C426,H426)</f>
        <v>TWGB_M. guttatus6</v>
      </c>
      <c r="J426" s="22" t="n">
        <v>44683</v>
      </c>
      <c r="K426" s="23"/>
      <c r="L426" s="22" t="n">
        <v>44684</v>
      </c>
      <c r="M426" s="23" t="n">
        <v>0.472222222222222</v>
      </c>
      <c r="O426" s="1" t="s">
        <v>422</v>
      </c>
      <c r="P426" s="16" t="s">
        <v>391</v>
      </c>
      <c r="R426" s="16" t="s">
        <v>392</v>
      </c>
      <c r="S426" s="4" t="s">
        <v>140</v>
      </c>
      <c r="T426" s="24" t="n">
        <v>238</v>
      </c>
      <c r="U426" s="18" t="n">
        <v>4.5</v>
      </c>
      <c r="V426" s="24" t="n">
        <v>0.29</v>
      </c>
      <c r="W426" s="2" t="n">
        <v>0.2</v>
      </c>
      <c r="Z426" s="18"/>
      <c r="AA426" s="20" t="n">
        <v>299033</v>
      </c>
      <c r="AB426" s="20" t="n">
        <v>349516</v>
      </c>
      <c r="AC426" s="19" t="n">
        <f aca="false">(AB426-AA426)/AB426</f>
        <v>0.144436878426166</v>
      </c>
    </row>
    <row r="427" customFormat="false" ht="14.25" hidden="false" customHeight="true" outlineLevel="0" collapsed="false">
      <c r="A427" s="18" t="s">
        <v>411</v>
      </c>
      <c r="B427" s="18" t="s">
        <v>411</v>
      </c>
      <c r="C427" s="18" t="s">
        <v>40</v>
      </c>
      <c r="E427" s="2" t="n">
        <f aca="false">INDEX(FieldSites!F:F, MATCH(Ch2_FieldSurvey!B427,FieldSites!C:C,0))</f>
        <v>1238</v>
      </c>
      <c r="F427" s="2" t="n">
        <f aca="false">INDEX(FieldSites!G:G, MATCH(Ch2_FieldSurvey!B427,FieldSites!C:C,0))</f>
        <v>-119.951305</v>
      </c>
      <c r="G427" s="2" t="n">
        <f aca="false">INDEX(FieldSites!H:H, MATCH(Ch2_FieldSurvey!B427,FieldSites!C:C,0))</f>
        <v>37.85882</v>
      </c>
      <c r="H427" s="18" t="n">
        <v>6</v>
      </c>
      <c r="I427" s="21" t="str">
        <f aca="false">CONCATENATE(B427,"_",C427,H427)</f>
        <v>TWGB_M. guttatus6</v>
      </c>
      <c r="J427" s="22" t="n">
        <v>44683</v>
      </c>
      <c r="K427" s="23"/>
      <c r="L427" s="22" t="n">
        <v>44684</v>
      </c>
      <c r="M427" s="23" t="n">
        <v>0.472222222222222</v>
      </c>
      <c r="O427" s="1" t="s">
        <v>422</v>
      </c>
      <c r="P427" s="16" t="s">
        <v>391</v>
      </c>
      <c r="R427" s="16" t="s">
        <v>392</v>
      </c>
      <c r="S427" s="4" t="s">
        <v>140</v>
      </c>
      <c r="T427" s="24" t="n">
        <v>244</v>
      </c>
      <c r="U427" s="18" t="n">
        <v>4.4</v>
      </c>
      <c r="V427" s="24" t="n">
        <v>0.27</v>
      </c>
      <c r="W427" s="2" t="n">
        <v>0.2</v>
      </c>
      <c r="Z427" s="18"/>
      <c r="AA427" s="20"/>
      <c r="AB427" s="20"/>
      <c r="AC427" s="19" t="e">
        <f aca="false">(AB427-AA427)/AB427</f>
        <v>#DIV/0!</v>
      </c>
    </row>
    <row r="428" customFormat="false" ht="14.25" hidden="false" customHeight="true" outlineLevel="0" collapsed="false">
      <c r="A428" s="18" t="s">
        <v>411</v>
      </c>
      <c r="B428" s="18" t="s">
        <v>411</v>
      </c>
      <c r="C428" s="18" t="s">
        <v>40</v>
      </c>
      <c r="E428" s="2" t="n">
        <f aca="false">INDEX(FieldSites!F:F, MATCH(Ch2_FieldSurvey!B428,FieldSites!C:C,0))</f>
        <v>1238</v>
      </c>
      <c r="F428" s="2" t="n">
        <f aca="false">INDEX(FieldSites!G:G, MATCH(Ch2_FieldSurvey!B428,FieldSites!C:C,0))</f>
        <v>-119.951305</v>
      </c>
      <c r="G428" s="2" t="n">
        <f aca="false">INDEX(FieldSites!H:H, MATCH(Ch2_FieldSurvey!B428,FieldSites!C:C,0))</f>
        <v>37.85882</v>
      </c>
      <c r="H428" s="18" t="n">
        <v>6</v>
      </c>
      <c r="I428" s="21" t="str">
        <f aca="false">CONCATENATE(B428,"_",C428,H428)</f>
        <v>TWGB_M. guttatus6</v>
      </c>
      <c r="J428" s="22" t="n">
        <v>44683</v>
      </c>
      <c r="K428" s="23"/>
      <c r="L428" s="22" t="n">
        <v>44684</v>
      </c>
      <c r="M428" s="23" t="n">
        <v>0.472222222222222</v>
      </c>
      <c r="O428" s="1" t="s">
        <v>422</v>
      </c>
      <c r="P428" s="16" t="s">
        <v>391</v>
      </c>
      <c r="R428" s="16" t="s">
        <v>392</v>
      </c>
      <c r="S428" s="4" t="s">
        <v>140</v>
      </c>
      <c r="T428" s="24" t="n">
        <v>226</v>
      </c>
      <c r="U428" s="18" t="n">
        <v>4</v>
      </c>
      <c r="V428" s="24" t="n">
        <v>0.25</v>
      </c>
      <c r="W428" s="2" t="n">
        <v>0.2</v>
      </c>
      <c r="Z428" s="18"/>
      <c r="AA428" s="20"/>
      <c r="AB428" s="20"/>
      <c r="AC428" s="19" t="e">
        <f aca="false">(AB428-AA428)/AB428</f>
        <v>#DIV/0!</v>
      </c>
    </row>
    <row r="429" customFormat="false" ht="14.25" hidden="false" customHeight="true" outlineLevel="0" collapsed="false">
      <c r="A429" s="18" t="s">
        <v>411</v>
      </c>
      <c r="B429" s="18" t="s">
        <v>411</v>
      </c>
      <c r="C429" s="18" t="s">
        <v>40</v>
      </c>
      <c r="E429" s="2" t="n">
        <f aca="false">INDEX(FieldSites!F:F, MATCH(Ch2_FieldSurvey!B429,FieldSites!C:C,0))</f>
        <v>1238</v>
      </c>
      <c r="F429" s="2" t="n">
        <f aca="false">INDEX(FieldSites!G:G, MATCH(Ch2_FieldSurvey!B429,FieldSites!C:C,0))</f>
        <v>-119.951305</v>
      </c>
      <c r="G429" s="2" t="n">
        <f aca="false">INDEX(FieldSites!H:H, MATCH(Ch2_FieldSurvey!B429,FieldSites!C:C,0))</f>
        <v>37.85882</v>
      </c>
      <c r="H429" s="18" t="n">
        <v>7</v>
      </c>
      <c r="I429" s="21" t="str">
        <f aca="false">CONCATENATE(B429,"_",C429,H429)</f>
        <v>TWGB_M. guttatus7</v>
      </c>
      <c r="J429" s="22" t="n">
        <v>44683</v>
      </c>
      <c r="K429" s="23"/>
      <c r="L429" s="22" t="n">
        <v>44684</v>
      </c>
      <c r="M429" s="23" t="n">
        <v>0.475</v>
      </c>
      <c r="O429" s="1" t="s">
        <v>423</v>
      </c>
      <c r="P429" s="16" t="s">
        <v>391</v>
      </c>
      <c r="R429" s="16" t="s">
        <v>392</v>
      </c>
      <c r="S429" s="4" t="s">
        <v>424</v>
      </c>
      <c r="T429" s="24" t="n">
        <v>175</v>
      </c>
      <c r="U429" s="18" t="n">
        <v>2.5</v>
      </c>
      <c r="V429" s="24" t="n">
        <v>0.28</v>
      </c>
      <c r="W429" s="2" t="n">
        <v>0.2</v>
      </c>
      <c r="Z429" s="18"/>
      <c r="AA429" s="20" t="n">
        <v>194576</v>
      </c>
      <c r="AB429" s="20" t="n">
        <v>221662</v>
      </c>
      <c r="AC429" s="19" t="n">
        <f aca="false">(AB429-AA429)/AB429</f>
        <v>0.122195053730454</v>
      </c>
    </row>
    <row r="430" customFormat="false" ht="14.25" hidden="false" customHeight="true" outlineLevel="0" collapsed="false">
      <c r="A430" s="18" t="s">
        <v>411</v>
      </c>
      <c r="B430" s="18" t="s">
        <v>411</v>
      </c>
      <c r="C430" s="18" t="s">
        <v>40</v>
      </c>
      <c r="E430" s="2" t="n">
        <f aca="false">INDEX(FieldSites!F:F, MATCH(Ch2_FieldSurvey!B430,FieldSites!C:C,0))</f>
        <v>1238</v>
      </c>
      <c r="F430" s="2" t="n">
        <f aca="false">INDEX(FieldSites!G:G, MATCH(Ch2_FieldSurvey!B430,FieldSites!C:C,0))</f>
        <v>-119.951305</v>
      </c>
      <c r="G430" s="2" t="n">
        <f aca="false">INDEX(FieldSites!H:H, MATCH(Ch2_FieldSurvey!B430,FieldSites!C:C,0))</f>
        <v>37.85882</v>
      </c>
      <c r="H430" s="18" t="n">
        <v>7</v>
      </c>
      <c r="I430" s="21" t="str">
        <f aca="false">CONCATENATE(B430,"_",C430,H430)</f>
        <v>TWGB_M. guttatus7</v>
      </c>
      <c r="J430" s="22" t="n">
        <v>44683</v>
      </c>
      <c r="K430" s="23"/>
      <c r="L430" s="22" t="n">
        <v>44684</v>
      </c>
      <c r="M430" s="23" t="n">
        <v>0.475</v>
      </c>
      <c r="O430" s="1" t="s">
        <v>423</v>
      </c>
      <c r="P430" s="16" t="s">
        <v>391</v>
      </c>
      <c r="R430" s="16" t="s">
        <v>392</v>
      </c>
      <c r="S430" s="4" t="s">
        <v>424</v>
      </c>
      <c r="T430" s="24" t="n">
        <v>185</v>
      </c>
      <c r="U430" s="18" t="n">
        <v>2.6</v>
      </c>
      <c r="V430" s="24" t="n">
        <v>0.33</v>
      </c>
      <c r="W430" s="2" t="n">
        <v>0.2</v>
      </c>
      <c r="Z430" s="18"/>
      <c r="AA430" s="20"/>
      <c r="AB430" s="20"/>
      <c r="AC430" s="19" t="e">
        <f aca="false">(AB430-AA430)/AB430</f>
        <v>#DIV/0!</v>
      </c>
    </row>
    <row r="431" customFormat="false" ht="14.25" hidden="false" customHeight="true" outlineLevel="0" collapsed="false">
      <c r="A431" s="18" t="s">
        <v>411</v>
      </c>
      <c r="B431" s="18" t="s">
        <v>411</v>
      </c>
      <c r="C431" s="18" t="s">
        <v>40</v>
      </c>
      <c r="E431" s="2" t="n">
        <f aca="false">INDEX(FieldSites!F:F, MATCH(Ch2_FieldSurvey!B431,FieldSites!C:C,0))</f>
        <v>1238</v>
      </c>
      <c r="F431" s="2" t="n">
        <f aca="false">INDEX(FieldSites!G:G, MATCH(Ch2_FieldSurvey!B431,FieldSites!C:C,0))</f>
        <v>-119.951305</v>
      </c>
      <c r="G431" s="2" t="n">
        <f aca="false">INDEX(FieldSites!H:H, MATCH(Ch2_FieldSurvey!B431,FieldSites!C:C,0))</f>
        <v>37.85882</v>
      </c>
      <c r="H431" s="18" t="n">
        <v>7</v>
      </c>
      <c r="I431" s="21" t="str">
        <f aca="false">CONCATENATE(B431,"_",C431,H431)</f>
        <v>TWGB_M. guttatus7</v>
      </c>
      <c r="J431" s="22" t="n">
        <v>44683</v>
      </c>
      <c r="K431" s="23"/>
      <c r="L431" s="22" t="n">
        <v>44684</v>
      </c>
      <c r="M431" s="23" t="n">
        <v>0.475</v>
      </c>
      <c r="O431" s="1" t="s">
        <v>423</v>
      </c>
      <c r="P431" s="16" t="s">
        <v>391</v>
      </c>
      <c r="R431" s="16" t="s">
        <v>392</v>
      </c>
      <c r="S431" s="4" t="s">
        <v>424</v>
      </c>
      <c r="T431" s="24" t="n">
        <v>205</v>
      </c>
      <c r="U431" s="18" t="n">
        <v>2</v>
      </c>
      <c r="V431" s="24" t="n">
        <v>0.25</v>
      </c>
      <c r="W431" s="2" t="n">
        <v>0.4</v>
      </c>
      <c r="Z431" s="18"/>
      <c r="AA431" s="20"/>
      <c r="AB431" s="20"/>
      <c r="AC431" s="19" t="e">
        <f aca="false">(AB431-AA431)/AB431</f>
        <v>#DIV/0!</v>
      </c>
    </row>
    <row r="432" customFormat="false" ht="14.25" hidden="false" customHeight="true" outlineLevel="0" collapsed="false">
      <c r="A432" s="18" t="s">
        <v>411</v>
      </c>
      <c r="B432" s="18" t="s">
        <v>411</v>
      </c>
      <c r="C432" s="18" t="s">
        <v>40</v>
      </c>
      <c r="E432" s="2" t="n">
        <f aca="false">INDEX(FieldSites!F:F, MATCH(Ch2_FieldSurvey!B432,FieldSites!C:C,0))</f>
        <v>1238</v>
      </c>
      <c r="F432" s="2" t="n">
        <f aca="false">INDEX(FieldSites!G:G, MATCH(Ch2_FieldSurvey!B432,FieldSites!C:C,0))</f>
        <v>-119.951305</v>
      </c>
      <c r="G432" s="2" t="n">
        <f aca="false">INDEX(FieldSites!H:H, MATCH(Ch2_FieldSurvey!B432,FieldSites!C:C,0))</f>
        <v>37.85882</v>
      </c>
      <c r="H432" s="18" t="n">
        <v>8</v>
      </c>
      <c r="I432" s="21" t="str">
        <f aca="false">CONCATENATE(B432,"_",C432,H432)</f>
        <v>TWGB_M. guttatus8</v>
      </c>
      <c r="J432" s="22" t="n">
        <v>44683</v>
      </c>
      <c r="K432" s="23"/>
      <c r="L432" s="22" t="n">
        <v>44684</v>
      </c>
      <c r="M432" s="23" t="n">
        <v>0.477777777777778</v>
      </c>
      <c r="O432" s="1" t="s">
        <v>425</v>
      </c>
      <c r="P432" s="16" t="s">
        <v>391</v>
      </c>
      <c r="R432" s="16" t="s">
        <v>392</v>
      </c>
      <c r="S432" s="4" t="s">
        <v>426</v>
      </c>
      <c r="T432" s="24" t="n">
        <v>239</v>
      </c>
      <c r="U432" s="18" t="n">
        <v>3.3</v>
      </c>
      <c r="V432" s="24" t="n">
        <v>0.29</v>
      </c>
      <c r="W432" s="2" t="n">
        <v>0.2</v>
      </c>
      <c r="Z432" s="18"/>
      <c r="AA432" s="20" t="n">
        <v>276473</v>
      </c>
      <c r="AB432" s="20" t="n">
        <v>314532</v>
      </c>
      <c r="AC432" s="19" t="n">
        <f aca="false">(AB432-AA432)/AB432</f>
        <v>0.121001996617196</v>
      </c>
    </row>
    <row r="433" customFormat="false" ht="14.25" hidden="false" customHeight="true" outlineLevel="0" collapsed="false">
      <c r="A433" s="18" t="s">
        <v>411</v>
      </c>
      <c r="B433" s="18" t="s">
        <v>411</v>
      </c>
      <c r="C433" s="18" t="s">
        <v>40</v>
      </c>
      <c r="E433" s="2" t="n">
        <f aca="false">INDEX(FieldSites!F:F, MATCH(Ch2_FieldSurvey!B433,FieldSites!C:C,0))</f>
        <v>1238</v>
      </c>
      <c r="F433" s="2" t="n">
        <f aca="false">INDEX(FieldSites!G:G, MATCH(Ch2_FieldSurvey!B433,FieldSites!C:C,0))</f>
        <v>-119.951305</v>
      </c>
      <c r="G433" s="2" t="n">
        <f aca="false">INDEX(FieldSites!H:H, MATCH(Ch2_FieldSurvey!B433,FieldSites!C:C,0))</f>
        <v>37.85882</v>
      </c>
      <c r="H433" s="18" t="n">
        <v>8</v>
      </c>
      <c r="I433" s="21" t="str">
        <f aca="false">CONCATENATE(B433,"_",C433,H433)</f>
        <v>TWGB_M. guttatus8</v>
      </c>
      <c r="J433" s="22" t="n">
        <v>44683</v>
      </c>
      <c r="K433" s="23"/>
      <c r="L433" s="22" t="n">
        <v>44684</v>
      </c>
      <c r="M433" s="23" t="n">
        <v>0.477777777777778</v>
      </c>
      <c r="O433" s="1" t="s">
        <v>425</v>
      </c>
      <c r="P433" s="16" t="s">
        <v>391</v>
      </c>
      <c r="R433" s="16" t="s">
        <v>392</v>
      </c>
      <c r="S433" s="4" t="s">
        <v>426</v>
      </c>
      <c r="T433" s="24" t="n">
        <v>205</v>
      </c>
      <c r="U433" s="18" t="n">
        <v>2.9</v>
      </c>
      <c r="V433" s="24" t="n">
        <v>0.3</v>
      </c>
      <c r="W433" s="2" t="n">
        <v>0.4</v>
      </c>
      <c r="Z433" s="18"/>
      <c r="AA433" s="20"/>
      <c r="AB433" s="20"/>
      <c r="AC433" s="19" t="e">
        <f aca="false">(AB433-AA433)/AB433</f>
        <v>#DIV/0!</v>
      </c>
    </row>
    <row r="434" customFormat="false" ht="14.25" hidden="false" customHeight="true" outlineLevel="0" collapsed="false">
      <c r="A434" s="18" t="s">
        <v>411</v>
      </c>
      <c r="B434" s="18" t="s">
        <v>411</v>
      </c>
      <c r="C434" s="18" t="s">
        <v>40</v>
      </c>
      <c r="E434" s="2" t="n">
        <f aca="false">INDEX(FieldSites!F:F, MATCH(Ch2_FieldSurvey!B434,FieldSites!C:C,0))</f>
        <v>1238</v>
      </c>
      <c r="F434" s="2" t="n">
        <f aca="false">INDEX(FieldSites!G:G, MATCH(Ch2_FieldSurvey!B434,FieldSites!C:C,0))</f>
        <v>-119.951305</v>
      </c>
      <c r="G434" s="2" t="n">
        <f aca="false">INDEX(FieldSites!H:H, MATCH(Ch2_FieldSurvey!B434,FieldSites!C:C,0))</f>
        <v>37.85882</v>
      </c>
      <c r="H434" s="18" t="n">
        <v>8</v>
      </c>
      <c r="I434" s="21" t="str">
        <f aca="false">CONCATENATE(B434,"_",C434,H434)</f>
        <v>TWGB_M. guttatus8</v>
      </c>
      <c r="J434" s="22" t="n">
        <v>44683</v>
      </c>
      <c r="K434" s="23"/>
      <c r="L434" s="22" t="n">
        <v>44684</v>
      </c>
      <c r="M434" s="23" t="n">
        <v>0.477777777777778</v>
      </c>
      <c r="O434" s="1" t="s">
        <v>425</v>
      </c>
      <c r="P434" s="16" t="s">
        <v>391</v>
      </c>
      <c r="R434" s="16" t="s">
        <v>392</v>
      </c>
      <c r="S434" s="4" t="s">
        <v>426</v>
      </c>
      <c r="T434" s="24" t="n">
        <v>215</v>
      </c>
      <c r="U434" s="18" t="n">
        <v>3.4</v>
      </c>
      <c r="V434" s="24" t="n">
        <v>0.35</v>
      </c>
      <c r="W434" s="2" t="n">
        <v>0.2</v>
      </c>
      <c r="Z434" s="18"/>
      <c r="AA434" s="20"/>
      <c r="AB434" s="20"/>
      <c r="AC434" s="19" t="e">
        <f aca="false">(AB434-AA434)/AB434</f>
        <v>#DIV/0!</v>
      </c>
    </row>
    <row r="435" customFormat="false" ht="14.25" hidden="false" customHeight="true" outlineLevel="0" collapsed="false">
      <c r="A435" s="18" t="s">
        <v>411</v>
      </c>
      <c r="B435" s="18" t="s">
        <v>411</v>
      </c>
      <c r="C435" s="18" t="s">
        <v>40</v>
      </c>
      <c r="E435" s="2" t="n">
        <f aca="false">INDEX(FieldSites!F:F, MATCH(Ch2_FieldSurvey!B435,FieldSites!C:C,0))</f>
        <v>1238</v>
      </c>
      <c r="F435" s="2" t="n">
        <f aca="false">INDEX(FieldSites!G:G, MATCH(Ch2_FieldSurvey!B435,FieldSites!C:C,0))</f>
        <v>-119.951305</v>
      </c>
      <c r="G435" s="2" t="n">
        <f aca="false">INDEX(FieldSites!H:H, MATCH(Ch2_FieldSurvey!B435,FieldSites!C:C,0))</f>
        <v>37.85882</v>
      </c>
      <c r="H435" s="18" t="n">
        <v>9</v>
      </c>
      <c r="I435" s="21" t="str">
        <f aca="false">CONCATENATE(B435,"_",C435,H435)</f>
        <v>TWGB_M. guttatus9</v>
      </c>
      <c r="J435" s="22" t="n">
        <v>44683</v>
      </c>
      <c r="K435" s="23"/>
      <c r="L435" s="22" t="n">
        <v>44684</v>
      </c>
      <c r="M435" s="23" t="n">
        <v>0.480555555555556</v>
      </c>
      <c r="O435" s="1" t="s">
        <v>427</v>
      </c>
      <c r="P435" s="16" t="s">
        <v>391</v>
      </c>
      <c r="R435" s="16" t="s">
        <v>392</v>
      </c>
      <c r="S435" s="4" t="s">
        <v>428</v>
      </c>
      <c r="T435" s="24" t="n">
        <v>222</v>
      </c>
      <c r="U435" s="18" t="n">
        <v>3.1</v>
      </c>
      <c r="V435" s="24" t="n">
        <v>0.21</v>
      </c>
      <c r="W435" s="2" t="n">
        <v>0.2</v>
      </c>
      <c r="Z435" s="18"/>
      <c r="AA435" s="20" t="n">
        <v>661641</v>
      </c>
      <c r="AB435" s="20" t="n">
        <v>775374</v>
      </c>
      <c r="AC435" s="19" t="n">
        <f aca="false">(AB435-AA435)/AB435</f>
        <v>0.14668147242492</v>
      </c>
    </row>
    <row r="436" customFormat="false" ht="14.25" hidden="false" customHeight="true" outlineLevel="0" collapsed="false">
      <c r="A436" s="18" t="s">
        <v>411</v>
      </c>
      <c r="B436" s="18" t="s">
        <v>411</v>
      </c>
      <c r="C436" s="18" t="s">
        <v>40</v>
      </c>
      <c r="E436" s="2" t="n">
        <f aca="false">INDEX(FieldSites!F:F, MATCH(Ch2_FieldSurvey!B436,FieldSites!C:C,0))</f>
        <v>1238</v>
      </c>
      <c r="F436" s="2" t="n">
        <f aca="false">INDEX(FieldSites!G:G, MATCH(Ch2_FieldSurvey!B436,FieldSites!C:C,0))</f>
        <v>-119.951305</v>
      </c>
      <c r="G436" s="2" t="n">
        <f aca="false">INDEX(FieldSites!H:H, MATCH(Ch2_FieldSurvey!B436,FieldSites!C:C,0))</f>
        <v>37.85882</v>
      </c>
      <c r="H436" s="18" t="n">
        <v>9</v>
      </c>
      <c r="I436" s="21" t="str">
        <f aca="false">CONCATENATE(B436,"_",C436,H436)</f>
        <v>TWGB_M. guttatus9</v>
      </c>
      <c r="J436" s="22" t="n">
        <v>44683</v>
      </c>
      <c r="K436" s="23"/>
      <c r="L436" s="22" t="n">
        <v>44684</v>
      </c>
      <c r="M436" s="23" t="n">
        <v>0.480555555555556</v>
      </c>
      <c r="O436" s="1" t="s">
        <v>427</v>
      </c>
      <c r="P436" s="16" t="s">
        <v>391</v>
      </c>
      <c r="R436" s="16" t="s">
        <v>392</v>
      </c>
      <c r="S436" s="4" t="s">
        <v>428</v>
      </c>
      <c r="T436" s="24" t="n">
        <v>315</v>
      </c>
      <c r="U436" s="18" t="n">
        <v>3.6</v>
      </c>
      <c r="V436" s="24" t="n">
        <v>0.28</v>
      </c>
      <c r="W436" s="2" t="n">
        <v>0.1</v>
      </c>
      <c r="Z436" s="18"/>
      <c r="AA436" s="20"/>
      <c r="AB436" s="20"/>
      <c r="AC436" s="19" t="e">
        <f aca="false">(AB436-AA436)/AB436</f>
        <v>#DIV/0!</v>
      </c>
    </row>
    <row r="437" customFormat="false" ht="14.25" hidden="false" customHeight="true" outlineLevel="0" collapsed="false">
      <c r="A437" s="18" t="s">
        <v>411</v>
      </c>
      <c r="B437" s="18" t="s">
        <v>411</v>
      </c>
      <c r="C437" s="18" t="s">
        <v>40</v>
      </c>
      <c r="E437" s="2" t="n">
        <f aca="false">INDEX(FieldSites!F:F, MATCH(Ch2_FieldSurvey!B437,FieldSites!C:C,0))</f>
        <v>1238</v>
      </c>
      <c r="F437" s="2" t="n">
        <f aca="false">INDEX(FieldSites!G:G, MATCH(Ch2_FieldSurvey!B437,FieldSites!C:C,0))</f>
        <v>-119.951305</v>
      </c>
      <c r="G437" s="2" t="n">
        <f aca="false">INDEX(FieldSites!H:H, MATCH(Ch2_FieldSurvey!B437,FieldSites!C:C,0))</f>
        <v>37.85882</v>
      </c>
      <c r="H437" s="18" t="n">
        <v>9</v>
      </c>
      <c r="I437" s="21" t="str">
        <f aca="false">CONCATENATE(B437,"_",C437,H437)</f>
        <v>TWGB_M. guttatus9</v>
      </c>
      <c r="J437" s="22" t="n">
        <v>44683</v>
      </c>
      <c r="K437" s="23"/>
      <c r="L437" s="22" t="n">
        <v>44684</v>
      </c>
      <c r="M437" s="23" t="n">
        <v>0.480555555555556</v>
      </c>
      <c r="O437" s="1" t="s">
        <v>427</v>
      </c>
      <c r="P437" s="16" t="s">
        <v>391</v>
      </c>
      <c r="R437" s="16" t="s">
        <v>392</v>
      </c>
      <c r="S437" s="4" t="s">
        <v>428</v>
      </c>
      <c r="T437" s="24" t="n">
        <v>299</v>
      </c>
      <c r="U437" s="18" t="n">
        <v>3.4</v>
      </c>
      <c r="V437" s="24" t="n">
        <v>0.24</v>
      </c>
      <c r="W437" s="2" t="n">
        <v>0.2</v>
      </c>
      <c r="Z437" s="18"/>
      <c r="AA437" s="20"/>
      <c r="AB437" s="20"/>
      <c r="AC437" s="19" t="e">
        <f aca="false">(AB437-AA437)/AB437</f>
        <v>#DIV/0!</v>
      </c>
    </row>
    <row r="438" customFormat="false" ht="14.25" hidden="false" customHeight="true" outlineLevel="0" collapsed="false">
      <c r="A438" s="18" t="s">
        <v>429</v>
      </c>
      <c r="B438" s="18" t="s">
        <v>429</v>
      </c>
      <c r="C438" s="18" t="s">
        <v>159</v>
      </c>
      <c r="E438" s="2" t="n">
        <f aca="false">INDEX(FieldSites!F:F, MATCH(Ch2_FieldSurvey!B438,FieldSites!C:C,0))</f>
        <v>666</v>
      </c>
      <c r="F438" s="2" t="n">
        <f aca="false">INDEX(FieldSites!G:G, MATCH(Ch2_FieldSurvey!B438,FieldSites!C:C,0))</f>
        <v>-119.99792</v>
      </c>
      <c r="G438" s="2" t="n">
        <f aca="false">INDEX(FieldSites!H:H, MATCH(Ch2_FieldSurvey!B438,FieldSites!C:C,0))</f>
        <v>37.486337</v>
      </c>
      <c r="H438" s="18" t="n">
        <v>1</v>
      </c>
      <c r="I438" s="21" t="str">
        <f aca="false">CONCATENATE(B438,"_",C438,H438)</f>
        <v>CCRB_M. nasutus1</v>
      </c>
      <c r="J438" s="22" t="n">
        <v>44686</v>
      </c>
      <c r="K438" s="23"/>
      <c r="L438" s="22" t="n">
        <v>44687</v>
      </c>
      <c r="M438" s="23" t="n">
        <v>0.388194444444444</v>
      </c>
      <c r="O438" s="1" t="s">
        <v>430</v>
      </c>
      <c r="P438" s="16" t="s">
        <v>431</v>
      </c>
      <c r="R438" s="16" t="s">
        <v>432</v>
      </c>
      <c r="S438" s="4" t="s">
        <v>433</v>
      </c>
      <c r="T438" s="24" t="n">
        <v>435</v>
      </c>
      <c r="U438" s="18" t="n">
        <v>3.4</v>
      </c>
      <c r="V438" s="24" t="n">
        <v>0.33</v>
      </c>
      <c r="W438" s="2" t="n">
        <v>0.4</v>
      </c>
      <c r="Z438" s="18"/>
      <c r="AA438" s="20" t="n">
        <v>1275137</v>
      </c>
      <c r="AB438" s="20" t="n">
        <v>1467045</v>
      </c>
      <c r="AC438" s="19" t="n">
        <f aca="false">(AB438-AA438)/AB438</f>
        <v>0.130812619926451</v>
      </c>
    </row>
    <row r="439" customFormat="false" ht="14.25" hidden="false" customHeight="true" outlineLevel="0" collapsed="false">
      <c r="A439" s="18" t="s">
        <v>429</v>
      </c>
      <c r="B439" s="18" t="s">
        <v>429</v>
      </c>
      <c r="C439" s="18" t="s">
        <v>159</v>
      </c>
      <c r="E439" s="2" t="n">
        <f aca="false">INDEX(FieldSites!F:F, MATCH(Ch2_FieldSurvey!B439,FieldSites!C:C,0))</f>
        <v>666</v>
      </c>
      <c r="F439" s="2" t="n">
        <f aca="false">INDEX(FieldSites!G:G, MATCH(Ch2_FieldSurvey!B439,FieldSites!C:C,0))</f>
        <v>-119.99792</v>
      </c>
      <c r="G439" s="2" t="n">
        <f aca="false">INDEX(FieldSites!H:H, MATCH(Ch2_FieldSurvey!B439,FieldSites!C:C,0))</f>
        <v>37.486337</v>
      </c>
      <c r="H439" s="18" t="n">
        <v>1</v>
      </c>
      <c r="I439" s="21" t="str">
        <f aca="false">CONCATENATE(B439,"_",C439,H439)</f>
        <v>CCRB_M. nasutus1</v>
      </c>
      <c r="J439" s="22" t="n">
        <v>44686</v>
      </c>
      <c r="K439" s="23"/>
      <c r="L439" s="22" t="n">
        <v>44687</v>
      </c>
      <c r="M439" s="23" t="n">
        <v>0.388194444444444</v>
      </c>
      <c r="O439" s="1" t="s">
        <v>430</v>
      </c>
      <c r="P439" s="16" t="s">
        <v>431</v>
      </c>
      <c r="R439" s="16" t="s">
        <v>432</v>
      </c>
      <c r="S439" s="4" t="s">
        <v>433</v>
      </c>
      <c r="T439" s="24" t="n">
        <v>372</v>
      </c>
      <c r="U439" s="18" t="n">
        <v>3</v>
      </c>
      <c r="V439" s="24" t="n">
        <v>0.32</v>
      </c>
      <c r="W439" s="2" t="n">
        <v>0.5</v>
      </c>
      <c r="Z439" s="18"/>
      <c r="AA439" s="20"/>
      <c r="AB439" s="20"/>
      <c r="AC439" s="19" t="e">
        <f aca="false">(AB439-AA439)/AB439</f>
        <v>#DIV/0!</v>
      </c>
    </row>
    <row r="440" customFormat="false" ht="14.25" hidden="false" customHeight="true" outlineLevel="0" collapsed="false">
      <c r="A440" s="18" t="s">
        <v>429</v>
      </c>
      <c r="B440" s="18" t="s">
        <v>429</v>
      </c>
      <c r="C440" s="18" t="s">
        <v>159</v>
      </c>
      <c r="E440" s="2" t="n">
        <f aca="false">INDEX(FieldSites!F:F, MATCH(Ch2_FieldSurvey!B440,FieldSites!C:C,0))</f>
        <v>666</v>
      </c>
      <c r="F440" s="2" t="n">
        <f aca="false">INDEX(FieldSites!G:G, MATCH(Ch2_FieldSurvey!B440,FieldSites!C:C,0))</f>
        <v>-119.99792</v>
      </c>
      <c r="G440" s="2" t="n">
        <f aca="false">INDEX(FieldSites!H:H, MATCH(Ch2_FieldSurvey!B440,FieldSites!C:C,0))</f>
        <v>37.486337</v>
      </c>
      <c r="H440" s="18" t="n">
        <v>1</v>
      </c>
      <c r="I440" s="21" t="str">
        <f aca="false">CONCATENATE(B440,"_",C440,H440)</f>
        <v>CCRB_M. nasutus1</v>
      </c>
      <c r="J440" s="22" t="n">
        <v>44686</v>
      </c>
      <c r="K440" s="23"/>
      <c r="L440" s="22" t="n">
        <v>44687</v>
      </c>
      <c r="M440" s="23" t="n">
        <v>0.388194444444444</v>
      </c>
      <c r="O440" s="1" t="s">
        <v>430</v>
      </c>
      <c r="P440" s="16" t="s">
        <v>431</v>
      </c>
      <c r="R440" s="16" t="s">
        <v>432</v>
      </c>
      <c r="S440" s="4" t="s">
        <v>433</v>
      </c>
      <c r="T440" s="24" t="n">
        <v>565</v>
      </c>
      <c r="U440" s="18" t="n">
        <v>3.8</v>
      </c>
      <c r="V440" s="24" t="n">
        <v>0.27</v>
      </c>
      <c r="W440" s="2" t="n">
        <v>0.4</v>
      </c>
      <c r="Z440" s="18"/>
      <c r="AA440" s="20"/>
      <c r="AB440" s="20"/>
      <c r="AC440" s="19" t="e">
        <f aca="false">(AB440-AA440)/AB440</f>
        <v>#DIV/0!</v>
      </c>
    </row>
    <row r="441" customFormat="false" ht="14.25" hidden="false" customHeight="true" outlineLevel="0" collapsed="false">
      <c r="A441" s="18" t="s">
        <v>429</v>
      </c>
      <c r="B441" s="18" t="s">
        <v>429</v>
      </c>
      <c r="C441" s="18" t="s">
        <v>159</v>
      </c>
      <c r="E441" s="2" t="n">
        <f aca="false">INDEX(FieldSites!F:F, MATCH(Ch2_FieldSurvey!B441,FieldSites!C:C,0))</f>
        <v>666</v>
      </c>
      <c r="F441" s="2" t="n">
        <f aca="false">INDEX(FieldSites!G:G, MATCH(Ch2_FieldSurvey!B441,FieldSites!C:C,0))</f>
        <v>-119.99792</v>
      </c>
      <c r="G441" s="2" t="n">
        <f aca="false">INDEX(FieldSites!H:H, MATCH(Ch2_FieldSurvey!B441,FieldSites!C:C,0))</f>
        <v>37.486337</v>
      </c>
      <c r="H441" s="18" t="n">
        <v>2</v>
      </c>
      <c r="I441" s="21" t="str">
        <f aca="false">CONCATENATE(B441,"_",C441,H441)</f>
        <v>CCRB_M. nasutus2</v>
      </c>
      <c r="J441" s="22" t="n">
        <v>44686</v>
      </c>
      <c r="K441" s="23"/>
      <c r="L441" s="22" t="n">
        <v>44687</v>
      </c>
      <c r="M441" s="23" t="n">
        <v>0.393055555555556</v>
      </c>
      <c r="O441" s="1" t="s">
        <v>434</v>
      </c>
      <c r="P441" s="16" t="s">
        <v>431</v>
      </c>
      <c r="R441" s="16" t="s">
        <v>432</v>
      </c>
      <c r="S441" s="4" t="s">
        <v>258</v>
      </c>
      <c r="T441" s="24" t="n">
        <v>420</v>
      </c>
      <c r="U441" s="18" t="n">
        <v>3.9</v>
      </c>
      <c r="V441" s="24" t="n">
        <v>0.25</v>
      </c>
      <c r="W441" s="2" t="n">
        <v>0.3</v>
      </c>
      <c r="Z441" s="18"/>
      <c r="AA441" s="20" t="n">
        <v>901197</v>
      </c>
      <c r="AB441" s="20" t="n">
        <v>1015528</v>
      </c>
      <c r="AC441" s="19" t="n">
        <f aca="false">(AB441-AA441)/AB441</f>
        <v>0.112582814063226</v>
      </c>
    </row>
    <row r="442" customFormat="false" ht="14.25" hidden="false" customHeight="true" outlineLevel="0" collapsed="false">
      <c r="A442" s="18" t="s">
        <v>429</v>
      </c>
      <c r="B442" s="18" t="s">
        <v>429</v>
      </c>
      <c r="C442" s="18" t="s">
        <v>159</v>
      </c>
      <c r="E442" s="2" t="n">
        <f aca="false">INDEX(FieldSites!F:F, MATCH(Ch2_FieldSurvey!B442,FieldSites!C:C,0))</f>
        <v>666</v>
      </c>
      <c r="F442" s="2" t="n">
        <f aca="false">INDEX(FieldSites!G:G, MATCH(Ch2_FieldSurvey!B442,FieldSites!C:C,0))</f>
        <v>-119.99792</v>
      </c>
      <c r="G442" s="2" t="n">
        <f aca="false">INDEX(FieldSites!H:H, MATCH(Ch2_FieldSurvey!B442,FieldSites!C:C,0))</f>
        <v>37.486337</v>
      </c>
      <c r="H442" s="18" t="n">
        <v>2</v>
      </c>
      <c r="I442" s="21" t="str">
        <f aca="false">CONCATENATE(B442,"_",C442,H442)</f>
        <v>CCRB_M. nasutus2</v>
      </c>
      <c r="J442" s="22" t="n">
        <v>44686</v>
      </c>
      <c r="K442" s="23"/>
      <c r="L442" s="22" t="n">
        <v>44687</v>
      </c>
      <c r="M442" s="23" t="n">
        <v>0.393055555555556</v>
      </c>
      <c r="O442" s="1" t="s">
        <v>434</v>
      </c>
      <c r="P442" s="16" t="s">
        <v>431</v>
      </c>
      <c r="R442" s="16" t="s">
        <v>432</v>
      </c>
      <c r="S442" s="4" t="s">
        <v>258</v>
      </c>
      <c r="T442" s="24" t="n">
        <v>290</v>
      </c>
      <c r="U442" s="18" t="n">
        <v>3.1</v>
      </c>
      <c r="V442" s="24" t="n">
        <v>0.31</v>
      </c>
      <c r="W442" s="2" t="n">
        <v>0.3</v>
      </c>
      <c r="Z442" s="18"/>
      <c r="AA442" s="20"/>
      <c r="AB442" s="20"/>
      <c r="AC442" s="19" t="e">
        <f aca="false">(AB442-AA442)/AB442</f>
        <v>#DIV/0!</v>
      </c>
    </row>
    <row r="443" customFormat="false" ht="14.25" hidden="false" customHeight="true" outlineLevel="0" collapsed="false">
      <c r="A443" s="18" t="s">
        <v>429</v>
      </c>
      <c r="B443" s="18" t="s">
        <v>429</v>
      </c>
      <c r="C443" s="18" t="s">
        <v>159</v>
      </c>
      <c r="E443" s="2" t="n">
        <f aca="false">INDEX(FieldSites!F:F, MATCH(Ch2_FieldSurvey!B443,FieldSites!C:C,0))</f>
        <v>666</v>
      </c>
      <c r="F443" s="2" t="n">
        <f aca="false">INDEX(FieldSites!G:G, MATCH(Ch2_FieldSurvey!B443,FieldSites!C:C,0))</f>
        <v>-119.99792</v>
      </c>
      <c r="G443" s="2" t="n">
        <f aca="false">INDEX(FieldSites!H:H, MATCH(Ch2_FieldSurvey!B443,FieldSites!C:C,0))</f>
        <v>37.486337</v>
      </c>
      <c r="H443" s="18" t="n">
        <v>2</v>
      </c>
      <c r="I443" s="21" t="str">
        <f aca="false">CONCATENATE(B443,"_",C443,H443)</f>
        <v>CCRB_M. nasutus2</v>
      </c>
      <c r="J443" s="22" t="n">
        <v>44686</v>
      </c>
      <c r="K443" s="23"/>
      <c r="L443" s="22" t="n">
        <v>44687</v>
      </c>
      <c r="M443" s="23" t="n">
        <v>0.393055555555556</v>
      </c>
      <c r="O443" s="1" t="s">
        <v>434</v>
      </c>
      <c r="P443" s="16" t="s">
        <v>431</v>
      </c>
      <c r="R443" s="16" t="s">
        <v>432</v>
      </c>
      <c r="S443" s="4" t="s">
        <v>258</v>
      </c>
      <c r="T443" s="24" t="n">
        <v>240</v>
      </c>
      <c r="U443" s="18" t="n">
        <v>4.5</v>
      </c>
      <c r="V443" s="24" t="n">
        <v>0.2</v>
      </c>
      <c r="W443" s="2" t="n">
        <v>0.3</v>
      </c>
      <c r="Z443" s="18"/>
      <c r="AA443" s="20"/>
      <c r="AB443" s="20"/>
      <c r="AC443" s="19" t="e">
        <f aca="false">(AB443-AA443)/AB443</f>
        <v>#DIV/0!</v>
      </c>
    </row>
    <row r="444" customFormat="false" ht="14.25" hidden="false" customHeight="true" outlineLevel="0" collapsed="false">
      <c r="A444" s="18" t="s">
        <v>429</v>
      </c>
      <c r="B444" s="18" t="s">
        <v>429</v>
      </c>
      <c r="C444" s="18" t="s">
        <v>159</v>
      </c>
      <c r="E444" s="2" t="n">
        <f aca="false">INDEX(FieldSites!F:F, MATCH(Ch2_FieldSurvey!B444,FieldSites!C:C,0))</f>
        <v>666</v>
      </c>
      <c r="F444" s="2" t="n">
        <f aca="false">INDEX(FieldSites!G:G, MATCH(Ch2_FieldSurvey!B444,FieldSites!C:C,0))</f>
        <v>-119.99792</v>
      </c>
      <c r="G444" s="2" t="n">
        <f aca="false">INDEX(FieldSites!H:H, MATCH(Ch2_FieldSurvey!B444,FieldSites!C:C,0))</f>
        <v>37.486337</v>
      </c>
      <c r="H444" s="18" t="n">
        <v>3</v>
      </c>
      <c r="I444" s="21" t="str">
        <f aca="false">CONCATENATE(B444,"_",C444,H444)</f>
        <v>CCRB_M. nasutus3</v>
      </c>
      <c r="J444" s="22" t="n">
        <v>44686</v>
      </c>
      <c r="K444" s="23"/>
      <c r="L444" s="22" t="n">
        <v>44687</v>
      </c>
      <c r="M444" s="23" t="n">
        <v>0.394444444444444</v>
      </c>
      <c r="O444" s="1" t="s">
        <v>435</v>
      </c>
      <c r="P444" s="16" t="s">
        <v>431</v>
      </c>
      <c r="R444" s="16" t="s">
        <v>432</v>
      </c>
      <c r="S444" s="4" t="s">
        <v>436</v>
      </c>
      <c r="T444" s="24" t="n">
        <v>335</v>
      </c>
      <c r="U444" s="18" t="n">
        <v>4.6</v>
      </c>
      <c r="V444" s="24" t="n">
        <v>0.22</v>
      </c>
      <c r="W444" s="2" t="n">
        <v>0.2</v>
      </c>
      <c r="Z444" s="18"/>
      <c r="AA444" s="20" t="n">
        <v>1028976</v>
      </c>
      <c r="AB444" s="20" t="n">
        <v>1229396</v>
      </c>
      <c r="AC444" s="19" t="n">
        <f aca="false">(AB444-AA444)/AB444</f>
        <v>0.163023143071882</v>
      </c>
    </row>
    <row r="445" customFormat="false" ht="14.25" hidden="false" customHeight="true" outlineLevel="0" collapsed="false">
      <c r="A445" s="18" t="s">
        <v>429</v>
      </c>
      <c r="B445" s="18" t="s">
        <v>429</v>
      </c>
      <c r="C445" s="18" t="s">
        <v>159</v>
      </c>
      <c r="E445" s="2" t="n">
        <f aca="false">INDEX(FieldSites!F:F, MATCH(Ch2_FieldSurvey!B445,FieldSites!C:C,0))</f>
        <v>666</v>
      </c>
      <c r="F445" s="2" t="n">
        <f aca="false">INDEX(FieldSites!G:G, MATCH(Ch2_FieldSurvey!B445,FieldSites!C:C,0))</f>
        <v>-119.99792</v>
      </c>
      <c r="G445" s="2" t="n">
        <f aca="false">INDEX(FieldSites!H:H, MATCH(Ch2_FieldSurvey!B445,FieldSites!C:C,0))</f>
        <v>37.486337</v>
      </c>
      <c r="H445" s="18" t="n">
        <v>3</v>
      </c>
      <c r="I445" s="21" t="str">
        <f aca="false">CONCATENATE(B445,"_",C445,H445)</f>
        <v>CCRB_M. nasutus3</v>
      </c>
      <c r="J445" s="22" t="n">
        <v>44686</v>
      </c>
      <c r="K445" s="23"/>
      <c r="L445" s="22" t="n">
        <v>44687</v>
      </c>
      <c r="M445" s="23" t="n">
        <v>0.394444444444444</v>
      </c>
      <c r="O445" s="1" t="s">
        <v>435</v>
      </c>
      <c r="P445" s="16" t="s">
        <v>431</v>
      </c>
      <c r="R445" s="16" t="s">
        <v>432</v>
      </c>
      <c r="S445" s="4" t="s">
        <v>436</v>
      </c>
      <c r="T445" s="24" t="n">
        <v>321</v>
      </c>
      <c r="U445" s="18" t="n">
        <v>4.6</v>
      </c>
      <c r="V445" s="24" t="n">
        <v>0.31</v>
      </c>
      <c r="W445" s="2" t="n">
        <v>0.3</v>
      </c>
      <c r="Z445" s="18"/>
      <c r="AA445" s="20"/>
      <c r="AB445" s="20"/>
      <c r="AC445" s="19" t="e">
        <f aca="false">(AB445-AA445)/AB445</f>
        <v>#DIV/0!</v>
      </c>
    </row>
    <row r="446" customFormat="false" ht="14.25" hidden="false" customHeight="true" outlineLevel="0" collapsed="false">
      <c r="A446" s="18" t="s">
        <v>429</v>
      </c>
      <c r="B446" s="18" t="s">
        <v>429</v>
      </c>
      <c r="C446" s="18" t="s">
        <v>159</v>
      </c>
      <c r="E446" s="2" t="n">
        <f aca="false">INDEX(FieldSites!F:F, MATCH(Ch2_FieldSurvey!B446,FieldSites!C:C,0))</f>
        <v>666</v>
      </c>
      <c r="F446" s="2" t="n">
        <f aca="false">INDEX(FieldSites!G:G, MATCH(Ch2_FieldSurvey!B446,FieldSites!C:C,0))</f>
        <v>-119.99792</v>
      </c>
      <c r="G446" s="2" t="n">
        <f aca="false">INDEX(FieldSites!H:H, MATCH(Ch2_FieldSurvey!B446,FieldSites!C:C,0))</f>
        <v>37.486337</v>
      </c>
      <c r="H446" s="18" t="n">
        <v>3</v>
      </c>
      <c r="I446" s="21" t="str">
        <f aca="false">CONCATENATE(B446,"_",C446,H446)</f>
        <v>CCRB_M. nasutus3</v>
      </c>
      <c r="J446" s="22" t="n">
        <v>44686</v>
      </c>
      <c r="K446" s="23"/>
      <c r="L446" s="22" t="n">
        <v>44687</v>
      </c>
      <c r="M446" s="23" t="n">
        <v>0.394444444444444</v>
      </c>
      <c r="O446" s="1" t="s">
        <v>435</v>
      </c>
      <c r="P446" s="16" t="s">
        <v>431</v>
      </c>
      <c r="R446" s="16" t="s">
        <v>432</v>
      </c>
      <c r="S446" s="4" t="s">
        <v>436</v>
      </c>
      <c r="T446" s="24" t="n">
        <v>350</v>
      </c>
      <c r="U446" s="18" t="n">
        <v>4.8</v>
      </c>
      <c r="V446" s="24" t="n">
        <v>0.27</v>
      </c>
      <c r="W446" s="2" t="n">
        <v>0.5</v>
      </c>
      <c r="Z446" s="18"/>
      <c r="AA446" s="20"/>
      <c r="AB446" s="20"/>
      <c r="AC446" s="19" t="e">
        <f aca="false">(AB446-AA446)/AB446</f>
        <v>#DIV/0!</v>
      </c>
    </row>
    <row r="447" customFormat="false" ht="14.25" hidden="false" customHeight="true" outlineLevel="0" collapsed="false">
      <c r="A447" s="18" t="s">
        <v>429</v>
      </c>
      <c r="B447" s="18" t="s">
        <v>429</v>
      </c>
      <c r="C447" s="18" t="s">
        <v>159</v>
      </c>
      <c r="E447" s="2" t="n">
        <f aca="false">INDEX(FieldSites!F:F, MATCH(Ch2_FieldSurvey!B447,FieldSites!C:C,0))</f>
        <v>666</v>
      </c>
      <c r="F447" s="2" t="n">
        <f aca="false">INDEX(FieldSites!G:G, MATCH(Ch2_FieldSurvey!B447,FieldSites!C:C,0))</f>
        <v>-119.99792</v>
      </c>
      <c r="G447" s="2" t="n">
        <f aca="false">INDEX(FieldSites!H:H, MATCH(Ch2_FieldSurvey!B447,FieldSites!C:C,0))</f>
        <v>37.486337</v>
      </c>
      <c r="H447" s="18" t="n">
        <v>4</v>
      </c>
      <c r="I447" s="21" t="str">
        <f aca="false">CONCATENATE(B447,"_",C447,H447)</f>
        <v>CCRB_M. nasutus4</v>
      </c>
      <c r="J447" s="22" t="n">
        <v>44686</v>
      </c>
      <c r="K447" s="23"/>
      <c r="L447" s="22" t="n">
        <v>44687</v>
      </c>
      <c r="M447" s="23" t="n">
        <v>0.403472222222222</v>
      </c>
      <c r="O447" s="1" t="s">
        <v>437</v>
      </c>
      <c r="P447" s="16" t="s">
        <v>431</v>
      </c>
      <c r="R447" s="16" t="s">
        <v>432</v>
      </c>
      <c r="S447" s="4" t="s">
        <v>438</v>
      </c>
      <c r="T447" s="24" t="n">
        <v>450</v>
      </c>
      <c r="U447" s="18" t="n">
        <v>3.6</v>
      </c>
      <c r="V447" s="24" t="n">
        <v>0.24</v>
      </c>
      <c r="W447" s="2" t="n">
        <v>0.4</v>
      </c>
      <c r="Z447" s="18"/>
      <c r="AA447" s="20" t="n">
        <v>1693867</v>
      </c>
      <c r="AB447" s="20" t="n">
        <v>1997636</v>
      </c>
      <c r="AC447" s="19" t="n">
        <f aca="false">(AB447-AA447)/AB447</f>
        <v>0.152064239931599</v>
      </c>
    </row>
    <row r="448" customFormat="false" ht="14.25" hidden="false" customHeight="true" outlineLevel="0" collapsed="false">
      <c r="A448" s="18" t="s">
        <v>429</v>
      </c>
      <c r="B448" s="18" t="s">
        <v>429</v>
      </c>
      <c r="C448" s="18" t="s">
        <v>159</v>
      </c>
      <c r="E448" s="2" t="n">
        <f aca="false">INDEX(FieldSites!F:F, MATCH(Ch2_FieldSurvey!B448,FieldSites!C:C,0))</f>
        <v>666</v>
      </c>
      <c r="F448" s="2" t="n">
        <f aca="false">INDEX(FieldSites!G:G, MATCH(Ch2_FieldSurvey!B448,FieldSites!C:C,0))</f>
        <v>-119.99792</v>
      </c>
      <c r="G448" s="2" t="n">
        <f aca="false">INDEX(FieldSites!H:H, MATCH(Ch2_FieldSurvey!B448,FieldSites!C:C,0))</f>
        <v>37.486337</v>
      </c>
      <c r="H448" s="18" t="n">
        <v>4</v>
      </c>
      <c r="I448" s="21" t="str">
        <f aca="false">CONCATENATE(B448,"_",C448,H448)</f>
        <v>CCRB_M. nasutus4</v>
      </c>
      <c r="J448" s="22" t="n">
        <v>44686</v>
      </c>
      <c r="K448" s="23"/>
      <c r="L448" s="22" t="n">
        <v>44687</v>
      </c>
      <c r="M448" s="23" t="n">
        <v>0.403472222222222</v>
      </c>
      <c r="O448" s="1" t="s">
        <v>437</v>
      </c>
      <c r="P448" s="16" t="s">
        <v>431</v>
      </c>
      <c r="R448" s="16" t="s">
        <v>432</v>
      </c>
      <c r="S448" s="4" t="s">
        <v>438</v>
      </c>
      <c r="T448" s="24" t="n">
        <v>369</v>
      </c>
      <c r="U448" s="18" t="n">
        <v>3.1</v>
      </c>
      <c r="V448" s="24" t="n">
        <v>0.25</v>
      </c>
      <c r="W448" s="2" t="n">
        <v>0.3</v>
      </c>
      <c r="Z448" s="18"/>
      <c r="AA448" s="20"/>
      <c r="AB448" s="20"/>
      <c r="AC448" s="19" t="e">
        <f aca="false">(AB448-AA448)/AB448</f>
        <v>#DIV/0!</v>
      </c>
    </row>
    <row r="449" customFormat="false" ht="14.25" hidden="false" customHeight="true" outlineLevel="0" collapsed="false">
      <c r="A449" s="18" t="s">
        <v>429</v>
      </c>
      <c r="B449" s="18" t="s">
        <v>429</v>
      </c>
      <c r="C449" s="18" t="s">
        <v>159</v>
      </c>
      <c r="E449" s="2" t="n">
        <f aca="false">INDEX(FieldSites!F:F, MATCH(Ch2_FieldSurvey!B449,FieldSites!C:C,0))</f>
        <v>666</v>
      </c>
      <c r="F449" s="2" t="n">
        <f aca="false">INDEX(FieldSites!G:G, MATCH(Ch2_FieldSurvey!B449,FieldSites!C:C,0))</f>
        <v>-119.99792</v>
      </c>
      <c r="G449" s="2" t="n">
        <f aca="false">INDEX(FieldSites!H:H, MATCH(Ch2_FieldSurvey!B449,FieldSites!C:C,0))</f>
        <v>37.486337</v>
      </c>
      <c r="H449" s="18" t="n">
        <v>4</v>
      </c>
      <c r="I449" s="21" t="str">
        <f aca="false">CONCATENATE(B449,"_",C449,H449)</f>
        <v>CCRB_M. nasutus4</v>
      </c>
      <c r="J449" s="22" t="n">
        <v>44686</v>
      </c>
      <c r="K449" s="23"/>
      <c r="L449" s="22" t="n">
        <v>44687</v>
      </c>
      <c r="M449" s="23" t="n">
        <v>0.403472222222222</v>
      </c>
      <c r="O449" s="1" t="s">
        <v>437</v>
      </c>
      <c r="P449" s="16" t="s">
        <v>431</v>
      </c>
      <c r="R449" s="16" t="s">
        <v>432</v>
      </c>
      <c r="S449" s="4" t="s">
        <v>438</v>
      </c>
      <c r="T449" s="24" t="n">
        <v>390</v>
      </c>
      <c r="U449" s="18" t="n">
        <v>5.9</v>
      </c>
      <c r="V449" s="24" t="n">
        <v>0.17</v>
      </c>
      <c r="W449" s="2" t="n">
        <v>0.2</v>
      </c>
      <c r="Z449" s="18"/>
      <c r="AA449" s="20"/>
      <c r="AB449" s="20"/>
      <c r="AC449" s="19" t="e">
        <f aca="false">(AB449-AA449)/AB449</f>
        <v>#DIV/0!</v>
      </c>
    </row>
    <row r="450" customFormat="false" ht="14.25" hidden="false" customHeight="true" outlineLevel="0" collapsed="false">
      <c r="A450" s="18" t="s">
        <v>429</v>
      </c>
      <c r="B450" s="18" t="s">
        <v>429</v>
      </c>
      <c r="C450" s="18" t="s">
        <v>159</v>
      </c>
      <c r="E450" s="2" t="n">
        <f aca="false">INDEX(FieldSites!F:F, MATCH(Ch2_FieldSurvey!B450,FieldSites!C:C,0))</f>
        <v>666</v>
      </c>
      <c r="F450" s="2" t="n">
        <f aca="false">INDEX(FieldSites!G:G, MATCH(Ch2_FieldSurvey!B450,FieldSites!C:C,0))</f>
        <v>-119.99792</v>
      </c>
      <c r="G450" s="2" t="n">
        <f aca="false">INDEX(FieldSites!H:H, MATCH(Ch2_FieldSurvey!B450,FieldSites!C:C,0))</f>
        <v>37.486337</v>
      </c>
      <c r="H450" s="18" t="n">
        <v>5</v>
      </c>
      <c r="I450" s="21" t="str">
        <f aca="false">CONCATENATE(B450,"_",C450,H450)</f>
        <v>CCRB_M. nasutus5</v>
      </c>
      <c r="J450" s="22" t="n">
        <v>44686</v>
      </c>
      <c r="K450" s="23"/>
      <c r="L450" s="22" t="n">
        <v>44687</v>
      </c>
      <c r="M450" s="23" t="n">
        <v>0.405555555555556</v>
      </c>
      <c r="O450" s="1" t="s">
        <v>439</v>
      </c>
      <c r="P450" s="16" t="s">
        <v>431</v>
      </c>
      <c r="R450" s="16" t="s">
        <v>432</v>
      </c>
      <c r="S450" s="4" t="s">
        <v>440</v>
      </c>
      <c r="T450" s="24" t="n">
        <v>410</v>
      </c>
      <c r="U450" s="18" t="n">
        <v>6.6</v>
      </c>
      <c r="V450" s="24" t="n">
        <v>0.31</v>
      </c>
      <c r="W450" s="2" t="n">
        <v>0.3</v>
      </c>
      <c r="Z450" s="18"/>
      <c r="AA450" s="20" t="n">
        <v>1102761</v>
      </c>
      <c r="AB450" s="20" t="n">
        <v>1304288</v>
      </c>
      <c r="AC450" s="19" t="n">
        <f aca="false">(AB450-AA450)/AB450</f>
        <v>0.154511120243382</v>
      </c>
    </row>
    <row r="451" customFormat="false" ht="14.25" hidden="false" customHeight="true" outlineLevel="0" collapsed="false">
      <c r="A451" s="18" t="s">
        <v>429</v>
      </c>
      <c r="B451" s="18" t="s">
        <v>429</v>
      </c>
      <c r="C451" s="18" t="s">
        <v>159</v>
      </c>
      <c r="E451" s="2" t="n">
        <f aca="false">INDEX(FieldSites!F:F, MATCH(Ch2_FieldSurvey!B451,FieldSites!C:C,0))</f>
        <v>666</v>
      </c>
      <c r="F451" s="2" t="n">
        <f aca="false">INDEX(FieldSites!G:G, MATCH(Ch2_FieldSurvey!B451,FieldSites!C:C,0))</f>
        <v>-119.99792</v>
      </c>
      <c r="G451" s="2" t="n">
        <f aca="false">INDEX(FieldSites!H:H, MATCH(Ch2_FieldSurvey!B451,FieldSites!C:C,0))</f>
        <v>37.486337</v>
      </c>
      <c r="H451" s="18" t="n">
        <v>5</v>
      </c>
      <c r="I451" s="21" t="str">
        <f aca="false">CONCATENATE(B451,"_",C451,H451)</f>
        <v>CCRB_M. nasutus5</v>
      </c>
      <c r="J451" s="22" t="n">
        <v>44686</v>
      </c>
      <c r="K451" s="23"/>
      <c r="L451" s="22" t="n">
        <v>44687</v>
      </c>
      <c r="M451" s="23" t="n">
        <v>0.405555555555556</v>
      </c>
      <c r="O451" s="1" t="s">
        <v>439</v>
      </c>
      <c r="P451" s="16" t="s">
        <v>431</v>
      </c>
      <c r="R451" s="16" t="s">
        <v>432</v>
      </c>
      <c r="S451" s="4" t="s">
        <v>440</v>
      </c>
      <c r="T451" s="24" t="n">
        <v>270</v>
      </c>
      <c r="U451" s="18" t="n">
        <v>5.9</v>
      </c>
      <c r="V451" s="24" t="n">
        <v>0.26</v>
      </c>
      <c r="W451" s="2" t="n">
        <v>0.6</v>
      </c>
      <c r="Z451" s="18"/>
      <c r="AA451" s="20"/>
      <c r="AB451" s="20"/>
      <c r="AC451" s="19" t="e">
        <f aca="false">(AB451-AA451)/AB451</f>
        <v>#DIV/0!</v>
      </c>
    </row>
    <row r="452" customFormat="false" ht="14.25" hidden="false" customHeight="true" outlineLevel="0" collapsed="false">
      <c r="A452" s="18" t="s">
        <v>429</v>
      </c>
      <c r="B452" s="18" t="s">
        <v>429</v>
      </c>
      <c r="C452" s="18" t="s">
        <v>159</v>
      </c>
      <c r="E452" s="2" t="n">
        <f aca="false">INDEX(FieldSites!F:F, MATCH(Ch2_FieldSurvey!B452,FieldSites!C:C,0))</f>
        <v>666</v>
      </c>
      <c r="F452" s="2" t="n">
        <f aca="false">INDEX(FieldSites!G:G, MATCH(Ch2_FieldSurvey!B452,FieldSites!C:C,0))</f>
        <v>-119.99792</v>
      </c>
      <c r="G452" s="2" t="n">
        <f aca="false">INDEX(FieldSites!H:H, MATCH(Ch2_FieldSurvey!B452,FieldSites!C:C,0))</f>
        <v>37.486337</v>
      </c>
      <c r="H452" s="18" t="n">
        <v>5</v>
      </c>
      <c r="I452" s="21" t="str">
        <f aca="false">CONCATENATE(B452,"_",C452,H452)</f>
        <v>CCRB_M. nasutus5</v>
      </c>
      <c r="J452" s="22" t="n">
        <v>44686</v>
      </c>
      <c r="K452" s="23"/>
      <c r="L452" s="22" t="n">
        <v>44687</v>
      </c>
      <c r="M452" s="23" t="n">
        <v>0.405555555555556</v>
      </c>
      <c r="O452" s="1" t="s">
        <v>439</v>
      </c>
      <c r="P452" s="16" t="s">
        <v>431</v>
      </c>
      <c r="R452" s="16" t="s">
        <v>432</v>
      </c>
      <c r="S452" s="4" t="s">
        <v>440</v>
      </c>
      <c r="T452" s="24" t="n">
        <v>331</v>
      </c>
      <c r="U452" s="18" t="n">
        <v>5.4</v>
      </c>
      <c r="V452" s="24" t="n">
        <v>0.38</v>
      </c>
      <c r="W452" s="2" t="n">
        <v>0.4</v>
      </c>
      <c r="Z452" s="18"/>
      <c r="AA452" s="20"/>
      <c r="AB452" s="20"/>
      <c r="AC452" s="19" t="e">
        <f aca="false">(AB452-AA452)/AB452</f>
        <v>#DIV/0!</v>
      </c>
    </row>
    <row r="453" customFormat="false" ht="14.25" hidden="false" customHeight="true" outlineLevel="0" collapsed="false">
      <c r="A453" s="18" t="s">
        <v>429</v>
      </c>
      <c r="B453" s="18" t="s">
        <v>429</v>
      </c>
      <c r="C453" s="18" t="s">
        <v>159</v>
      </c>
      <c r="E453" s="2" t="n">
        <f aca="false">INDEX(FieldSites!F:F, MATCH(Ch2_FieldSurvey!B453,FieldSites!C:C,0))</f>
        <v>666</v>
      </c>
      <c r="F453" s="2" t="n">
        <f aca="false">INDEX(FieldSites!G:G, MATCH(Ch2_FieldSurvey!B453,FieldSites!C:C,0))</f>
        <v>-119.99792</v>
      </c>
      <c r="G453" s="2" t="n">
        <f aca="false">INDEX(FieldSites!H:H, MATCH(Ch2_FieldSurvey!B453,FieldSites!C:C,0))</f>
        <v>37.486337</v>
      </c>
      <c r="H453" s="18" t="n">
        <v>6</v>
      </c>
      <c r="I453" s="21" t="str">
        <f aca="false">CONCATENATE(B453,"_",C453,H453)</f>
        <v>CCRB_M. nasutus6</v>
      </c>
      <c r="J453" s="22" t="n">
        <v>44686</v>
      </c>
      <c r="K453" s="23"/>
      <c r="L453" s="22" t="n">
        <v>44687</v>
      </c>
      <c r="M453" s="23" t="n">
        <v>0.407638888888889</v>
      </c>
      <c r="O453" s="1" t="s">
        <v>441</v>
      </c>
      <c r="P453" s="16" t="s">
        <v>431</v>
      </c>
      <c r="R453" s="16" t="s">
        <v>432</v>
      </c>
      <c r="S453" s="4" t="s">
        <v>442</v>
      </c>
      <c r="T453" s="24" t="n">
        <v>380</v>
      </c>
      <c r="U453" s="18" t="n">
        <v>6.3</v>
      </c>
      <c r="V453" s="24" t="n">
        <v>0.36</v>
      </c>
      <c r="W453" s="2" t="n">
        <v>0.3</v>
      </c>
      <c r="Z453" s="18"/>
      <c r="AA453" s="20" t="n">
        <v>1923140</v>
      </c>
      <c r="AB453" s="20" t="n">
        <v>2188643</v>
      </c>
      <c r="AC453" s="19" t="n">
        <f aca="false">(AB453-AA453)/AB453</f>
        <v>0.121309414098142</v>
      </c>
    </row>
    <row r="454" customFormat="false" ht="14.25" hidden="false" customHeight="true" outlineLevel="0" collapsed="false">
      <c r="A454" s="18" t="s">
        <v>429</v>
      </c>
      <c r="B454" s="18" t="s">
        <v>429</v>
      </c>
      <c r="C454" s="18" t="s">
        <v>159</v>
      </c>
      <c r="E454" s="2" t="n">
        <f aca="false">INDEX(FieldSites!F:F, MATCH(Ch2_FieldSurvey!B454,FieldSites!C:C,0))</f>
        <v>666</v>
      </c>
      <c r="F454" s="2" t="n">
        <f aca="false">INDEX(FieldSites!G:G, MATCH(Ch2_FieldSurvey!B454,FieldSites!C:C,0))</f>
        <v>-119.99792</v>
      </c>
      <c r="G454" s="2" t="n">
        <f aca="false">INDEX(FieldSites!H:H, MATCH(Ch2_FieldSurvey!B454,FieldSites!C:C,0))</f>
        <v>37.486337</v>
      </c>
      <c r="H454" s="18" t="n">
        <v>6</v>
      </c>
      <c r="I454" s="21" t="str">
        <f aca="false">CONCATENATE(B454,"_",C454,H454)</f>
        <v>CCRB_M. nasutus6</v>
      </c>
      <c r="J454" s="22" t="n">
        <v>44686</v>
      </c>
      <c r="K454" s="23"/>
      <c r="L454" s="22" t="n">
        <v>44687</v>
      </c>
      <c r="M454" s="23" t="n">
        <v>0.407638888888889</v>
      </c>
      <c r="O454" s="1" t="s">
        <v>441</v>
      </c>
      <c r="P454" s="16" t="s">
        <v>431</v>
      </c>
      <c r="R454" s="16" t="s">
        <v>432</v>
      </c>
      <c r="S454" s="4" t="s">
        <v>442</v>
      </c>
      <c r="T454" s="24" t="n">
        <v>325</v>
      </c>
      <c r="U454" s="18" t="n">
        <v>5.4</v>
      </c>
      <c r="V454" s="24" t="n">
        <v>0.35</v>
      </c>
      <c r="W454" s="2" t="n">
        <v>0.3</v>
      </c>
      <c r="Z454" s="18"/>
      <c r="AA454" s="20"/>
      <c r="AB454" s="20"/>
      <c r="AC454" s="19" t="e">
        <f aca="false">(AB454-AA454)/AB454</f>
        <v>#DIV/0!</v>
      </c>
    </row>
    <row r="455" customFormat="false" ht="14.25" hidden="false" customHeight="true" outlineLevel="0" collapsed="false">
      <c r="A455" s="18" t="s">
        <v>429</v>
      </c>
      <c r="B455" s="18" t="s">
        <v>429</v>
      </c>
      <c r="C455" s="18" t="s">
        <v>159</v>
      </c>
      <c r="E455" s="2" t="n">
        <f aca="false">INDEX(FieldSites!F:F, MATCH(Ch2_FieldSurvey!B455,FieldSites!C:C,0))</f>
        <v>666</v>
      </c>
      <c r="F455" s="2" t="n">
        <f aca="false">INDEX(FieldSites!G:G, MATCH(Ch2_FieldSurvey!B455,FieldSites!C:C,0))</f>
        <v>-119.99792</v>
      </c>
      <c r="G455" s="2" t="n">
        <f aca="false">INDEX(FieldSites!H:H, MATCH(Ch2_FieldSurvey!B455,FieldSites!C:C,0))</f>
        <v>37.486337</v>
      </c>
      <c r="H455" s="18" t="n">
        <v>6</v>
      </c>
      <c r="I455" s="21" t="str">
        <f aca="false">CONCATENATE(B455,"_",C455,H455)</f>
        <v>CCRB_M. nasutus6</v>
      </c>
      <c r="J455" s="22" t="n">
        <v>44686</v>
      </c>
      <c r="K455" s="23"/>
      <c r="L455" s="22" t="n">
        <v>44687</v>
      </c>
      <c r="M455" s="23" t="n">
        <v>0.407638888888889</v>
      </c>
      <c r="O455" s="1" t="s">
        <v>441</v>
      </c>
      <c r="P455" s="16" t="s">
        <v>431</v>
      </c>
      <c r="R455" s="16" t="s">
        <v>432</v>
      </c>
      <c r="S455" s="4" t="s">
        <v>442</v>
      </c>
      <c r="T455" s="24" t="n">
        <v>312</v>
      </c>
      <c r="U455" s="18" t="n">
        <v>5.3</v>
      </c>
      <c r="V455" s="24" t="n">
        <v>0.33</v>
      </c>
      <c r="W455" s="2" t="n">
        <v>0.4</v>
      </c>
      <c r="Z455" s="18"/>
      <c r="AA455" s="20"/>
      <c r="AB455" s="20"/>
      <c r="AC455" s="19" t="e">
        <f aca="false">(AB455-AA455)/AB455</f>
        <v>#DIV/0!</v>
      </c>
    </row>
    <row r="456" customFormat="false" ht="14.25" hidden="false" customHeight="true" outlineLevel="0" collapsed="false">
      <c r="A456" s="18" t="s">
        <v>429</v>
      </c>
      <c r="B456" s="18" t="s">
        <v>429</v>
      </c>
      <c r="C456" s="18" t="s">
        <v>159</v>
      </c>
      <c r="E456" s="2" t="n">
        <f aca="false">INDEX(FieldSites!F:F, MATCH(Ch2_FieldSurvey!B456,FieldSites!C:C,0))</f>
        <v>666</v>
      </c>
      <c r="F456" s="2" t="n">
        <f aca="false">INDEX(FieldSites!G:G, MATCH(Ch2_FieldSurvey!B456,FieldSites!C:C,0))</f>
        <v>-119.99792</v>
      </c>
      <c r="G456" s="2" t="n">
        <f aca="false">INDEX(FieldSites!H:H, MATCH(Ch2_FieldSurvey!B456,FieldSites!C:C,0))</f>
        <v>37.486337</v>
      </c>
      <c r="H456" s="18" t="n">
        <v>7</v>
      </c>
      <c r="I456" s="21" t="str">
        <f aca="false">CONCATENATE(B456,"_",C456,H456)</f>
        <v>CCRB_M. nasutus7</v>
      </c>
      <c r="J456" s="22" t="n">
        <v>44686</v>
      </c>
      <c r="K456" s="23"/>
      <c r="L456" s="22" t="n">
        <v>44687</v>
      </c>
      <c r="M456" s="23" t="n">
        <v>0.409722222222222</v>
      </c>
      <c r="O456" s="1" t="s">
        <v>443</v>
      </c>
      <c r="P456" s="16" t="s">
        <v>431</v>
      </c>
      <c r="R456" s="16" t="s">
        <v>432</v>
      </c>
      <c r="S456" s="4" t="s">
        <v>444</v>
      </c>
      <c r="T456" s="24" t="n">
        <v>425</v>
      </c>
      <c r="U456" s="18" t="n">
        <v>5.2</v>
      </c>
      <c r="V456" s="24" t="n">
        <v>0.3</v>
      </c>
      <c r="W456" s="2" t="n">
        <v>0.3</v>
      </c>
      <c r="Z456" s="18"/>
      <c r="AA456" s="20" t="n">
        <v>1242150</v>
      </c>
      <c r="AB456" s="20" t="n">
        <v>1503321</v>
      </c>
      <c r="AC456" s="19" t="n">
        <f aca="false">(AB456-AA456)/AB456</f>
        <v>0.173729363189898</v>
      </c>
    </row>
    <row r="457" customFormat="false" ht="14.25" hidden="false" customHeight="true" outlineLevel="0" collapsed="false">
      <c r="A457" s="18" t="s">
        <v>429</v>
      </c>
      <c r="B457" s="18" t="s">
        <v>429</v>
      </c>
      <c r="C457" s="18" t="s">
        <v>159</v>
      </c>
      <c r="E457" s="2" t="n">
        <f aca="false">INDEX(FieldSites!F:F, MATCH(Ch2_FieldSurvey!B457,FieldSites!C:C,0))</f>
        <v>666</v>
      </c>
      <c r="F457" s="2" t="n">
        <f aca="false">INDEX(FieldSites!G:G, MATCH(Ch2_FieldSurvey!B457,FieldSites!C:C,0))</f>
        <v>-119.99792</v>
      </c>
      <c r="G457" s="2" t="n">
        <f aca="false">INDEX(FieldSites!H:H, MATCH(Ch2_FieldSurvey!B457,FieldSites!C:C,0))</f>
        <v>37.486337</v>
      </c>
      <c r="H457" s="18" t="n">
        <v>7</v>
      </c>
      <c r="I457" s="21" t="str">
        <f aca="false">CONCATENATE(B457,"_",C457,H457)</f>
        <v>CCRB_M. nasutus7</v>
      </c>
      <c r="J457" s="22" t="n">
        <v>44686</v>
      </c>
      <c r="K457" s="23"/>
      <c r="L457" s="22" t="n">
        <v>44687</v>
      </c>
      <c r="M457" s="23" t="n">
        <v>0.409722222222222</v>
      </c>
      <c r="O457" s="1" t="s">
        <v>443</v>
      </c>
      <c r="P457" s="16" t="s">
        <v>431</v>
      </c>
      <c r="R457" s="16" t="s">
        <v>432</v>
      </c>
      <c r="S457" s="4" t="s">
        <v>444</v>
      </c>
      <c r="T457" s="24" t="n">
        <v>370</v>
      </c>
      <c r="U457" s="18" t="n">
        <v>4.8</v>
      </c>
      <c r="V457" s="24" t="n">
        <v>0.29</v>
      </c>
      <c r="W457" s="2" t="n">
        <v>0.3</v>
      </c>
      <c r="Z457" s="18"/>
      <c r="AA457" s="20"/>
      <c r="AB457" s="20"/>
      <c r="AC457" s="19" t="e">
        <f aca="false">(AB457-AA457)/AB457</f>
        <v>#DIV/0!</v>
      </c>
    </row>
    <row r="458" customFormat="false" ht="14.25" hidden="false" customHeight="true" outlineLevel="0" collapsed="false">
      <c r="A458" s="18" t="s">
        <v>429</v>
      </c>
      <c r="B458" s="18" t="s">
        <v>429</v>
      </c>
      <c r="C458" s="18" t="s">
        <v>159</v>
      </c>
      <c r="E458" s="2" t="n">
        <f aca="false">INDEX(FieldSites!F:F, MATCH(Ch2_FieldSurvey!B458,FieldSites!C:C,0))</f>
        <v>666</v>
      </c>
      <c r="F458" s="2" t="n">
        <f aca="false">INDEX(FieldSites!G:G, MATCH(Ch2_FieldSurvey!B458,FieldSites!C:C,0))</f>
        <v>-119.99792</v>
      </c>
      <c r="G458" s="2" t="n">
        <f aca="false">INDEX(FieldSites!H:H, MATCH(Ch2_FieldSurvey!B458,FieldSites!C:C,0))</f>
        <v>37.486337</v>
      </c>
      <c r="H458" s="18" t="n">
        <v>7</v>
      </c>
      <c r="I458" s="21" t="str">
        <f aca="false">CONCATENATE(B458,"_",C458,H458)</f>
        <v>CCRB_M. nasutus7</v>
      </c>
      <c r="J458" s="22" t="n">
        <v>44686</v>
      </c>
      <c r="K458" s="23"/>
      <c r="L458" s="22" t="n">
        <v>44687</v>
      </c>
      <c r="M458" s="23" t="n">
        <v>0.409722222222222</v>
      </c>
      <c r="O458" s="1" t="s">
        <v>443</v>
      </c>
      <c r="P458" s="16" t="s">
        <v>431</v>
      </c>
      <c r="R458" s="16" t="s">
        <v>432</v>
      </c>
      <c r="S458" s="4" t="s">
        <v>444</v>
      </c>
      <c r="T458" s="24" t="n">
        <v>295</v>
      </c>
      <c r="U458" s="18" t="n">
        <v>5.4</v>
      </c>
      <c r="V458" s="24" t="n">
        <v>0.29</v>
      </c>
      <c r="W458" s="2" t="n">
        <v>0.4</v>
      </c>
      <c r="Z458" s="18"/>
      <c r="AA458" s="20"/>
      <c r="AB458" s="20"/>
      <c r="AC458" s="19" t="e">
        <f aca="false">(AB458-AA458)/AB458</f>
        <v>#DIV/0!</v>
      </c>
    </row>
    <row r="459" customFormat="false" ht="14.25" hidden="false" customHeight="true" outlineLevel="0" collapsed="false">
      <c r="A459" s="18" t="s">
        <v>429</v>
      </c>
      <c r="B459" s="18" t="s">
        <v>429</v>
      </c>
      <c r="C459" s="18" t="s">
        <v>159</v>
      </c>
      <c r="E459" s="2" t="n">
        <f aca="false">INDEX(FieldSites!F:F, MATCH(Ch2_FieldSurvey!B459,FieldSites!C:C,0))</f>
        <v>666</v>
      </c>
      <c r="F459" s="2" t="n">
        <f aca="false">INDEX(FieldSites!G:G, MATCH(Ch2_FieldSurvey!B459,FieldSites!C:C,0))</f>
        <v>-119.99792</v>
      </c>
      <c r="G459" s="2" t="n">
        <f aca="false">INDEX(FieldSites!H:H, MATCH(Ch2_FieldSurvey!B459,FieldSites!C:C,0))</f>
        <v>37.486337</v>
      </c>
      <c r="H459" s="18" t="n">
        <v>8</v>
      </c>
      <c r="I459" s="21" t="str">
        <f aca="false">CONCATENATE(B459,"_",C459,H459)</f>
        <v>CCRB_M. nasutus8</v>
      </c>
      <c r="J459" s="22" t="n">
        <v>44686</v>
      </c>
      <c r="K459" s="23"/>
      <c r="L459" s="22" t="n">
        <v>44687</v>
      </c>
      <c r="M459" s="23" t="n">
        <v>0.413194444444444</v>
      </c>
      <c r="O459" s="1" t="s">
        <v>445</v>
      </c>
      <c r="P459" s="16" t="s">
        <v>431</v>
      </c>
      <c r="R459" s="16" t="s">
        <v>432</v>
      </c>
      <c r="S459" s="4" t="s">
        <v>446</v>
      </c>
      <c r="T459" s="24" t="n">
        <v>340</v>
      </c>
      <c r="U459" s="18" t="n">
        <v>5.6</v>
      </c>
      <c r="V459" s="24" t="n">
        <v>0.35</v>
      </c>
      <c r="W459" s="2" t="n">
        <v>0.3</v>
      </c>
      <c r="Z459" s="18"/>
      <c r="AA459" s="20" t="n">
        <v>919632</v>
      </c>
      <c r="AB459" s="20" t="n">
        <v>1043869</v>
      </c>
      <c r="AC459" s="19" t="n">
        <f aca="false">(AB459-AA459)/AB459</f>
        <v>0.119015891840834</v>
      </c>
    </row>
    <row r="460" customFormat="false" ht="14.25" hidden="false" customHeight="true" outlineLevel="0" collapsed="false">
      <c r="A460" s="18" t="s">
        <v>429</v>
      </c>
      <c r="B460" s="18" t="s">
        <v>429</v>
      </c>
      <c r="C460" s="18" t="s">
        <v>159</v>
      </c>
      <c r="E460" s="2" t="n">
        <f aca="false">INDEX(FieldSites!F:F, MATCH(Ch2_FieldSurvey!B460,FieldSites!C:C,0))</f>
        <v>666</v>
      </c>
      <c r="F460" s="2" t="n">
        <f aca="false">INDEX(FieldSites!G:G, MATCH(Ch2_FieldSurvey!B460,FieldSites!C:C,0))</f>
        <v>-119.99792</v>
      </c>
      <c r="G460" s="2" t="n">
        <f aca="false">INDEX(FieldSites!H:H, MATCH(Ch2_FieldSurvey!B460,FieldSites!C:C,0))</f>
        <v>37.486337</v>
      </c>
      <c r="H460" s="18" t="n">
        <v>8</v>
      </c>
      <c r="I460" s="21" t="str">
        <f aca="false">CONCATENATE(B460,"_",C460,H460)</f>
        <v>CCRB_M. nasutus8</v>
      </c>
      <c r="J460" s="22" t="n">
        <v>44686</v>
      </c>
      <c r="K460" s="23"/>
      <c r="L460" s="22" t="n">
        <v>44687</v>
      </c>
      <c r="M460" s="23" t="n">
        <v>0.413194444444444</v>
      </c>
      <c r="O460" s="1" t="s">
        <v>445</v>
      </c>
      <c r="P460" s="16" t="s">
        <v>431</v>
      </c>
      <c r="R460" s="16" t="s">
        <v>432</v>
      </c>
      <c r="S460" s="4" t="s">
        <v>446</v>
      </c>
      <c r="T460" s="24" t="n">
        <v>338</v>
      </c>
      <c r="U460" s="18" t="n">
        <v>4.4</v>
      </c>
      <c r="V460" s="24" t="n">
        <v>0.34</v>
      </c>
      <c r="W460" s="2" t="n">
        <v>0.4</v>
      </c>
      <c r="Z460" s="18"/>
      <c r="AA460" s="20"/>
      <c r="AB460" s="20"/>
      <c r="AC460" s="19" t="e">
        <f aca="false">(AB460-AA460)/AB460</f>
        <v>#DIV/0!</v>
      </c>
    </row>
    <row r="461" customFormat="false" ht="14.25" hidden="false" customHeight="true" outlineLevel="0" collapsed="false">
      <c r="A461" s="18" t="s">
        <v>429</v>
      </c>
      <c r="B461" s="18" t="s">
        <v>429</v>
      </c>
      <c r="C461" s="18" t="s">
        <v>159</v>
      </c>
      <c r="E461" s="2" t="n">
        <f aca="false">INDEX(FieldSites!F:F, MATCH(Ch2_FieldSurvey!B461,FieldSites!C:C,0))</f>
        <v>666</v>
      </c>
      <c r="F461" s="2" t="n">
        <f aca="false">INDEX(FieldSites!G:G, MATCH(Ch2_FieldSurvey!B461,FieldSites!C:C,0))</f>
        <v>-119.99792</v>
      </c>
      <c r="G461" s="2" t="n">
        <f aca="false">INDEX(FieldSites!H:H, MATCH(Ch2_FieldSurvey!B461,FieldSites!C:C,0))</f>
        <v>37.486337</v>
      </c>
      <c r="H461" s="18" t="n">
        <v>8</v>
      </c>
      <c r="I461" s="21" t="str">
        <f aca="false">CONCATENATE(B461,"_",C461,H461)</f>
        <v>CCRB_M. nasutus8</v>
      </c>
      <c r="J461" s="22" t="n">
        <v>44686</v>
      </c>
      <c r="K461" s="23"/>
      <c r="L461" s="22" t="n">
        <v>44687</v>
      </c>
      <c r="M461" s="23" t="n">
        <v>0.413194444444444</v>
      </c>
      <c r="O461" s="1" t="s">
        <v>445</v>
      </c>
      <c r="P461" s="16" t="s">
        <v>431</v>
      </c>
      <c r="R461" s="16" t="s">
        <v>432</v>
      </c>
      <c r="S461" s="4" t="s">
        <v>446</v>
      </c>
      <c r="T461" s="24" t="n">
        <v>320</v>
      </c>
      <c r="U461" s="18" t="n">
        <v>3.6</v>
      </c>
      <c r="V461" s="24" t="n">
        <v>0.31</v>
      </c>
      <c r="W461" s="2" t="n">
        <v>0.5</v>
      </c>
      <c r="Z461" s="18"/>
      <c r="AA461" s="20"/>
      <c r="AB461" s="20"/>
      <c r="AC461" s="19" t="e">
        <f aca="false">(AB461-AA461)/AB461</f>
        <v>#DIV/0!</v>
      </c>
    </row>
    <row r="462" customFormat="false" ht="14.25" hidden="false" customHeight="true" outlineLevel="0" collapsed="false">
      <c r="A462" s="18" t="s">
        <v>429</v>
      </c>
      <c r="B462" s="18" t="s">
        <v>429</v>
      </c>
      <c r="C462" s="18" t="s">
        <v>159</v>
      </c>
      <c r="E462" s="2" t="n">
        <f aca="false">INDEX(FieldSites!F:F, MATCH(Ch2_FieldSurvey!B462,FieldSites!C:C,0))</f>
        <v>666</v>
      </c>
      <c r="F462" s="2" t="n">
        <f aca="false">INDEX(FieldSites!G:G, MATCH(Ch2_FieldSurvey!B462,FieldSites!C:C,0))</f>
        <v>-119.99792</v>
      </c>
      <c r="G462" s="2" t="n">
        <f aca="false">INDEX(FieldSites!H:H, MATCH(Ch2_FieldSurvey!B462,FieldSites!C:C,0))</f>
        <v>37.486337</v>
      </c>
      <c r="H462" s="18" t="n">
        <v>9</v>
      </c>
      <c r="I462" s="21" t="str">
        <f aca="false">CONCATENATE(B462,"_",C462,H462)</f>
        <v>CCRB_M. nasutus9</v>
      </c>
      <c r="J462" s="22" t="n">
        <v>44686</v>
      </c>
      <c r="K462" s="23"/>
      <c r="L462" s="22" t="n">
        <v>44687</v>
      </c>
      <c r="M462" s="23" t="n">
        <v>0.416666666666667</v>
      </c>
      <c r="O462" s="1" t="s">
        <v>447</v>
      </c>
      <c r="P462" s="16" t="s">
        <v>431</v>
      </c>
      <c r="R462" s="16" t="s">
        <v>432</v>
      </c>
      <c r="S462" s="4" t="s">
        <v>448</v>
      </c>
      <c r="T462" s="24" t="n">
        <v>337</v>
      </c>
      <c r="U462" s="18" t="n">
        <v>4.8</v>
      </c>
      <c r="V462" s="24" t="n">
        <v>0.24</v>
      </c>
      <c r="W462" s="2" t="n">
        <v>0.3</v>
      </c>
      <c r="Z462" s="18"/>
      <c r="AA462" s="20" t="n">
        <v>1372977</v>
      </c>
      <c r="AB462" s="20" t="n">
        <v>1574630</v>
      </c>
      <c r="AC462" s="19" t="n">
        <f aca="false">(AB462-AA462)/AB462</f>
        <v>0.12806373560773</v>
      </c>
    </row>
    <row r="463" customFormat="false" ht="14.25" hidden="false" customHeight="true" outlineLevel="0" collapsed="false">
      <c r="A463" s="18" t="s">
        <v>429</v>
      </c>
      <c r="B463" s="18" t="s">
        <v>429</v>
      </c>
      <c r="C463" s="18" t="s">
        <v>159</v>
      </c>
      <c r="E463" s="2" t="n">
        <f aca="false">INDEX(FieldSites!F:F, MATCH(Ch2_FieldSurvey!B463,FieldSites!C:C,0))</f>
        <v>666</v>
      </c>
      <c r="F463" s="2" t="n">
        <f aca="false">INDEX(FieldSites!G:G, MATCH(Ch2_FieldSurvey!B463,FieldSites!C:C,0))</f>
        <v>-119.99792</v>
      </c>
      <c r="G463" s="2" t="n">
        <f aca="false">INDEX(FieldSites!H:H, MATCH(Ch2_FieldSurvey!B463,FieldSites!C:C,0))</f>
        <v>37.486337</v>
      </c>
      <c r="H463" s="18" t="n">
        <v>9</v>
      </c>
      <c r="I463" s="21" t="str">
        <f aca="false">CONCATENATE(B463,"_",C463,H463)</f>
        <v>CCRB_M. nasutus9</v>
      </c>
      <c r="J463" s="22" t="n">
        <v>44686</v>
      </c>
      <c r="K463" s="23"/>
      <c r="L463" s="22" t="n">
        <v>44687</v>
      </c>
      <c r="M463" s="23" t="n">
        <v>0.416666666666667</v>
      </c>
      <c r="O463" s="1" t="s">
        <v>447</v>
      </c>
      <c r="P463" s="16" t="s">
        <v>431</v>
      </c>
      <c r="R463" s="16" t="s">
        <v>432</v>
      </c>
      <c r="S463" s="4" t="s">
        <v>448</v>
      </c>
      <c r="T463" s="24" t="n">
        <v>450</v>
      </c>
      <c r="U463" s="18" t="n">
        <v>4.9</v>
      </c>
      <c r="V463" s="24" t="n">
        <v>0.19</v>
      </c>
      <c r="W463" s="2" t="n">
        <v>0.4</v>
      </c>
      <c r="Z463" s="18"/>
      <c r="AA463" s="20"/>
      <c r="AB463" s="20"/>
      <c r="AC463" s="19" t="e">
        <f aca="false">(AB463-AA463)/AB463</f>
        <v>#DIV/0!</v>
      </c>
    </row>
    <row r="464" customFormat="false" ht="14.25" hidden="false" customHeight="true" outlineLevel="0" collapsed="false">
      <c r="A464" s="18" t="s">
        <v>429</v>
      </c>
      <c r="B464" s="18" t="s">
        <v>429</v>
      </c>
      <c r="C464" s="18" t="s">
        <v>159</v>
      </c>
      <c r="E464" s="2" t="n">
        <f aca="false">INDEX(FieldSites!F:F, MATCH(Ch2_FieldSurvey!B464,FieldSites!C:C,0))</f>
        <v>666</v>
      </c>
      <c r="F464" s="2" t="n">
        <f aca="false">INDEX(FieldSites!G:G, MATCH(Ch2_FieldSurvey!B464,FieldSites!C:C,0))</f>
        <v>-119.99792</v>
      </c>
      <c r="G464" s="2" t="n">
        <f aca="false">INDEX(FieldSites!H:H, MATCH(Ch2_FieldSurvey!B464,FieldSites!C:C,0))</f>
        <v>37.486337</v>
      </c>
      <c r="H464" s="18" t="n">
        <v>9</v>
      </c>
      <c r="I464" s="21" t="str">
        <f aca="false">CONCATENATE(B464,"_",C464,H464)</f>
        <v>CCRB_M. nasutus9</v>
      </c>
      <c r="J464" s="22" t="n">
        <v>44686</v>
      </c>
      <c r="K464" s="23"/>
      <c r="L464" s="22" t="n">
        <v>44687</v>
      </c>
      <c r="M464" s="23" t="n">
        <v>0.416666666666667</v>
      </c>
      <c r="O464" s="1" t="s">
        <v>447</v>
      </c>
      <c r="P464" s="16" t="s">
        <v>431</v>
      </c>
      <c r="R464" s="16" t="s">
        <v>432</v>
      </c>
      <c r="S464" s="4" t="s">
        <v>448</v>
      </c>
      <c r="T464" s="24" t="n">
        <v>353</v>
      </c>
      <c r="U464" s="18" t="n">
        <v>4.1</v>
      </c>
      <c r="V464" s="24" t="n">
        <v>0.23</v>
      </c>
      <c r="W464" s="2" t="n">
        <v>0.2</v>
      </c>
      <c r="Z464" s="18"/>
      <c r="AA464" s="20"/>
      <c r="AB464" s="20"/>
      <c r="AC464" s="19" t="e">
        <f aca="false">(AB464-AA464)/AB464</f>
        <v>#DIV/0!</v>
      </c>
    </row>
    <row r="465" customFormat="false" ht="14.25" hidden="false" customHeight="true" outlineLevel="0" collapsed="false">
      <c r="A465" s="18" t="s">
        <v>449</v>
      </c>
      <c r="B465" s="18" t="s">
        <v>449</v>
      </c>
      <c r="C465" s="18" t="s">
        <v>31</v>
      </c>
      <c r="E465" s="2" t="n">
        <f aca="false">INDEX(FieldSites!F:F, MATCH(Ch2_FieldSurvey!B465,FieldSites!C:C,0))</f>
        <v>875</v>
      </c>
      <c r="F465" s="2" t="n">
        <f aca="false">INDEX(FieldSites!G:G, MATCH(Ch2_FieldSurvey!B465,FieldSites!C:C,0))</f>
        <v>-119.521415</v>
      </c>
      <c r="G465" s="2" t="n">
        <f aca="false">INDEX(FieldSites!H:H, MATCH(Ch2_FieldSurvey!B465,FieldSites!C:C,0))</f>
        <v>37.257397</v>
      </c>
      <c r="H465" s="18" t="n">
        <v>1</v>
      </c>
      <c r="I465" s="21" t="str">
        <f aca="false">CONCATENATE(B465,"_",C465,H465)</f>
        <v>NFWB_M. laciniatus1</v>
      </c>
      <c r="J465" s="22" t="n">
        <v>44693</v>
      </c>
      <c r="K465" s="23" t="n">
        <v>0.5</v>
      </c>
      <c r="L465" s="22" t="n">
        <v>44694</v>
      </c>
      <c r="M465" s="23" t="n">
        <v>0.416666666666667</v>
      </c>
      <c r="O465" s="1" t="s">
        <v>450</v>
      </c>
      <c r="P465" s="16" t="s">
        <v>451</v>
      </c>
      <c r="Q465" s="16" t="s">
        <v>452</v>
      </c>
      <c r="R465" s="16" t="s">
        <v>453</v>
      </c>
      <c r="S465" s="4" t="s">
        <v>448</v>
      </c>
      <c r="T465" s="24" t="n">
        <v>275</v>
      </c>
      <c r="U465" s="18" t="n">
        <v>2.3</v>
      </c>
      <c r="V465" s="24" t="n">
        <v>0.15</v>
      </c>
      <c r="W465" s="2" t="n">
        <v>0.2</v>
      </c>
      <c r="Y465" s="2" t="s">
        <v>454</v>
      </c>
      <c r="Z465" s="18"/>
      <c r="AA465" s="20" t="n">
        <v>154535</v>
      </c>
      <c r="AB465" s="20" t="n">
        <v>199397</v>
      </c>
      <c r="AC465" s="19" t="n">
        <f aca="false">(AB465-AA465)/AB465</f>
        <v>0.224988339844632</v>
      </c>
    </row>
    <row r="466" customFormat="false" ht="14.25" hidden="false" customHeight="true" outlineLevel="0" collapsed="false">
      <c r="A466" s="18" t="s">
        <v>449</v>
      </c>
      <c r="B466" s="18" t="s">
        <v>449</v>
      </c>
      <c r="C466" s="18" t="s">
        <v>31</v>
      </c>
      <c r="E466" s="2" t="n">
        <f aca="false">INDEX(FieldSites!F:F, MATCH(Ch2_FieldSurvey!B466,FieldSites!C:C,0))</f>
        <v>875</v>
      </c>
      <c r="F466" s="2" t="n">
        <f aca="false">INDEX(FieldSites!G:G, MATCH(Ch2_FieldSurvey!B466,FieldSites!C:C,0))</f>
        <v>-119.521415</v>
      </c>
      <c r="G466" s="2" t="n">
        <f aca="false">INDEX(FieldSites!H:H, MATCH(Ch2_FieldSurvey!B466,FieldSites!C:C,0))</f>
        <v>37.257397</v>
      </c>
      <c r="H466" s="18" t="n">
        <v>1</v>
      </c>
      <c r="I466" s="21" t="str">
        <f aca="false">CONCATENATE(B466,"_",C466,H466)</f>
        <v>NFWB_M. laciniatus1</v>
      </c>
      <c r="J466" s="22" t="n">
        <v>44693</v>
      </c>
      <c r="K466" s="23" t="n">
        <v>0.5</v>
      </c>
      <c r="L466" s="22" t="n">
        <v>44694</v>
      </c>
      <c r="M466" s="23" t="n">
        <v>0.416666666666667</v>
      </c>
      <c r="O466" s="1" t="s">
        <v>450</v>
      </c>
      <c r="P466" s="16" t="s">
        <v>451</v>
      </c>
      <c r="Q466" s="16" t="s">
        <v>452</v>
      </c>
      <c r="R466" s="16" t="s">
        <v>453</v>
      </c>
      <c r="S466" s="4" t="s">
        <v>448</v>
      </c>
      <c r="T466" s="24" t="n">
        <v>238</v>
      </c>
      <c r="U466" s="18" t="n">
        <v>2.5</v>
      </c>
      <c r="V466" s="24" t="n">
        <v>0.2</v>
      </c>
      <c r="W466" s="2" t="n">
        <v>0.2</v>
      </c>
      <c r="Y466" s="2" t="s">
        <v>454</v>
      </c>
      <c r="Z466" s="18"/>
      <c r="AA466" s="20"/>
      <c r="AB466" s="20"/>
      <c r="AC466" s="19" t="e">
        <f aca="false">(AB466-AA466)/AB466</f>
        <v>#DIV/0!</v>
      </c>
    </row>
    <row r="467" customFormat="false" ht="14.25" hidden="false" customHeight="true" outlineLevel="0" collapsed="false">
      <c r="A467" s="18" t="s">
        <v>449</v>
      </c>
      <c r="B467" s="18" t="s">
        <v>449</v>
      </c>
      <c r="C467" s="18" t="s">
        <v>31</v>
      </c>
      <c r="E467" s="2" t="n">
        <f aca="false">INDEX(FieldSites!F:F, MATCH(Ch2_FieldSurvey!B467,FieldSites!C:C,0))</f>
        <v>875</v>
      </c>
      <c r="F467" s="2" t="n">
        <f aca="false">INDEX(FieldSites!G:G, MATCH(Ch2_FieldSurvey!B467,FieldSites!C:C,0))</f>
        <v>-119.521415</v>
      </c>
      <c r="G467" s="2" t="n">
        <f aca="false">INDEX(FieldSites!H:H, MATCH(Ch2_FieldSurvey!B467,FieldSites!C:C,0))</f>
        <v>37.257397</v>
      </c>
      <c r="H467" s="18" t="n">
        <v>1</v>
      </c>
      <c r="I467" s="21" t="str">
        <f aca="false">CONCATENATE(B467,"_",C467,H467)</f>
        <v>NFWB_M. laciniatus1</v>
      </c>
      <c r="J467" s="22" t="n">
        <v>44693</v>
      </c>
      <c r="K467" s="23" t="n">
        <v>0.5</v>
      </c>
      <c r="L467" s="22" t="n">
        <v>44694</v>
      </c>
      <c r="M467" s="23" t="n">
        <v>0.416666666666667</v>
      </c>
      <c r="O467" s="1" t="s">
        <v>450</v>
      </c>
      <c r="P467" s="16" t="s">
        <v>451</v>
      </c>
      <c r="Q467" s="16" t="s">
        <v>452</v>
      </c>
      <c r="R467" s="16" t="s">
        <v>453</v>
      </c>
      <c r="S467" s="4" t="s">
        <v>448</v>
      </c>
      <c r="T467" s="24" t="n">
        <v>240</v>
      </c>
      <c r="U467" s="18"/>
      <c r="V467" s="24"/>
      <c r="Y467" s="2" t="s">
        <v>454</v>
      </c>
      <c r="Z467" s="18"/>
      <c r="AA467" s="20"/>
      <c r="AB467" s="20"/>
      <c r="AC467" s="19" t="e">
        <f aca="false">(AB467-AA467)/AB467</f>
        <v>#DIV/0!</v>
      </c>
    </row>
    <row r="468" customFormat="false" ht="14.25" hidden="false" customHeight="true" outlineLevel="0" collapsed="false">
      <c r="A468" s="18" t="s">
        <v>449</v>
      </c>
      <c r="B468" s="18" t="s">
        <v>449</v>
      </c>
      <c r="C468" s="18" t="s">
        <v>31</v>
      </c>
      <c r="E468" s="2" t="n">
        <f aca="false">INDEX(FieldSites!F:F, MATCH(Ch2_FieldSurvey!B468,FieldSites!C:C,0))</f>
        <v>875</v>
      </c>
      <c r="F468" s="2" t="n">
        <f aca="false">INDEX(FieldSites!G:G, MATCH(Ch2_FieldSurvey!B468,FieldSites!C:C,0))</f>
        <v>-119.521415</v>
      </c>
      <c r="G468" s="2" t="n">
        <f aca="false">INDEX(FieldSites!H:H, MATCH(Ch2_FieldSurvey!B468,FieldSites!C:C,0))</f>
        <v>37.257397</v>
      </c>
      <c r="H468" s="18" t="n">
        <v>2</v>
      </c>
      <c r="I468" s="21" t="str">
        <f aca="false">CONCATENATE(B468,"_",C468,H468)</f>
        <v>NFWB_M. laciniatus2</v>
      </c>
      <c r="J468" s="22" t="n">
        <v>44693</v>
      </c>
      <c r="K468" s="23" t="n">
        <v>0.5</v>
      </c>
      <c r="L468" s="22" t="n">
        <v>44694</v>
      </c>
      <c r="M468" s="23" t="n">
        <v>0.426388888888889</v>
      </c>
      <c r="O468" s="1" t="s">
        <v>455</v>
      </c>
      <c r="P468" s="16" t="s">
        <v>451</v>
      </c>
      <c r="Q468" s="16" t="s">
        <v>452</v>
      </c>
      <c r="R468" s="16" t="s">
        <v>453</v>
      </c>
      <c r="S468" s="4" t="s">
        <v>456</v>
      </c>
      <c r="T468" s="24" t="n">
        <v>315</v>
      </c>
      <c r="U468" s="18" t="n">
        <v>3.3</v>
      </c>
      <c r="V468" s="24" t="n">
        <v>0.17</v>
      </c>
      <c r="W468" s="2" t="n">
        <v>0.3</v>
      </c>
      <c r="Y468" s="2" t="s">
        <v>454</v>
      </c>
      <c r="Z468" s="18"/>
      <c r="AA468" s="20" t="n">
        <v>263708</v>
      </c>
      <c r="AB468" s="20" t="n">
        <v>431883</v>
      </c>
      <c r="AC468" s="19" t="n">
        <f aca="false">(AB468-AA468)/AB468</f>
        <v>0.389399443830852</v>
      </c>
    </row>
    <row r="469" customFormat="false" ht="14.25" hidden="false" customHeight="true" outlineLevel="0" collapsed="false">
      <c r="A469" s="18" t="s">
        <v>449</v>
      </c>
      <c r="B469" s="18" t="s">
        <v>449</v>
      </c>
      <c r="C469" s="18" t="s">
        <v>31</v>
      </c>
      <c r="E469" s="2" t="n">
        <f aca="false">INDEX(FieldSites!F:F, MATCH(Ch2_FieldSurvey!B469,FieldSites!C:C,0))</f>
        <v>875</v>
      </c>
      <c r="F469" s="2" t="n">
        <f aca="false">INDEX(FieldSites!G:G, MATCH(Ch2_FieldSurvey!B469,FieldSites!C:C,0))</f>
        <v>-119.521415</v>
      </c>
      <c r="G469" s="2" t="n">
        <f aca="false">INDEX(FieldSites!H:H, MATCH(Ch2_FieldSurvey!B469,FieldSites!C:C,0))</f>
        <v>37.257397</v>
      </c>
      <c r="H469" s="18" t="n">
        <v>2</v>
      </c>
      <c r="I469" s="21" t="str">
        <f aca="false">CONCATENATE(B469,"_",C469,H469)</f>
        <v>NFWB_M. laciniatus2</v>
      </c>
      <c r="J469" s="22" t="n">
        <v>44693</v>
      </c>
      <c r="K469" s="23" t="n">
        <v>0.5</v>
      </c>
      <c r="L469" s="22" t="n">
        <v>44694</v>
      </c>
      <c r="M469" s="23" t="n">
        <v>0.426388888888889</v>
      </c>
      <c r="O469" s="1" t="s">
        <v>455</v>
      </c>
      <c r="P469" s="16" t="s">
        <v>451</v>
      </c>
      <c r="Q469" s="16" t="s">
        <v>452</v>
      </c>
      <c r="R469" s="16" t="s">
        <v>453</v>
      </c>
      <c r="S469" s="4" t="s">
        <v>456</v>
      </c>
      <c r="T469" s="24" t="n">
        <v>275</v>
      </c>
      <c r="U469" s="18" t="n">
        <v>4</v>
      </c>
      <c r="V469" s="24" t="n">
        <v>0.21</v>
      </c>
      <c r="W469" s="2" t="n">
        <v>0.3</v>
      </c>
      <c r="Y469" s="2" t="s">
        <v>454</v>
      </c>
      <c r="Z469" s="18"/>
      <c r="AA469" s="20"/>
      <c r="AB469" s="20"/>
      <c r="AC469" s="19" t="e">
        <f aca="false">(AB469-AA469)/AB469</f>
        <v>#DIV/0!</v>
      </c>
    </row>
    <row r="470" customFormat="false" ht="14.25" hidden="false" customHeight="true" outlineLevel="0" collapsed="false">
      <c r="A470" s="18" t="s">
        <v>449</v>
      </c>
      <c r="B470" s="18" t="s">
        <v>449</v>
      </c>
      <c r="C470" s="18" t="s">
        <v>31</v>
      </c>
      <c r="E470" s="2" t="n">
        <f aca="false">INDEX(FieldSites!F:F, MATCH(Ch2_FieldSurvey!B470,FieldSites!C:C,0))</f>
        <v>875</v>
      </c>
      <c r="F470" s="2" t="n">
        <f aca="false">INDEX(FieldSites!G:G, MATCH(Ch2_FieldSurvey!B470,FieldSites!C:C,0))</f>
        <v>-119.521415</v>
      </c>
      <c r="G470" s="2" t="n">
        <f aca="false">INDEX(FieldSites!H:H, MATCH(Ch2_FieldSurvey!B470,FieldSites!C:C,0))</f>
        <v>37.257397</v>
      </c>
      <c r="H470" s="18" t="n">
        <v>2</v>
      </c>
      <c r="I470" s="21" t="str">
        <f aca="false">CONCATENATE(B470,"_",C470,H470)</f>
        <v>NFWB_M. laciniatus2</v>
      </c>
      <c r="J470" s="22" t="n">
        <v>44693</v>
      </c>
      <c r="K470" s="23" t="n">
        <v>0.5</v>
      </c>
      <c r="L470" s="22" t="n">
        <v>44694</v>
      </c>
      <c r="M470" s="23" t="n">
        <v>0.426388888888889</v>
      </c>
      <c r="O470" s="1" t="s">
        <v>455</v>
      </c>
      <c r="P470" s="16" t="s">
        <v>451</v>
      </c>
      <c r="Q470" s="16" t="s">
        <v>452</v>
      </c>
      <c r="R470" s="16" t="s">
        <v>453</v>
      </c>
      <c r="S470" s="4" t="s">
        <v>456</v>
      </c>
      <c r="T470" s="24" t="n">
        <v>296</v>
      </c>
      <c r="U470" s="18" t="n">
        <v>3</v>
      </c>
      <c r="V470" s="24" t="n">
        <v>0.21</v>
      </c>
      <c r="W470" s="2" t="n">
        <v>0.3</v>
      </c>
      <c r="Y470" s="2" t="s">
        <v>454</v>
      </c>
      <c r="Z470" s="18"/>
      <c r="AA470" s="20"/>
      <c r="AB470" s="20"/>
      <c r="AC470" s="19" t="e">
        <f aca="false">(AB470-AA470)/AB470</f>
        <v>#DIV/0!</v>
      </c>
    </row>
    <row r="471" customFormat="false" ht="14.25" hidden="false" customHeight="true" outlineLevel="0" collapsed="false">
      <c r="A471" s="18" t="s">
        <v>449</v>
      </c>
      <c r="B471" s="18" t="s">
        <v>449</v>
      </c>
      <c r="C471" s="18" t="s">
        <v>31</v>
      </c>
      <c r="E471" s="2" t="n">
        <f aca="false">INDEX(FieldSites!F:F, MATCH(Ch2_FieldSurvey!B471,FieldSites!C:C,0))</f>
        <v>875</v>
      </c>
      <c r="F471" s="2" t="n">
        <f aca="false">INDEX(FieldSites!G:G, MATCH(Ch2_FieldSurvey!B471,FieldSites!C:C,0))</f>
        <v>-119.521415</v>
      </c>
      <c r="G471" s="2" t="n">
        <f aca="false">INDEX(FieldSites!H:H, MATCH(Ch2_FieldSurvey!B471,FieldSites!C:C,0))</f>
        <v>37.257397</v>
      </c>
      <c r="H471" s="18" t="n">
        <v>3</v>
      </c>
      <c r="I471" s="21" t="str">
        <f aca="false">CONCATENATE(B471,"_",C471,H471)</f>
        <v>NFWB_M. laciniatus3</v>
      </c>
      <c r="J471" s="22" t="n">
        <v>44693</v>
      </c>
      <c r="K471" s="23" t="n">
        <v>0.5</v>
      </c>
      <c r="L471" s="22" t="n">
        <v>44694</v>
      </c>
      <c r="M471" s="23" t="n">
        <v>0.429861111111111</v>
      </c>
      <c r="O471" s="1" t="s">
        <v>457</v>
      </c>
      <c r="P471" s="16" t="s">
        <v>451</v>
      </c>
      <c r="Q471" s="16" t="s">
        <v>452</v>
      </c>
      <c r="R471" s="16" t="s">
        <v>453</v>
      </c>
      <c r="S471" s="4" t="s">
        <v>458</v>
      </c>
      <c r="T471" s="24" t="n">
        <v>254</v>
      </c>
      <c r="U471" s="18" t="n">
        <v>2.9</v>
      </c>
      <c r="V471" s="24" t="n">
        <v>0.29</v>
      </c>
      <c r="W471" s="2" t="n">
        <v>0.4</v>
      </c>
      <c r="Y471" s="2" t="s">
        <v>454</v>
      </c>
      <c r="Z471" s="18"/>
      <c r="AA471" s="20" t="n">
        <v>150960</v>
      </c>
      <c r="AB471" s="20" t="n">
        <v>289500</v>
      </c>
      <c r="AC471" s="19" t="n">
        <f aca="false">(AB471-AA471)/AB471</f>
        <v>0.478549222797927</v>
      </c>
    </row>
    <row r="472" customFormat="false" ht="14.25" hidden="false" customHeight="true" outlineLevel="0" collapsed="false">
      <c r="A472" s="18" t="s">
        <v>449</v>
      </c>
      <c r="B472" s="18" t="s">
        <v>449</v>
      </c>
      <c r="C472" s="18" t="s">
        <v>31</v>
      </c>
      <c r="E472" s="2" t="n">
        <f aca="false">INDEX(FieldSites!F:F, MATCH(Ch2_FieldSurvey!B472,FieldSites!C:C,0))</f>
        <v>875</v>
      </c>
      <c r="F472" s="2" t="n">
        <f aca="false">INDEX(FieldSites!G:G, MATCH(Ch2_FieldSurvey!B472,FieldSites!C:C,0))</f>
        <v>-119.521415</v>
      </c>
      <c r="G472" s="2" t="n">
        <f aca="false">INDEX(FieldSites!H:H, MATCH(Ch2_FieldSurvey!B472,FieldSites!C:C,0))</f>
        <v>37.257397</v>
      </c>
      <c r="H472" s="18" t="n">
        <v>3</v>
      </c>
      <c r="I472" s="21" t="str">
        <f aca="false">CONCATENATE(B472,"_",C472,H472)</f>
        <v>NFWB_M. laciniatus3</v>
      </c>
      <c r="J472" s="22" t="n">
        <v>44693</v>
      </c>
      <c r="K472" s="23" t="n">
        <v>0.5</v>
      </c>
      <c r="L472" s="22" t="n">
        <v>44694</v>
      </c>
      <c r="M472" s="23" t="n">
        <v>0.429861111111111</v>
      </c>
      <c r="O472" s="1" t="s">
        <v>457</v>
      </c>
      <c r="P472" s="16" t="s">
        <v>451</v>
      </c>
      <c r="Q472" s="16" t="s">
        <v>452</v>
      </c>
      <c r="R472" s="16" t="s">
        <v>453</v>
      </c>
      <c r="S472" s="4" t="s">
        <v>458</v>
      </c>
      <c r="T472" s="24" t="n">
        <v>215</v>
      </c>
      <c r="U472" s="18" t="n">
        <v>2.2</v>
      </c>
      <c r="V472" s="24" t="n">
        <v>0.22</v>
      </c>
      <c r="Y472" s="2" t="s">
        <v>454</v>
      </c>
      <c r="Z472" s="18"/>
      <c r="AA472" s="20"/>
      <c r="AB472" s="20"/>
      <c r="AC472" s="19" t="e">
        <f aca="false">(AB472-AA472)/AB472</f>
        <v>#DIV/0!</v>
      </c>
    </row>
    <row r="473" customFormat="false" ht="14.25" hidden="false" customHeight="true" outlineLevel="0" collapsed="false">
      <c r="A473" s="18" t="s">
        <v>449</v>
      </c>
      <c r="B473" s="18" t="s">
        <v>449</v>
      </c>
      <c r="C473" s="18" t="s">
        <v>31</v>
      </c>
      <c r="E473" s="2" t="n">
        <f aca="false">INDEX(FieldSites!F:F, MATCH(Ch2_FieldSurvey!B473,FieldSites!C:C,0))</f>
        <v>875</v>
      </c>
      <c r="F473" s="2" t="n">
        <f aca="false">INDEX(FieldSites!G:G, MATCH(Ch2_FieldSurvey!B473,FieldSites!C:C,0))</f>
        <v>-119.521415</v>
      </c>
      <c r="G473" s="2" t="n">
        <f aca="false">INDEX(FieldSites!H:H, MATCH(Ch2_FieldSurvey!B473,FieldSites!C:C,0))</f>
        <v>37.257397</v>
      </c>
      <c r="H473" s="18" t="n">
        <v>3</v>
      </c>
      <c r="I473" s="21" t="str">
        <f aca="false">CONCATENATE(B473,"_",C473,H473)</f>
        <v>NFWB_M. laciniatus3</v>
      </c>
      <c r="J473" s="22" t="n">
        <v>44693</v>
      </c>
      <c r="K473" s="23" t="n">
        <v>0.5</v>
      </c>
      <c r="L473" s="22" t="n">
        <v>44694</v>
      </c>
      <c r="M473" s="23" t="n">
        <v>0.429861111111111</v>
      </c>
      <c r="O473" s="1" t="s">
        <v>457</v>
      </c>
      <c r="P473" s="16" t="s">
        <v>451</v>
      </c>
      <c r="Q473" s="16" t="s">
        <v>452</v>
      </c>
      <c r="R473" s="16" t="s">
        <v>453</v>
      </c>
      <c r="S473" s="4" t="s">
        <v>458</v>
      </c>
      <c r="T473" s="24" t="n">
        <v>216</v>
      </c>
      <c r="U473" s="18" t="n">
        <v>2.3</v>
      </c>
      <c r="V473" s="24" t="n">
        <v>0.34</v>
      </c>
      <c r="Y473" s="2" t="s">
        <v>454</v>
      </c>
      <c r="Z473" s="18"/>
      <c r="AA473" s="20"/>
      <c r="AB473" s="20"/>
      <c r="AC473" s="19" t="e">
        <f aca="false">(AB473-AA473)/AB473</f>
        <v>#DIV/0!</v>
      </c>
    </row>
    <row r="474" customFormat="false" ht="14.25" hidden="false" customHeight="true" outlineLevel="0" collapsed="false">
      <c r="A474" s="18" t="s">
        <v>449</v>
      </c>
      <c r="B474" s="18" t="s">
        <v>449</v>
      </c>
      <c r="C474" s="18" t="s">
        <v>31</v>
      </c>
      <c r="E474" s="2" t="n">
        <f aca="false">INDEX(FieldSites!F:F, MATCH(Ch2_FieldSurvey!B474,FieldSites!C:C,0))</f>
        <v>875</v>
      </c>
      <c r="F474" s="2" t="n">
        <f aca="false">INDEX(FieldSites!G:G, MATCH(Ch2_FieldSurvey!B474,FieldSites!C:C,0))</f>
        <v>-119.521415</v>
      </c>
      <c r="G474" s="2" t="n">
        <f aca="false">INDEX(FieldSites!H:H, MATCH(Ch2_FieldSurvey!B474,FieldSites!C:C,0))</f>
        <v>37.257397</v>
      </c>
      <c r="H474" s="18" t="n">
        <v>4</v>
      </c>
      <c r="I474" s="21" t="str">
        <f aca="false">CONCATENATE(B474,"_",C474,H474)</f>
        <v>NFWB_M. laciniatus4</v>
      </c>
      <c r="J474" s="22" t="n">
        <v>44693</v>
      </c>
      <c r="K474" s="23" t="n">
        <v>0.5</v>
      </c>
      <c r="L474" s="22" t="n">
        <v>44694</v>
      </c>
      <c r="M474" s="23" t="n">
        <v>0.433333333333333</v>
      </c>
      <c r="O474" s="1" t="s">
        <v>459</v>
      </c>
      <c r="P474" s="16" t="s">
        <v>451</v>
      </c>
      <c r="Q474" s="16" t="s">
        <v>452</v>
      </c>
      <c r="R474" s="16" t="s">
        <v>453</v>
      </c>
      <c r="S474" s="4" t="s">
        <v>460</v>
      </c>
      <c r="T474" s="24" t="n">
        <v>244</v>
      </c>
      <c r="U474" s="18" t="n">
        <v>3.1</v>
      </c>
      <c r="V474" s="24" t="n">
        <v>0.21</v>
      </c>
      <c r="W474" s="2" t="n">
        <v>0.4</v>
      </c>
      <c r="Y474" s="2" t="s">
        <v>454</v>
      </c>
      <c r="Z474" s="18"/>
      <c r="AA474" s="20" t="n">
        <v>387677</v>
      </c>
      <c r="AB474" s="20" t="n">
        <v>655094</v>
      </c>
      <c r="AC474" s="19" t="n">
        <f aca="false">(AB474-AA474)/AB474</f>
        <v>0.408211645962259</v>
      </c>
    </row>
    <row r="475" customFormat="false" ht="14.25" hidden="false" customHeight="true" outlineLevel="0" collapsed="false">
      <c r="A475" s="18" t="s">
        <v>449</v>
      </c>
      <c r="B475" s="18" t="s">
        <v>449</v>
      </c>
      <c r="C475" s="18" t="s">
        <v>31</v>
      </c>
      <c r="E475" s="2" t="n">
        <f aca="false">INDEX(FieldSites!F:F, MATCH(Ch2_FieldSurvey!B475,FieldSites!C:C,0))</f>
        <v>875</v>
      </c>
      <c r="F475" s="2" t="n">
        <f aca="false">INDEX(FieldSites!G:G, MATCH(Ch2_FieldSurvey!B475,FieldSites!C:C,0))</f>
        <v>-119.521415</v>
      </c>
      <c r="G475" s="2" t="n">
        <f aca="false">INDEX(FieldSites!H:H, MATCH(Ch2_FieldSurvey!B475,FieldSites!C:C,0))</f>
        <v>37.257397</v>
      </c>
      <c r="H475" s="18" t="n">
        <v>4</v>
      </c>
      <c r="I475" s="21" t="str">
        <f aca="false">CONCATENATE(B475,"_",C475,H475)</f>
        <v>NFWB_M. laciniatus4</v>
      </c>
      <c r="J475" s="22" t="n">
        <v>44693</v>
      </c>
      <c r="K475" s="23" t="n">
        <v>0.5</v>
      </c>
      <c r="L475" s="22" t="n">
        <v>44694</v>
      </c>
      <c r="M475" s="23" t="n">
        <v>0.433333333333333</v>
      </c>
      <c r="O475" s="1" t="s">
        <v>459</v>
      </c>
      <c r="P475" s="16" t="s">
        <v>451</v>
      </c>
      <c r="Q475" s="16" t="s">
        <v>452</v>
      </c>
      <c r="R475" s="16" t="s">
        <v>453</v>
      </c>
      <c r="S475" s="4" t="s">
        <v>460</v>
      </c>
      <c r="T475" s="24" t="n">
        <v>378</v>
      </c>
      <c r="U475" s="18" t="n">
        <v>3.2</v>
      </c>
      <c r="V475" s="24" t="n">
        <v>0.19</v>
      </c>
      <c r="W475" s="2" t="n">
        <v>0.1</v>
      </c>
      <c r="Y475" s="2" t="s">
        <v>454</v>
      </c>
      <c r="Z475" s="18"/>
      <c r="AA475" s="20"/>
      <c r="AB475" s="20"/>
      <c r="AC475" s="19" t="e">
        <f aca="false">(AB475-AA475)/AB475</f>
        <v>#DIV/0!</v>
      </c>
    </row>
    <row r="476" customFormat="false" ht="14.25" hidden="false" customHeight="true" outlineLevel="0" collapsed="false">
      <c r="A476" s="18" t="s">
        <v>449</v>
      </c>
      <c r="B476" s="18" t="s">
        <v>449</v>
      </c>
      <c r="C476" s="18" t="s">
        <v>31</v>
      </c>
      <c r="E476" s="2" t="n">
        <f aca="false">INDEX(FieldSites!F:F, MATCH(Ch2_FieldSurvey!B476,FieldSites!C:C,0))</f>
        <v>875</v>
      </c>
      <c r="F476" s="2" t="n">
        <f aca="false">INDEX(FieldSites!G:G, MATCH(Ch2_FieldSurvey!B476,FieldSites!C:C,0))</f>
        <v>-119.521415</v>
      </c>
      <c r="G476" s="2" t="n">
        <f aca="false">INDEX(FieldSites!H:H, MATCH(Ch2_FieldSurvey!B476,FieldSites!C:C,0))</f>
        <v>37.257397</v>
      </c>
      <c r="H476" s="18" t="n">
        <v>4</v>
      </c>
      <c r="I476" s="21" t="str">
        <f aca="false">CONCATENATE(B476,"_",C476,H476)</f>
        <v>NFWB_M. laciniatus4</v>
      </c>
      <c r="J476" s="22" t="n">
        <v>44693</v>
      </c>
      <c r="K476" s="23" t="n">
        <v>0.5</v>
      </c>
      <c r="L476" s="22" t="n">
        <v>44694</v>
      </c>
      <c r="M476" s="23" t="n">
        <v>0.433333333333333</v>
      </c>
      <c r="O476" s="1" t="s">
        <v>459</v>
      </c>
      <c r="P476" s="16" t="s">
        <v>451</v>
      </c>
      <c r="Q476" s="16" t="s">
        <v>452</v>
      </c>
      <c r="R476" s="16" t="s">
        <v>453</v>
      </c>
      <c r="S476" s="4" t="s">
        <v>460</v>
      </c>
      <c r="T476" s="24" t="n">
        <v>261</v>
      </c>
      <c r="U476" s="18" t="n">
        <v>2.5</v>
      </c>
      <c r="V476" s="24" t="n">
        <v>0.2</v>
      </c>
      <c r="W476" s="2" t="n">
        <v>0.3</v>
      </c>
      <c r="Y476" s="2" t="s">
        <v>454</v>
      </c>
      <c r="Z476" s="18"/>
      <c r="AA476" s="20"/>
      <c r="AB476" s="20"/>
      <c r="AC476" s="19" t="e">
        <f aca="false">(AB476-AA476)/AB476</f>
        <v>#DIV/0!</v>
      </c>
    </row>
    <row r="477" customFormat="false" ht="14.25" hidden="false" customHeight="true" outlineLevel="0" collapsed="false">
      <c r="A477" s="18" t="s">
        <v>449</v>
      </c>
      <c r="B477" s="18" t="s">
        <v>449</v>
      </c>
      <c r="C477" s="18" t="s">
        <v>31</v>
      </c>
      <c r="E477" s="2" t="n">
        <f aca="false">INDEX(FieldSites!F:F, MATCH(Ch2_FieldSurvey!B477,FieldSites!C:C,0))</f>
        <v>875</v>
      </c>
      <c r="F477" s="2" t="n">
        <f aca="false">INDEX(FieldSites!G:G, MATCH(Ch2_FieldSurvey!B477,FieldSites!C:C,0))</f>
        <v>-119.521415</v>
      </c>
      <c r="G477" s="2" t="n">
        <f aca="false">INDEX(FieldSites!H:H, MATCH(Ch2_FieldSurvey!B477,FieldSites!C:C,0))</f>
        <v>37.257397</v>
      </c>
      <c r="H477" s="18" t="n">
        <v>5</v>
      </c>
      <c r="I477" s="21" t="str">
        <f aca="false">CONCATENATE(B477,"_",C477,H477)</f>
        <v>NFWB_M. laciniatus5</v>
      </c>
      <c r="J477" s="22" t="n">
        <v>44693</v>
      </c>
      <c r="K477" s="23" t="n">
        <v>0.5</v>
      </c>
      <c r="L477" s="22" t="n">
        <v>44694</v>
      </c>
      <c r="M477" s="23" t="n">
        <v>0.436111111111111</v>
      </c>
      <c r="O477" s="1" t="s">
        <v>461</v>
      </c>
      <c r="P477" s="16" t="s">
        <v>451</v>
      </c>
      <c r="Q477" s="16" t="s">
        <v>452</v>
      </c>
      <c r="R477" s="16" t="s">
        <v>453</v>
      </c>
      <c r="S477" s="4" t="s">
        <v>462</v>
      </c>
      <c r="T477" s="24" t="n">
        <v>215</v>
      </c>
      <c r="U477" s="18" t="n">
        <v>2.9</v>
      </c>
      <c r="V477" s="24" t="n">
        <v>0.17</v>
      </c>
      <c r="W477" s="2" t="n">
        <v>0.2</v>
      </c>
      <c r="Y477" s="2" t="s">
        <v>454</v>
      </c>
      <c r="Z477" s="18"/>
      <c r="AA477" s="20" t="n">
        <v>244858</v>
      </c>
      <c r="AB477" s="20" t="n">
        <v>379434</v>
      </c>
      <c r="AC477" s="19" t="n">
        <f aca="false">(AB477-AA477)/AB477</f>
        <v>0.354675648465873</v>
      </c>
    </row>
    <row r="478" customFormat="false" ht="14.25" hidden="false" customHeight="true" outlineLevel="0" collapsed="false">
      <c r="A478" s="18" t="s">
        <v>449</v>
      </c>
      <c r="B478" s="18" t="s">
        <v>449</v>
      </c>
      <c r="C478" s="18" t="s">
        <v>31</v>
      </c>
      <c r="E478" s="2" t="n">
        <f aca="false">INDEX(FieldSites!F:F, MATCH(Ch2_FieldSurvey!B478,FieldSites!C:C,0))</f>
        <v>875</v>
      </c>
      <c r="F478" s="2" t="n">
        <f aca="false">INDEX(FieldSites!G:G, MATCH(Ch2_FieldSurvey!B478,FieldSites!C:C,0))</f>
        <v>-119.521415</v>
      </c>
      <c r="G478" s="2" t="n">
        <f aca="false">INDEX(FieldSites!H:H, MATCH(Ch2_FieldSurvey!B478,FieldSites!C:C,0))</f>
        <v>37.257397</v>
      </c>
      <c r="H478" s="18" t="n">
        <v>5</v>
      </c>
      <c r="I478" s="21" t="str">
        <f aca="false">CONCATENATE(B478,"_",C478,H478)</f>
        <v>NFWB_M. laciniatus5</v>
      </c>
      <c r="J478" s="22" t="n">
        <v>44693</v>
      </c>
      <c r="K478" s="23" t="n">
        <v>0.5</v>
      </c>
      <c r="L478" s="22" t="n">
        <v>44694</v>
      </c>
      <c r="M478" s="23" t="n">
        <v>0.436111111111111</v>
      </c>
      <c r="O478" s="1" t="s">
        <v>461</v>
      </c>
      <c r="P478" s="16" t="s">
        <v>451</v>
      </c>
      <c r="Q478" s="16" t="s">
        <v>452</v>
      </c>
      <c r="R478" s="16" t="s">
        <v>453</v>
      </c>
      <c r="S478" s="4" t="s">
        <v>462</v>
      </c>
      <c r="T478" s="24" t="n">
        <v>261</v>
      </c>
      <c r="U478" s="18" t="n">
        <v>2.7</v>
      </c>
      <c r="V478" s="24" t="n">
        <v>0.16</v>
      </c>
      <c r="W478" s="2" t="n">
        <v>0.2</v>
      </c>
      <c r="Y478" s="2" t="s">
        <v>454</v>
      </c>
      <c r="Z478" s="18"/>
      <c r="AA478" s="20"/>
      <c r="AB478" s="20"/>
      <c r="AC478" s="19" t="e">
        <f aca="false">(AB478-AA478)/AB478</f>
        <v>#DIV/0!</v>
      </c>
    </row>
    <row r="479" customFormat="false" ht="14.25" hidden="false" customHeight="true" outlineLevel="0" collapsed="false">
      <c r="A479" s="18" t="s">
        <v>449</v>
      </c>
      <c r="B479" s="18" t="s">
        <v>449</v>
      </c>
      <c r="C479" s="18" t="s">
        <v>31</v>
      </c>
      <c r="E479" s="2" t="n">
        <f aca="false">INDEX(FieldSites!F:F, MATCH(Ch2_FieldSurvey!B479,FieldSites!C:C,0))</f>
        <v>875</v>
      </c>
      <c r="F479" s="2" t="n">
        <f aca="false">INDEX(FieldSites!G:G, MATCH(Ch2_FieldSurvey!B479,FieldSites!C:C,0))</f>
        <v>-119.521415</v>
      </c>
      <c r="G479" s="2" t="n">
        <f aca="false">INDEX(FieldSites!H:H, MATCH(Ch2_FieldSurvey!B479,FieldSites!C:C,0))</f>
        <v>37.257397</v>
      </c>
      <c r="H479" s="18" t="n">
        <v>5</v>
      </c>
      <c r="I479" s="21" t="str">
        <f aca="false">CONCATENATE(B479,"_",C479,H479)</f>
        <v>NFWB_M. laciniatus5</v>
      </c>
      <c r="J479" s="22" t="n">
        <v>44693</v>
      </c>
      <c r="K479" s="23" t="n">
        <v>0.5</v>
      </c>
      <c r="L479" s="22" t="n">
        <v>44694</v>
      </c>
      <c r="M479" s="23" t="n">
        <v>0.436111111111111</v>
      </c>
      <c r="O479" s="1" t="s">
        <v>461</v>
      </c>
      <c r="P479" s="16" t="s">
        <v>451</v>
      </c>
      <c r="Q479" s="16" t="s">
        <v>452</v>
      </c>
      <c r="R479" s="16" t="s">
        <v>453</v>
      </c>
      <c r="S479" s="4" t="s">
        <v>462</v>
      </c>
      <c r="T479" s="24" t="n">
        <v>235</v>
      </c>
      <c r="U479" s="18" t="n">
        <v>2.2</v>
      </c>
      <c r="V479" s="24" t="n">
        <v>0.14</v>
      </c>
      <c r="W479" s="2" t="n">
        <v>0.1</v>
      </c>
      <c r="Y479" s="2" t="s">
        <v>454</v>
      </c>
      <c r="Z479" s="18"/>
      <c r="AA479" s="20"/>
      <c r="AB479" s="20"/>
      <c r="AC479" s="19" t="e">
        <f aca="false">(AB479-AA479)/AB479</f>
        <v>#DIV/0!</v>
      </c>
    </row>
    <row r="480" customFormat="false" ht="14.25" hidden="false" customHeight="true" outlineLevel="0" collapsed="false">
      <c r="A480" s="18" t="s">
        <v>449</v>
      </c>
      <c r="B480" s="18" t="s">
        <v>449</v>
      </c>
      <c r="C480" s="18" t="s">
        <v>31</v>
      </c>
      <c r="E480" s="2" t="n">
        <f aca="false">INDEX(FieldSites!F:F, MATCH(Ch2_FieldSurvey!B480,FieldSites!C:C,0))</f>
        <v>875</v>
      </c>
      <c r="F480" s="2" t="n">
        <f aca="false">INDEX(FieldSites!G:G, MATCH(Ch2_FieldSurvey!B480,FieldSites!C:C,0))</f>
        <v>-119.521415</v>
      </c>
      <c r="G480" s="2" t="n">
        <f aca="false">INDEX(FieldSites!H:H, MATCH(Ch2_FieldSurvey!B480,FieldSites!C:C,0))</f>
        <v>37.257397</v>
      </c>
      <c r="H480" s="18" t="n">
        <v>6</v>
      </c>
      <c r="I480" s="21" t="str">
        <f aca="false">CONCATENATE(B480,"_",C480,H480)</f>
        <v>NFWB_M. laciniatus6</v>
      </c>
      <c r="J480" s="22" t="n">
        <v>44693</v>
      </c>
      <c r="K480" s="23" t="n">
        <v>0.5</v>
      </c>
      <c r="L480" s="22" t="n">
        <v>44694</v>
      </c>
      <c r="M480" s="23" t="n">
        <v>0.439583333333333</v>
      </c>
      <c r="O480" s="1" t="s">
        <v>463</v>
      </c>
      <c r="P480" s="16" t="s">
        <v>451</v>
      </c>
      <c r="Q480" s="16" t="s">
        <v>452</v>
      </c>
      <c r="R480" s="16" t="s">
        <v>453</v>
      </c>
      <c r="S480" s="4" t="s">
        <v>464</v>
      </c>
      <c r="T480" s="24" t="n">
        <v>238</v>
      </c>
      <c r="U480" s="18" t="n">
        <v>2.7</v>
      </c>
      <c r="V480" s="24" t="n">
        <v>0.28</v>
      </c>
      <c r="W480" s="2" t="n">
        <v>0.4</v>
      </c>
      <c r="Y480" s="2" t="s">
        <v>454</v>
      </c>
      <c r="Z480" s="18"/>
      <c r="AA480" s="20" t="n">
        <v>307260</v>
      </c>
      <c r="AB480" s="20" t="n">
        <v>436710</v>
      </c>
      <c r="AC480" s="19" t="n">
        <f aca="false">(AB480-AA480)/AB480</f>
        <v>0.29642096585835</v>
      </c>
    </row>
    <row r="481" customFormat="false" ht="14.25" hidden="false" customHeight="true" outlineLevel="0" collapsed="false">
      <c r="A481" s="18" t="s">
        <v>449</v>
      </c>
      <c r="B481" s="18" t="s">
        <v>449</v>
      </c>
      <c r="C481" s="18" t="s">
        <v>31</v>
      </c>
      <c r="E481" s="2" t="n">
        <f aca="false">INDEX(FieldSites!F:F, MATCH(Ch2_FieldSurvey!B481,FieldSites!C:C,0))</f>
        <v>875</v>
      </c>
      <c r="F481" s="2" t="n">
        <f aca="false">INDEX(FieldSites!G:G, MATCH(Ch2_FieldSurvey!B481,FieldSites!C:C,0))</f>
        <v>-119.521415</v>
      </c>
      <c r="G481" s="2" t="n">
        <f aca="false">INDEX(FieldSites!H:H, MATCH(Ch2_FieldSurvey!B481,FieldSites!C:C,0))</f>
        <v>37.257397</v>
      </c>
      <c r="H481" s="18" t="n">
        <v>6</v>
      </c>
      <c r="I481" s="21" t="str">
        <f aca="false">CONCATENATE(B481,"_",C481,H481)</f>
        <v>NFWB_M. laciniatus6</v>
      </c>
      <c r="J481" s="22" t="n">
        <v>44693</v>
      </c>
      <c r="K481" s="23" t="n">
        <v>0.5</v>
      </c>
      <c r="L481" s="22" t="n">
        <v>44694</v>
      </c>
      <c r="M481" s="23" t="n">
        <v>0.439583333333333</v>
      </c>
      <c r="O481" s="1" t="s">
        <v>463</v>
      </c>
      <c r="P481" s="16" t="s">
        <v>451</v>
      </c>
      <c r="Q481" s="16" t="s">
        <v>452</v>
      </c>
      <c r="R481" s="16" t="s">
        <v>453</v>
      </c>
      <c r="S481" s="4" t="s">
        <v>464</v>
      </c>
      <c r="T481" s="24" t="n">
        <v>186</v>
      </c>
      <c r="U481" s="18" t="n">
        <v>3.3</v>
      </c>
      <c r="V481" s="24" t="n">
        <v>0.27</v>
      </c>
      <c r="W481" s="2" t="n">
        <v>0.4</v>
      </c>
      <c r="Y481" s="2" t="s">
        <v>454</v>
      </c>
      <c r="Z481" s="18"/>
      <c r="AA481" s="20"/>
      <c r="AB481" s="20"/>
      <c r="AC481" s="19" t="e">
        <f aca="false">(AB481-AA481)/AB481</f>
        <v>#DIV/0!</v>
      </c>
    </row>
    <row r="482" customFormat="false" ht="14.25" hidden="false" customHeight="true" outlineLevel="0" collapsed="false">
      <c r="A482" s="18" t="s">
        <v>449</v>
      </c>
      <c r="B482" s="18" t="s">
        <v>449</v>
      </c>
      <c r="C482" s="18" t="s">
        <v>31</v>
      </c>
      <c r="E482" s="2" t="n">
        <f aca="false">INDEX(FieldSites!F:F, MATCH(Ch2_FieldSurvey!B482,FieldSites!C:C,0))</f>
        <v>875</v>
      </c>
      <c r="F482" s="2" t="n">
        <f aca="false">INDEX(FieldSites!G:G, MATCH(Ch2_FieldSurvey!B482,FieldSites!C:C,0))</f>
        <v>-119.521415</v>
      </c>
      <c r="G482" s="2" t="n">
        <f aca="false">INDEX(FieldSites!H:H, MATCH(Ch2_FieldSurvey!B482,FieldSites!C:C,0))</f>
        <v>37.257397</v>
      </c>
      <c r="H482" s="18" t="n">
        <v>6</v>
      </c>
      <c r="I482" s="21" t="str">
        <f aca="false">CONCATENATE(B482,"_",C482,H482)</f>
        <v>NFWB_M. laciniatus6</v>
      </c>
      <c r="J482" s="22" t="n">
        <v>44693</v>
      </c>
      <c r="K482" s="23" t="n">
        <v>0.5</v>
      </c>
      <c r="L482" s="22" t="n">
        <v>44694</v>
      </c>
      <c r="M482" s="23" t="n">
        <v>0.439583333333333</v>
      </c>
      <c r="O482" s="1" t="s">
        <v>463</v>
      </c>
      <c r="P482" s="16" t="s">
        <v>451</v>
      </c>
      <c r="Q482" s="16" t="s">
        <v>452</v>
      </c>
      <c r="R482" s="16" t="s">
        <v>453</v>
      </c>
      <c r="S482" s="4" t="s">
        <v>464</v>
      </c>
      <c r="T482" s="24" t="n">
        <v>232</v>
      </c>
      <c r="U482" s="18" t="n">
        <v>2.5</v>
      </c>
      <c r="V482" s="24" t="n">
        <v>0.18</v>
      </c>
      <c r="W482" s="2" t="n">
        <v>0.3</v>
      </c>
      <c r="Y482" s="2" t="s">
        <v>454</v>
      </c>
      <c r="Z482" s="18"/>
      <c r="AA482" s="20"/>
      <c r="AB482" s="20"/>
      <c r="AC482" s="19" t="e">
        <f aca="false">(AB482-AA482)/AB482</f>
        <v>#DIV/0!</v>
      </c>
    </row>
    <row r="483" customFormat="false" ht="14.25" hidden="false" customHeight="true" outlineLevel="0" collapsed="false">
      <c r="A483" s="18" t="s">
        <v>449</v>
      </c>
      <c r="B483" s="18" t="s">
        <v>449</v>
      </c>
      <c r="C483" s="18" t="s">
        <v>31</v>
      </c>
      <c r="E483" s="2" t="n">
        <f aca="false">INDEX(FieldSites!F:F, MATCH(Ch2_FieldSurvey!B483,FieldSites!C:C,0))</f>
        <v>875</v>
      </c>
      <c r="F483" s="2" t="n">
        <f aca="false">INDEX(FieldSites!G:G, MATCH(Ch2_FieldSurvey!B483,FieldSites!C:C,0))</f>
        <v>-119.521415</v>
      </c>
      <c r="G483" s="2" t="n">
        <f aca="false">INDEX(FieldSites!H:H, MATCH(Ch2_FieldSurvey!B483,FieldSites!C:C,0))</f>
        <v>37.257397</v>
      </c>
      <c r="H483" s="18" t="n">
        <v>7</v>
      </c>
      <c r="I483" s="21" t="str">
        <f aca="false">CONCATENATE(B483,"_",C483,H483)</f>
        <v>NFWB_M. laciniatus7</v>
      </c>
      <c r="J483" s="22" t="n">
        <v>44693</v>
      </c>
      <c r="K483" s="23" t="n">
        <v>0.5</v>
      </c>
      <c r="L483" s="22" t="n">
        <v>44694</v>
      </c>
      <c r="M483" s="23" t="n">
        <v>0.442361111111111</v>
      </c>
      <c r="O483" s="1" t="s">
        <v>465</v>
      </c>
      <c r="P483" s="16" t="s">
        <v>451</v>
      </c>
      <c r="Q483" s="16" t="s">
        <v>452</v>
      </c>
      <c r="R483" s="16" t="s">
        <v>453</v>
      </c>
      <c r="S483" s="4" t="s">
        <v>409</v>
      </c>
      <c r="T483" s="24" t="n">
        <v>288</v>
      </c>
      <c r="U483" s="18" t="n">
        <v>2.4</v>
      </c>
      <c r="V483" s="24" t="n">
        <v>0.26</v>
      </c>
      <c r="W483" s="2" t="n">
        <v>0.4</v>
      </c>
      <c r="Y483" s="2" t="s">
        <v>454</v>
      </c>
      <c r="Z483" s="18"/>
      <c r="AA483" s="20" t="n">
        <v>102959</v>
      </c>
      <c r="AB483" s="20" t="n">
        <v>132772</v>
      </c>
      <c r="AC483" s="19" t="n">
        <f aca="false">(AB483-AA483)/AB483</f>
        <v>0.22454282529449</v>
      </c>
    </row>
    <row r="484" customFormat="false" ht="14.25" hidden="false" customHeight="true" outlineLevel="0" collapsed="false">
      <c r="A484" s="18" t="s">
        <v>449</v>
      </c>
      <c r="B484" s="18" t="s">
        <v>449</v>
      </c>
      <c r="C484" s="18" t="s">
        <v>31</v>
      </c>
      <c r="E484" s="2" t="n">
        <f aca="false">INDEX(FieldSites!F:F, MATCH(Ch2_FieldSurvey!B484,FieldSites!C:C,0))</f>
        <v>875</v>
      </c>
      <c r="F484" s="2" t="n">
        <f aca="false">INDEX(FieldSites!G:G, MATCH(Ch2_FieldSurvey!B484,FieldSites!C:C,0))</f>
        <v>-119.521415</v>
      </c>
      <c r="G484" s="2" t="n">
        <f aca="false">INDEX(FieldSites!H:H, MATCH(Ch2_FieldSurvey!B484,FieldSites!C:C,0))</f>
        <v>37.257397</v>
      </c>
      <c r="H484" s="18" t="n">
        <v>7</v>
      </c>
      <c r="I484" s="21" t="str">
        <f aca="false">CONCATENATE(B484,"_",C484,H484)</f>
        <v>NFWB_M. laciniatus7</v>
      </c>
      <c r="J484" s="22" t="n">
        <v>44693</v>
      </c>
      <c r="K484" s="23" t="n">
        <v>0.5</v>
      </c>
      <c r="L484" s="22" t="n">
        <v>44694</v>
      </c>
      <c r="M484" s="23" t="n">
        <v>0.442361111111111</v>
      </c>
      <c r="O484" s="1" t="s">
        <v>465</v>
      </c>
      <c r="P484" s="16" t="s">
        <v>451</v>
      </c>
      <c r="Q484" s="16" t="s">
        <v>452</v>
      </c>
      <c r="R484" s="16" t="s">
        <v>453</v>
      </c>
      <c r="S484" s="4" t="s">
        <v>409</v>
      </c>
      <c r="T484" s="24" t="n">
        <v>315</v>
      </c>
      <c r="U484" s="18" t="n">
        <v>3</v>
      </c>
      <c r="V484" s="24" t="n">
        <v>0.26</v>
      </c>
      <c r="W484" s="2" t="n">
        <v>0.6</v>
      </c>
      <c r="Y484" s="2" t="s">
        <v>454</v>
      </c>
      <c r="Z484" s="18"/>
      <c r="AA484" s="20"/>
      <c r="AB484" s="20"/>
      <c r="AC484" s="19" t="e">
        <f aca="false">(AB484-AA484)/AB484</f>
        <v>#DIV/0!</v>
      </c>
    </row>
    <row r="485" customFormat="false" ht="14.25" hidden="false" customHeight="true" outlineLevel="0" collapsed="false">
      <c r="A485" s="18" t="s">
        <v>449</v>
      </c>
      <c r="B485" s="18" t="s">
        <v>449</v>
      </c>
      <c r="C485" s="18" t="s">
        <v>31</v>
      </c>
      <c r="E485" s="2" t="n">
        <f aca="false">INDEX(FieldSites!F:F, MATCH(Ch2_FieldSurvey!B485,FieldSites!C:C,0))</f>
        <v>875</v>
      </c>
      <c r="F485" s="2" t="n">
        <f aca="false">INDEX(FieldSites!G:G, MATCH(Ch2_FieldSurvey!B485,FieldSites!C:C,0))</f>
        <v>-119.521415</v>
      </c>
      <c r="G485" s="2" t="n">
        <f aca="false">INDEX(FieldSites!H:H, MATCH(Ch2_FieldSurvey!B485,FieldSites!C:C,0))</f>
        <v>37.257397</v>
      </c>
      <c r="H485" s="18" t="n">
        <v>7</v>
      </c>
      <c r="I485" s="21" t="str">
        <f aca="false">CONCATENATE(B485,"_",C485,H485)</f>
        <v>NFWB_M. laciniatus7</v>
      </c>
      <c r="J485" s="22" t="n">
        <v>44693</v>
      </c>
      <c r="K485" s="23" t="n">
        <v>0.5</v>
      </c>
      <c r="L485" s="22" t="n">
        <v>44694</v>
      </c>
      <c r="M485" s="23" t="n">
        <v>0.442361111111111</v>
      </c>
      <c r="O485" s="1" t="s">
        <v>465</v>
      </c>
      <c r="P485" s="16" t="s">
        <v>451</v>
      </c>
      <c r="Q485" s="16" t="s">
        <v>452</v>
      </c>
      <c r="R485" s="16" t="s">
        <v>453</v>
      </c>
      <c r="S485" s="4" t="s">
        <v>409</v>
      </c>
      <c r="T485" s="24" t="n">
        <v>293</v>
      </c>
      <c r="U485" s="18" t="n">
        <v>2.5</v>
      </c>
      <c r="V485" s="24" t="n">
        <v>0.29</v>
      </c>
      <c r="W485" s="2" t="n">
        <v>0.6</v>
      </c>
      <c r="Y485" s="2" t="s">
        <v>454</v>
      </c>
      <c r="Z485" s="18"/>
      <c r="AA485" s="20"/>
      <c r="AB485" s="20"/>
      <c r="AC485" s="19" t="e">
        <f aca="false">(AB485-AA485)/AB485</f>
        <v>#DIV/0!</v>
      </c>
    </row>
    <row r="486" customFormat="false" ht="14.25" hidden="false" customHeight="true" outlineLevel="0" collapsed="false">
      <c r="A486" s="18" t="s">
        <v>449</v>
      </c>
      <c r="B486" s="18" t="s">
        <v>449</v>
      </c>
      <c r="C486" s="18" t="s">
        <v>31</v>
      </c>
      <c r="E486" s="2" t="n">
        <f aca="false">INDEX(FieldSites!F:F, MATCH(Ch2_FieldSurvey!B486,FieldSites!C:C,0))</f>
        <v>875</v>
      </c>
      <c r="F486" s="2" t="n">
        <f aca="false">INDEX(FieldSites!G:G, MATCH(Ch2_FieldSurvey!B486,FieldSites!C:C,0))</f>
        <v>-119.521415</v>
      </c>
      <c r="G486" s="2" t="n">
        <f aca="false">INDEX(FieldSites!H:H, MATCH(Ch2_FieldSurvey!B486,FieldSites!C:C,0))</f>
        <v>37.257397</v>
      </c>
      <c r="H486" s="18" t="n">
        <v>8</v>
      </c>
      <c r="I486" s="21" t="str">
        <f aca="false">CONCATENATE(B486,"_",C486,H486)</f>
        <v>NFWB_M. laciniatus8</v>
      </c>
      <c r="J486" s="22" t="n">
        <v>44693</v>
      </c>
      <c r="K486" s="23" t="n">
        <v>0.5</v>
      </c>
      <c r="L486" s="22" t="n">
        <v>44694</v>
      </c>
      <c r="M486" s="23" t="n">
        <v>0.445138888888889</v>
      </c>
      <c r="O486" s="1" t="s">
        <v>466</v>
      </c>
      <c r="P486" s="16" t="s">
        <v>451</v>
      </c>
      <c r="Q486" s="16" t="s">
        <v>452</v>
      </c>
      <c r="R486" s="16" t="s">
        <v>453</v>
      </c>
      <c r="S486" s="4" t="s">
        <v>264</v>
      </c>
      <c r="T486" s="24" t="n">
        <v>292</v>
      </c>
      <c r="U486" s="18" t="n">
        <v>2.9</v>
      </c>
      <c r="V486" s="24" t="n">
        <v>0.18</v>
      </c>
      <c r="W486" s="2" t="n">
        <v>0.3</v>
      </c>
      <c r="Y486" s="2" t="s">
        <v>454</v>
      </c>
      <c r="Z486" s="18"/>
      <c r="AA486" s="20" t="n">
        <v>155694</v>
      </c>
      <c r="AB486" s="20" t="n">
        <v>204188</v>
      </c>
      <c r="AC486" s="19" t="n">
        <f aca="false">(AB486-AA486)/AB486</f>
        <v>0.237496816659157</v>
      </c>
    </row>
    <row r="487" customFormat="false" ht="14.25" hidden="false" customHeight="true" outlineLevel="0" collapsed="false">
      <c r="A487" s="18" t="s">
        <v>449</v>
      </c>
      <c r="B487" s="18" t="s">
        <v>449</v>
      </c>
      <c r="C487" s="18" t="s">
        <v>31</v>
      </c>
      <c r="E487" s="2" t="n">
        <f aca="false">INDEX(FieldSites!F:F, MATCH(Ch2_FieldSurvey!B487,FieldSites!C:C,0))</f>
        <v>875</v>
      </c>
      <c r="F487" s="2" t="n">
        <f aca="false">INDEX(FieldSites!G:G, MATCH(Ch2_FieldSurvey!B487,FieldSites!C:C,0))</f>
        <v>-119.521415</v>
      </c>
      <c r="G487" s="2" t="n">
        <f aca="false">INDEX(FieldSites!H:H, MATCH(Ch2_FieldSurvey!B487,FieldSites!C:C,0))</f>
        <v>37.257397</v>
      </c>
      <c r="H487" s="18" t="n">
        <v>8</v>
      </c>
      <c r="I487" s="21" t="str">
        <f aca="false">CONCATENATE(B487,"_",C487,H487)</f>
        <v>NFWB_M. laciniatus8</v>
      </c>
      <c r="J487" s="22" t="n">
        <v>44693</v>
      </c>
      <c r="K487" s="23" t="n">
        <v>0.5</v>
      </c>
      <c r="L487" s="22" t="n">
        <v>44694</v>
      </c>
      <c r="M487" s="23" t="n">
        <v>0.445138888888889</v>
      </c>
      <c r="O487" s="1" t="s">
        <v>466</v>
      </c>
      <c r="P487" s="16" t="s">
        <v>451</v>
      </c>
      <c r="Q487" s="16" t="s">
        <v>452</v>
      </c>
      <c r="R487" s="16" t="s">
        <v>453</v>
      </c>
      <c r="S487" s="4" t="s">
        <v>264</v>
      </c>
      <c r="T487" s="24" t="n">
        <v>268</v>
      </c>
      <c r="U487" s="18" t="n">
        <v>2.9</v>
      </c>
      <c r="V487" s="24" t="n">
        <v>0.25</v>
      </c>
      <c r="W487" s="2" t="n">
        <v>0.4</v>
      </c>
      <c r="Y487" s="2" t="s">
        <v>454</v>
      </c>
      <c r="Z487" s="18"/>
      <c r="AA487" s="20"/>
      <c r="AB487" s="20"/>
      <c r="AC487" s="19" t="e">
        <f aca="false">(AB487-AA487)/AB487</f>
        <v>#DIV/0!</v>
      </c>
    </row>
    <row r="488" customFormat="false" ht="14.25" hidden="false" customHeight="true" outlineLevel="0" collapsed="false">
      <c r="A488" s="18" t="s">
        <v>449</v>
      </c>
      <c r="B488" s="18" t="s">
        <v>449</v>
      </c>
      <c r="C488" s="18" t="s">
        <v>31</v>
      </c>
      <c r="E488" s="2" t="n">
        <f aca="false">INDEX(FieldSites!F:F, MATCH(Ch2_FieldSurvey!B488,FieldSites!C:C,0))</f>
        <v>875</v>
      </c>
      <c r="F488" s="2" t="n">
        <f aca="false">INDEX(FieldSites!G:G, MATCH(Ch2_FieldSurvey!B488,FieldSites!C:C,0))</f>
        <v>-119.521415</v>
      </c>
      <c r="G488" s="2" t="n">
        <f aca="false">INDEX(FieldSites!H:H, MATCH(Ch2_FieldSurvey!B488,FieldSites!C:C,0))</f>
        <v>37.257397</v>
      </c>
      <c r="H488" s="18" t="n">
        <v>8</v>
      </c>
      <c r="I488" s="21" t="str">
        <f aca="false">CONCATENATE(B488,"_",C488,H488)</f>
        <v>NFWB_M. laciniatus8</v>
      </c>
      <c r="J488" s="22" t="n">
        <v>44693</v>
      </c>
      <c r="K488" s="23" t="n">
        <v>0.5</v>
      </c>
      <c r="L488" s="22" t="n">
        <v>44694</v>
      </c>
      <c r="M488" s="23" t="n">
        <v>0.445138888888889</v>
      </c>
      <c r="O488" s="1" t="s">
        <v>466</v>
      </c>
      <c r="P488" s="16" t="s">
        <v>451</v>
      </c>
      <c r="Q488" s="16" t="s">
        <v>452</v>
      </c>
      <c r="R488" s="16" t="s">
        <v>453</v>
      </c>
      <c r="S488" s="4" t="s">
        <v>264</v>
      </c>
      <c r="T488" s="24" t="n">
        <v>295</v>
      </c>
      <c r="U488" s="18" t="n">
        <v>3</v>
      </c>
      <c r="V488" s="24" t="n">
        <v>0.36</v>
      </c>
      <c r="W488" s="2" t="n">
        <v>0.4</v>
      </c>
      <c r="Y488" s="2" t="s">
        <v>454</v>
      </c>
      <c r="Z488" s="18"/>
      <c r="AA488" s="20"/>
      <c r="AB488" s="20"/>
      <c r="AC488" s="19" t="e">
        <f aca="false">(AB488-AA488)/AB488</f>
        <v>#DIV/0!</v>
      </c>
    </row>
    <row r="489" customFormat="false" ht="14.25" hidden="false" customHeight="true" outlineLevel="0" collapsed="false">
      <c r="A489" s="18" t="s">
        <v>449</v>
      </c>
      <c r="B489" s="18" t="s">
        <v>449</v>
      </c>
      <c r="C489" s="18" t="s">
        <v>31</v>
      </c>
      <c r="E489" s="2" t="n">
        <f aca="false">INDEX(FieldSites!F:F, MATCH(Ch2_FieldSurvey!B489,FieldSites!C:C,0))</f>
        <v>875</v>
      </c>
      <c r="F489" s="2" t="n">
        <f aca="false">INDEX(FieldSites!G:G, MATCH(Ch2_FieldSurvey!B489,FieldSites!C:C,0))</f>
        <v>-119.521415</v>
      </c>
      <c r="G489" s="2" t="n">
        <f aca="false">INDEX(FieldSites!H:H, MATCH(Ch2_FieldSurvey!B489,FieldSites!C:C,0))</f>
        <v>37.257397</v>
      </c>
      <c r="H489" s="18" t="n">
        <v>9</v>
      </c>
      <c r="I489" s="21" t="str">
        <f aca="false">CONCATENATE(B489,"_",C489,H489)</f>
        <v>NFWB_M. laciniatus9</v>
      </c>
      <c r="J489" s="22" t="n">
        <v>44693</v>
      </c>
      <c r="K489" s="23" t="n">
        <v>0.5</v>
      </c>
      <c r="L489" s="22" t="n">
        <v>44694</v>
      </c>
      <c r="M489" s="23" t="n">
        <v>0.448611111111111</v>
      </c>
      <c r="O489" s="1" t="s">
        <v>467</v>
      </c>
      <c r="P489" s="16" t="s">
        <v>451</v>
      </c>
      <c r="Q489" s="16" t="s">
        <v>452</v>
      </c>
      <c r="R489" s="16" t="s">
        <v>453</v>
      </c>
      <c r="S489" s="4" t="s">
        <v>468</v>
      </c>
      <c r="T489" s="24" t="n">
        <v>219</v>
      </c>
      <c r="U489" s="18" t="n">
        <v>2.9</v>
      </c>
      <c r="V489" s="24" t="n">
        <v>0.12</v>
      </c>
      <c r="W489" s="2" t="n">
        <v>0.3</v>
      </c>
      <c r="Y489" s="2" t="s">
        <v>454</v>
      </c>
      <c r="Z489" s="18"/>
      <c r="AA489" s="20" t="n">
        <v>226207</v>
      </c>
      <c r="AB489" s="20" t="n">
        <v>343130</v>
      </c>
      <c r="AC489" s="19" t="n">
        <f aca="false">(AB489-AA489)/AB489</f>
        <v>0.3407542330895</v>
      </c>
    </row>
    <row r="490" customFormat="false" ht="14.25" hidden="false" customHeight="true" outlineLevel="0" collapsed="false">
      <c r="A490" s="18" t="s">
        <v>449</v>
      </c>
      <c r="B490" s="18" t="s">
        <v>449</v>
      </c>
      <c r="C490" s="18" t="s">
        <v>31</v>
      </c>
      <c r="E490" s="2" t="n">
        <f aca="false">INDEX(FieldSites!F:F, MATCH(Ch2_FieldSurvey!B490,FieldSites!C:C,0))</f>
        <v>875</v>
      </c>
      <c r="F490" s="2" t="n">
        <f aca="false">INDEX(FieldSites!G:G, MATCH(Ch2_FieldSurvey!B490,FieldSites!C:C,0))</f>
        <v>-119.521415</v>
      </c>
      <c r="G490" s="2" t="n">
        <f aca="false">INDEX(FieldSites!H:H, MATCH(Ch2_FieldSurvey!B490,FieldSites!C:C,0))</f>
        <v>37.257397</v>
      </c>
      <c r="H490" s="18" t="n">
        <v>9</v>
      </c>
      <c r="I490" s="21" t="str">
        <f aca="false">CONCATENATE(B490,"_",C490,H490)</f>
        <v>NFWB_M. laciniatus9</v>
      </c>
      <c r="J490" s="22" t="n">
        <v>44693</v>
      </c>
      <c r="K490" s="23" t="n">
        <v>0.5</v>
      </c>
      <c r="L490" s="22" t="n">
        <v>44694</v>
      </c>
      <c r="M490" s="23" t="n">
        <v>0.448611111111111</v>
      </c>
      <c r="O490" s="1" t="s">
        <v>467</v>
      </c>
      <c r="P490" s="16" t="s">
        <v>451</v>
      </c>
      <c r="Q490" s="16" t="s">
        <v>452</v>
      </c>
      <c r="R490" s="16" t="s">
        <v>453</v>
      </c>
      <c r="S490" s="4" t="s">
        <v>468</v>
      </c>
      <c r="T490" s="24" t="n">
        <v>305</v>
      </c>
      <c r="U490" s="18" t="n">
        <v>2.4</v>
      </c>
      <c r="V490" s="24" t="n">
        <v>0.15</v>
      </c>
      <c r="W490" s="2" t="n">
        <v>0.1</v>
      </c>
      <c r="Y490" s="2" t="s">
        <v>454</v>
      </c>
      <c r="Z490" s="18"/>
      <c r="AA490" s="20"/>
      <c r="AB490" s="20"/>
      <c r="AC490" s="19" t="e">
        <f aca="false">(AB490-AA490)/AB490</f>
        <v>#DIV/0!</v>
      </c>
    </row>
    <row r="491" customFormat="false" ht="14.25" hidden="false" customHeight="true" outlineLevel="0" collapsed="false">
      <c r="A491" s="18" t="s">
        <v>449</v>
      </c>
      <c r="B491" s="18" t="s">
        <v>449</v>
      </c>
      <c r="C491" s="18" t="s">
        <v>31</v>
      </c>
      <c r="E491" s="2" t="n">
        <f aca="false">INDEX(FieldSites!F:F, MATCH(Ch2_FieldSurvey!B491,FieldSites!C:C,0))</f>
        <v>875</v>
      </c>
      <c r="F491" s="2" t="n">
        <f aca="false">INDEX(FieldSites!G:G, MATCH(Ch2_FieldSurvey!B491,FieldSites!C:C,0))</f>
        <v>-119.521415</v>
      </c>
      <c r="G491" s="2" t="n">
        <f aca="false">INDEX(FieldSites!H:H, MATCH(Ch2_FieldSurvey!B491,FieldSites!C:C,0))</f>
        <v>37.257397</v>
      </c>
      <c r="H491" s="18" t="n">
        <v>9</v>
      </c>
      <c r="I491" s="21" t="str">
        <f aca="false">CONCATENATE(B491,"_",C491,H491)</f>
        <v>NFWB_M. laciniatus9</v>
      </c>
      <c r="J491" s="22" t="n">
        <v>44693</v>
      </c>
      <c r="K491" s="23" t="n">
        <v>0.5</v>
      </c>
      <c r="L491" s="22" t="n">
        <v>44694</v>
      </c>
      <c r="M491" s="23" t="n">
        <v>0.448611111111111</v>
      </c>
      <c r="O491" s="1" t="s">
        <v>467</v>
      </c>
      <c r="P491" s="16" t="s">
        <v>451</v>
      </c>
      <c r="Q491" s="16" t="s">
        <v>452</v>
      </c>
      <c r="R491" s="16" t="s">
        <v>453</v>
      </c>
      <c r="S491" s="4" t="s">
        <v>468</v>
      </c>
      <c r="T491" s="24" t="n">
        <v>230</v>
      </c>
      <c r="U491" s="18" t="n">
        <v>3.5</v>
      </c>
      <c r="V491" s="24" t="n">
        <v>0.14</v>
      </c>
      <c r="W491" s="2" t="n">
        <v>0.3</v>
      </c>
      <c r="Y491" s="2" t="s">
        <v>454</v>
      </c>
      <c r="Z491" s="18"/>
      <c r="AA491" s="20"/>
      <c r="AB491" s="20"/>
      <c r="AC491" s="19" t="e">
        <f aca="false">(AB491-AA491)/AB491</f>
        <v>#DIV/0!</v>
      </c>
    </row>
    <row r="492" customFormat="false" ht="14.25" hidden="false" customHeight="true" outlineLevel="0" collapsed="false">
      <c r="A492" s="18" t="s">
        <v>449</v>
      </c>
      <c r="B492" s="18" t="s">
        <v>449</v>
      </c>
      <c r="C492" s="18" t="s">
        <v>31</v>
      </c>
      <c r="E492" s="2" t="n">
        <f aca="false">INDEX(FieldSites!F:F, MATCH(Ch2_FieldSurvey!B492,FieldSites!C:C,0))</f>
        <v>875</v>
      </c>
      <c r="F492" s="2" t="n">
        <f aca="false">INDEX(FieldSites!G:G, MATCH(Ch2_FieldSurvey!B492,FieldSites!C:C,0))</f>
        <v>-119.521415</v>
      </c>
      <c r="G492" s="2" t="n">
        <f aca="false">INDEX(FieldSites!H:H, MATCH(Ch2_FieldSurvey!B492,FieldSites!C:C,0))</f>
        <v>37.257397</v>
      </c>
      <c r="H492" s="18" t="n">
        <v>10</v>
      </c>
      <c r="I492" s="21" t="str">
        <f aca="false">CONCATENATE(B492,"_",C492,H492)</f>
        <v>NFWB_M. laciniatus10</v>
      </c>
      <c r="J492" s="22" t="n">
        <v>44693</v>
      </c>
      <c r="K492" s="23" t="n">
        <v>0.5</v>
      </c>
      <c r="L492" s="22" t="n">
        <v>44694</v>
      </c>
      <c r="M492" s="23" t="n">
        <v>0.451388888888889</v>
      </c>
      <c r="O492" s="1" t="s">
        <v>469</v>
      </c>
      <c r="P492" s="16" t="s">
        <v>451</v>
      </c>
      <c r="Q492" s="16" t="s">
        <v>452</v>
      </c>
      <c r="R492" s="16" t="s">
        <v>453</v>
      </c>
      <c r="S492" s="4" t="s">
        <v>305</v>
      </c>
      <c r="T492" s="24" t="n">
        <v>267</v>
      </c>
      <c r="U492" s="18" t="n">
        <v>2.8</v>
      </c>
      <c r="V492" s="24" t="n">
        <v>0.15</v>
      </c>
      <c r="W492" s="2" t="n">
        <v>0.1</v>
      </c>
      <c r="Y492" s="2" t="s">
        <v>454</v>
      </c>
      <c r="Z492" s="18"/>
      <c r="AA492" s="20" t="n">
        <v>314094</v>
      </c>
      <c r="AB492" s="20" t="n">
        <v>476970</v>
      </c>
      <c r="AC492" s="19" t="n">
        <f aca="false">(AB492-AA492)/AB492</f>
        <v>0.341480596263916</v>
      </c>
    </row>
    <row r="493" customFormat="false" ht="14.25" hidden="false" customHeight="true" outlineLevel="0" collapsed="false">
      <c r="A493" s="18" t="s">
        <v>449</v>
      </c>
      <c r="B493" s="18" t="s">
        <v>449</v>
      </c>
      <c r="C493" s="18" t="s">
        <v>31</v>
      </c>
      <c r="E493" s="2" t="n">
        <f aca="false">INDEX(FieldSites!F:F, MATCH(Ch2_FieldSurvey!B493,FieldSites!C:C,0))</f>
        <v>875</v>
      </c>
      <c r="F493" s="2" t="n">
        <f aca="false">INDEX(FieldSites!G:G, MATCH(Ch2_FieldSurvey!B493,FieldSites!C:C,0))</f>
        <v>-119.521415</v>
      </c>
      <c r="G493" s="2" t="n">
        <f aca="false">INDEX(FieldSites!H:H, MATCH(Ch2_FieldSurvey!B493,FieldSites!C:C,0))</f>
        <v>37.257397</v>
      </c>
      <c r="H493" s="18" t="n">
        <v>10</v>
      </c>
      <c r="I493" s="21" t="str">
        <f aca="false">CONCATENATE(B493,"_",C493,H493)</f>
        <v>NFWB_M. laciniatus10</v>
      </c>
      <c r="J493" s="22" t="n">
        <v>44693</v>
      </c>
      <c r="K493" s="23" t="n">
        <v>0.5</v>
      </c>
      <c r="L493" s="22" t="n">
        <v>44694</v>
      </c>
      <c r="M493" s="23" t="n">
        <v>0.451388888888889</v>
      </c>
      <c r="O493" s="1" t="s">
        <v>469</v>
      </c>
      <c r="P493" s="16" t="s">
        <v>451</v>
      </c>
      <c r="Q493" s="16" t="s">
        <v>452</v>
      </c>
      <c r="R493" s="16" t="s">
        <v>453</v>
      </c>
      <c r="S493" s="4" t="s">
        <v>305</v>
      </c>
      <c r="T493" s="24" t="n">
        <v>254</v>
      </c>
      <c r="U493" s="18" t="n">
        <v>2.5</v>
      </c>
      <c r="V493" s="24" t="n">
        <v>0.16</v>
      </c>
      <c r="W493" s="2" t="n">
        <v>0.2</v>
      </c>
      <c r="Y493" s="2" t="s">
        <v>454</v>
      </c>
      <c r="Z493" s="18"/>
      <c r="AA493" s="20"/>
      <c r="AB493" s="20"/>
      <c r="AC493" s="19" t="e">
        <f aca="false">(AB493-AA493)/AB493</f>
        <v>#DIV/0!</v>
      </c>
    </row>
    <row r="494" customFormat="false" ht="14.25" hidden="false" customHeight="true" outlineLevel="0" collapsed="false">
      <c r="A494" s="18" t="s">
        <v>449</v>
      </c>
      <c r="B494" s="18" t="s">
        <v>449</v>
      </c>
      <c r="C494" s="18" t="s">
        <v>31</v>
      </c>
      <c r="E494" s="2" t="n">
        <f aca="false">INDEX(FieldSites!F:F, MATCH(Ch2_FieldSurvey!B494,FieldSites!C:C,0))</f>
        <v>875</v>
      </c>
      <c r="F494" s="2" t="n">
        <f aca="false">INDEX(FieldSites!G:G, MATCH(Ch2_FieldSurvey!B494,FieldSites!C:C,0))</f>
        <v>-119.521415</v>
      </c>
      <c r="G494" s="2" t="n">
        <f aca="false">INDEX(FieldSites!H:H, MATCH(Ch2_FieldSurvey!B494,FieldSites!C:C,0))</f>
        <v>37.257397</v>
      </c>
      <c r="H494" s="18" t="n">
        <v>10</v>
      </c>
      <c r="I494" s="21" t="str">
        <f aca="false">CONCATENATE(B494,"_",C494,H494)</f>
        <v>NFWB_M. laciniatus10</v>
      </c>
      <c r="J494" s="22" t="n">
        <v>44693</v>
      </c>
      <c r="K494" s="23" t="n">
        <v>0.5</v>
      </c>
      <c r="L494" s="22" t="n">
        <v>44694</v>
      </c>
      <c r="M494" s="23" t="n">
        <v>0.451388888888889</v>
      </c>
      <c r="O494" s="1" t="s">
        <v>469</v>
      </c>
      <c r="P494" s="16" t="s">
        <v>451</v>
      </c>
      <c r="Q494" s="16" t="s">
        <v>452</v>
      </c>
      <c r="R494" s="16" t="s">
        <v>453</v>
      </c>
      <c r="S494" s="4" t="s">
        <v>305</v>
      </c>
      <c r="T494" s="24" t="n">
        <v>240</v>
      </c>
      <c r="U494" s="18" t="n">
        <v>2.7</v>
      </c>
      <c r="V494" s="24" t="n">
        <v>0.13</v>
      </c>
      <c r="W494" s="2" t="n">
        <v>0.2</v>
      </c>
      <c r="Y494" s="2" t="s">
        <v>454</v>
      </c>
      <c r="Z494" s="18"/>
      <c r="AA494" s="20"/>
      <c r="AB494" s="20"/>
      <c r="AC494" s="19" t="e">
        <f aca="false">(AB494-AA494)/AB494</f>
        <v>#DIV/0!</v>
      </c>
    </row>
    <row r="495" customFormat="false" ht="14.25" hidden="false" customHeight="true" outlineLevel="0" collapsed="false">
      <c r="A495" s="18" t="s">
        <v>449</v>
      </c>
      <c r="B495" s="18" t="s">
        <v>449</v>
      </c>
      <c r="C495" s="18" t="s">
        <v>159</v>
      </c>
      <c r="E495" s="2" t="n">
        <f aca="false">INDEX(FieldSites!F:F, MATCH(Ch2_FieldSurvey!B495,FieldSites!C:C,0))</f>
        <v>875</v>
      </c>
      <c r="F495" s="2" t="n">
        <f aca="false">INDEX(FieldSites!G:G, MATCH(Ch2_FieldSurvey!B495,FieldSites!C:C,0))</f>
        <v>-119.521415</v>
      </c>
      <c r="G495" s="2" t="n">
        <f aca="false">INDEX(FieldSites!H:H, MATCH(Ch2_FieldSurvey!B495,FieldSites!C:C,0))</f>
        <v>37.257397</v>
      </c>
      <c r="H495" s="18" t="n">
        <v>1</v>
      </c>
      <c r="I495" s="21" t="str">
        <f aca="false">CONCATENATE(B495,"_",C495,H495)</f>
        <v>NFWB_M. nasutus1</v>
      </c>
      <c r="J495" s="22" t="n">
        <v>44693</v>
      </c>
      <c r="K495" s="23" t="n">
        <v>0.5</v>
      </c>
      <c r="L495" s="22" t="n">
        <v>44694</v>
      </c>
      <c r="M495" s="23" t="n">
        <v>0.463194444444444</v>
      </c>
      <c r="O495" s="1" t="s">
        <v>470</v>
      </c>
      <c r="P495" s="16" t="s">
        <v>451</v>
      </c>
      <c r="Q495" s="16" t="s">
        <v>452</v>
      </c>
      <c r="R495" s="16" t="s">
        <v>453</v>
      </c>
      <c r="S495" s="4" t="s">
        <v>471</v>
      </c>
      <c r="T495" s="24" t="n">
        <v>182</v>
      </c>
      <c r="U495" s="18" t="n">
        <v>2.1</v>
      </c>
      <c r="V495" s="24" t="n">
        <v>0.14</v>
      </c>
      <c r="W495" s="2" t="n">
        <v>0.2</v>
      </c>
      <c r="Y495" s="2" t="s">
        <v>472</v>
      </c>
      <c r="Z495" s="18" t="s">
        <v>473</v>
      </c>
      <c r="AA495" s="20" t="n">
        <v>384743</v>
      </c>
      <c r="AB495" s="20" t="n">
        <v>401506</v>
      </c>
      <c r="AC495" s="19" t="n">
        <f aca="false">(AB495-AA495)/AB495</f>
        <v>0.0417503100825392</v>
      </c>
    </row>
    <row r="496" customFormat="false" ht="14.25" hidden="false" customHeight="true" outlineLevel="0" collapsed="false">
      <c r="A496" s="18" t="s">
        <v>449</v>
      </c>
      <c r="B496" s="18" t="s">
        <v>449</v>
      </c>
      <c r="C496" s="18" t="s">
        <v>159</v>
      </c>
      <c r="E496" s="2" t="n">
        <f aca="false">INDEX(FieldSites!F:F, MATCH(Ch2_FieldSurvey!B496,FieldSites!C:C,0))</f>
        <v>875</v>
      </c>
      <c r="F496" s="2" t="n">
        <f aca="false">INDEX(FieldSites!G:G, MATCH(Ch2_FieldSurvey!B496,FieldSites!C:C,0))</f>
        <v>-119.521415</v>
      </c>
      <c r="G496" s="2" t="n">
        <f aca="false">INDEX(FieldSites!H:H, MATCH(Ch2_FieldSurvey!B496,FieldSites!C:C,0))</f>
        <v>37.257397</v>
      </c>
      <c r="H496" s="18" t="n">
        <v>1</v>
      </c>
      <c r="I496" s="21" t="str">
        <f aca="false">CONCATENATE(B496,"_",C496,H496)</f>
        <v>NFWB_M. nasutus1</v>
      </c>
      <c r="J496" s="22" t="n">
        <v>44693</v>
      </c>
      <c r="K496" s="23" t="n">
        <v>0.5</v>
      </c>
      <c r="L496" s="22" t="n">
        <v>44694</v>
      </c>
      <c r="M496" s="23" t="n">
        <v>0.463194444444444</v>
      </c>
      <c r="O496" s="1" t="s">
        <v>470</v>
      </c>
      <c r="P496" s="16" t="s">
        <v>451</v>
      </c>
      <c r="Q496" s="16" t="s">
        <v>452</v>
      </c>
      <c r="R496" s="16" t="s">
        <v>453</v>
      </c>
      <c r="S496" s="4" t="s">
        <v>471</v>
      </c>
      <c r="T496" s="24" t="n">
        <v>155</v>
      </c>
      <c r="U496" s="18" t="n">
        <v>2.1</v>
      </c>
      <c r="V496" s="24" t="n">
        <v>0.15</v>
      </c>
      <c r="W496" s="2" t="n">
        <v>0.2</v>
      </c>
      <c r="Y496" s="2" t="s">
        <v>472</v>
      </c>
      <c r="Z496" s="18" t="s">
        <v>473</v>
      </c>
      <c r="AA496" s="20"/>
      <c r="AB496" s="20"/>
      <c r="AC496" s="19" t="e">
        <f aca="false">(AB496-AA496)/AB496</f>
        <v>#DIV/0!</v>
      </c>
    </row>
    <row r="497" customFormat="false" ht="14.25" hidden="false" customHeight="true" outlineLevel="0" collapsed="false">
      <c r="A497" s="18" t="s">
        <v>449</v>
      </c>
      <c r="B497" s="18" t="s">
        <v>449</v>
      </c>
      <c r="C497" s="18" t="s">
        <v>159</v>
      </c>
      <c r="E497" s="2" t="n">
        <f aca="false">INDEX(FieldSites!F:F, MATCH(Ch2_FieldSurvey!B497,FieldSites!C:C,0))</f>
        <v>875</v>
      </c>
      <c r="F497" s="2" t="n">
        <f aca="false">INDEX(FieldSites!G:G, MATCH(Ch2_FieldSurvey!B497,FieldSites!C:C,0))</f>
        <v>-119.521415</v>
      </c>
      <c r="G497" s="2" t="n">
        <f aca="false">INDEX(FieldSites!H:H, MATCH(Ch2_FieldSurvey!B497,FieldSites!C:C,0))</f>
        <v>37.257397</v>
      </c>
      <c r="H497" s="18" t="n">
        <v>1</v>
      </c>
      <c r="I497" s="21" t="str">
        <f aca="false">CONCATENATE(B497,"_",C497,H497)</f>
        <v>NFWB_M. nasutus1</v>
      </c>
      <c r="J497" s="22" t="n">
        <v>44693</v>
      </c>
      <c r="K497" s="23" t="n">
        <v>0.5</v>
      </c>
      <c r="L497" s="22" t="n">
        <v>44694</v>
      </c>
      <c r="M497" s="23" t="n">
        <v>0.463194444444444</v>
      </c>
      <c r="O497" s="1" t="s">
        <v>470</v>
      </c>
      <c r="P497" s="16" t="s">
        <v>451</v>
      </c>
      <c r="Q497" s="16" t="s">
        <v>452</v>
      </c>
      <c r="R497" s="16" t="s">
        <v>453</v>
      </c>
      <c r="S497" s="4" t="s">
        <v>471</v>
      </c>
      <c r="T497" s="24" t="n">
        <v>173</v>
      </c>
      <c r="U497" s="18" t="n">
        <v>1.9</v>
      </c>
      <c r="V497" s="24" t="n">
        <v>0.16</v>
      </c>
      <c r="W497" s="2" t="n">
        <v>0.1</v>
      </c>
      <c r="Y497" s="2" t="s">
        <v>472</v>
      </c>
      <c r="Z497" s="18" t="s">
        <v>473</v>
      </c>
      <c r="AA497" s="20"/>
      <c r="AB497" s="20"/>
      <c r="AC497" s="19" t="e">
        <f aca="false">(AB497-AA497)/AB497</f>
        <v>#DIV/0!</v>
      </c>
    </row>
    <row r="498" customFormat="false" ht="14.25" hidden="false" customHeight="true" outlineLevel="0" collapsed="false">
      <c r="A498" s="18" t="s">
        <v>449</v>
      </c>
      <c r="B498" s="18" t="s">
        <v>449</v>
      </c>
      <c r="C498" s="18" t="s">
        <v>159</v>
      </c>
      <c r="E498" s="2" t="n">
        <f aca="false">INDEX(FieldSites!F:F, MATCH(Ch2_FieldSurvey!B498,FieldSites!C:C,0))</f>
        <v>875</v>
      </c>
      <c r="F498" s="2" t="n">
        <f aca="false">INDEX(FieldSites!G:G, MATCH(Ch2_FieldSurvey!B498,FieldSites!C:C,0))</f>
        <v>-119.521415</v>
      </c>
      <c r="G498" s="2" t="n">
        <f aca="false">INDEX(FieldSites!H:H, MATCH(Ch2_FieldSurvey!B498,FieldSites!C:C,0))</f>
        <v>37.257397</v>
      </c>
      <c r="H498" s="18" t="n">
        <v>2</v>
      </c>
      <c r="I498" s="21" t="str">
        <f aca="false">CONCATENATE(B498,"_",C498,H498)</f>
        <v>NFWB_M. nasutus2</v>
      </c>
      <c r="J498" s="22" t="n">
        <v>44693</v>
      </c>
      <c r="K498" s="23" t="n">
        <v>0.5</v>
      </c>
      <c r="L498" s="22" t="n">
        <v>44694</v>
      </c>
      <c r="M498" s="23" t="n">
        <v>0.466666666666667</v>
      </c>
      <c r="O498" s="1" t="s">
        <v>474</v>
      </c>
      <c r="P498" s="16" t="s">
        <v>451</v>
      </c>
      <c r="Q498" s="16" t="s">
        <v>452</v>
      </c>
      <c r="R498" s="16" t="s">
        <v>453</v>
      </c>
      <c r="S498" s="4" t="s">
        <v>475</v>
      </c>
      <c r="T498" s="24" t="n">
        <v>240</v>
      </c>
      <c r="U498" s="18" t="n">
        <v>2.3</v>
      </c>
      <c r="V498" s="24" t="n">
        <v>0.13</v>
      </c>
      <c r="W498" s="2" t="n">
        <v>0.1</v>
      </c>
      <c r="Y498" s="2" t="s">
        <v>472</v>
      </c>
      <c r="Z498" s="18" t="s">
        <v>473</v>
      </c>
      <c r="AA498" s="20" t="n">
        <v>454339</v>
      </c>
      <c r="AB498" s="20" t="n">
        <v>488024</v>
      </c>
      <c r="AC498" s="19" t="n">
        <f aca="false">(AB498-AA498)/AB498</f>
        <v>0.0690232447584545</v>
      </c>
    </row>
    <row r="499" customFormat="false" ht="14.25" hidden="false" customHeight="true" outlineLevel="0" collapsed="false">
      <c r="A499" s="18" t="s">
        <v>449</v>
      </c>
      <c r="B499" s="18" t="s">
        <v>449</v>
      </c>
      <c r="C499" s="18" t="s">
        <v>159</v>
      </c>
      <c r="E499" s="2" t="n">
        <f aca="false">INDEX(FieldSites!F:F, MATCH(Ch2_FieldSurvey!B499,FieldSites!C:C,0))</f>
        <v>875</v>
      </c>
      <c r="F499" s="2" t="n">
        <f aca="false">INDEX(FieldSites!G:G, MATCH(Ch2_FieldSurvey!B499,FieldSites!C:C,0))</f>
        <v>-119.521415</v>
      </c>
      <c r="G499" s="2" t="n">
        <f aca="false">INDEX(FieldSites!H:H, MATCH(Ch2_FieldSurvey!B499,FieldSites!C:C,0))</f>
        <v>37.257397</v>
      </c>
      <c r="H499" s="18" t="n">
        <v>2</v>
      </c>
      <c r="I499" s="21" t="str">
        <f aca="false">CONCATENATE(B499,"_",C499,H499)</f>
        <v>NFWB_M. nasutus2</v>
      </c>
      <c r="J499" s="22" t="n">
        <v>44693</v>
      </c>
      <c r="K499" s="23" t="n">
        <v>0.5</v>
      </c>
      <c r="L499" s="22" t="n">
        <v>44694</v>
      </c>
      <c r="M499" s="23" t="n">
        <v>0.466666666666667</v>
      </c>
      <c r="O499" s="1" t="s">
        <v>474</v>
      </c>
      <c r="P499" s="16" t="s">
        <v>451</v>
      </c>
      <c r="Q499" s="16" t="s">
        <v>452</v>
      </c>
      <c r="R499" s="16" t="s">
        <v>453</v>
      </c>
      <c r="S499" s="4" t="s">
        <v>475</v>
      </c>
      <c r="T499" s="24" t="n">
        <v>227</v>
      </c>
      <c r="U499" s="18" t="n">
        <v>2.9</v>
      </c>
      <c r="V499" s="24" t="n">
        <v>0.13</v>
      </c>
      <c r="W499" s="2" t="n">
        <v>0.2</v>
      </c>
      <c r="Y499" s="2" t="s">
        <v>472</v>
      </c>
      <c r="Z499" s="18" t="s">
        <v>473</v>
      </c>
      <c r="AA499" s="20"/>
      <c r="AB499" s="20"/>
      <c r="AC499" s="19" t="e">
        <f aca="false">(AB499-AA499)/AB499</f>
        <v>#DIV/0!</v>
      </c>
    </row>
    <row r="500" customFormat="false" ht="14.25" hidden="false" customHeight="true" outlineLevel="0" collapsed="false">
      <c r="A500" s="18" t="s">
        <v>449</v>
      </c>
      <c r="B500" s="18" t="s">
        <v>449</v>
      </c>
      <c r="C500" s="18" t="s">
        <v>159</v>
      </c>
      <c r="E500" s="2" t="n">
        <f aca="false">INDEX(FieldSites!F:F, MATCH(Ch2_FieldSurvey!B500,FieldSites!C:C,0))</f>
        <v>875</v>
      </c>
      <c r="F500" s="2" t="n">
        <f aca="false">INDEX(FieldSites!G:G, MATCH(Ch2_FieldSurvey!B500,FieldSites!C:C,0))</f>
        <v>-119.521415</v>
      </c>
      <c r="G500" s="2" t="n">
        <f aca="false">INDEX(FieldSites!H:H, MATCH(Ch2_FieldSurvey!B500,FieldSites!C:C,0))</f>
        <v>37.257397</v>
      </c>
      <c r="H500" s="18" t="n">
        <v>2</v>
      </c>
      <c r="I500" s="21" t="str">
        <f aca="false">CONCATENATE(B500,"_",C500,H500)</f>
        <v>NFWB_M. nasutus2</v>
      </c>
      <c r="J500" s="22" t="n">
        <v>44693</v>
      </c>
      <c r="K500" s="23" t="n">
        <v>0.5</v>
      </c>
      <c r="L500" s="22" t="n">
        <v>44694</v>
      </c>
      <c r="M500" s="23" t="n">
        <v>0.466666666666667</v>
      </c>
      <c r="O500" s="1" t="s">
        <v>474</v>
      </c>
      <c r="P500" s="16" t="s">
        <v>451</v>
      </c>
      <c r="Q500" s="16" t="s">
        <v>452</v>
      </c>
      <c r="R500" s="16" t="s">
        <v>453</v>
      </c>
      <c r="S500" s="4" t="s">
        <v>475</v>
      </c>
      <c r="T500" s="24" t="n">
        <v>210</v>
      </c>
      <c r="U500" s="18" t="n">
        <v>2.5</v>
      </c>
      <c r="V500" s="24" t="n">
        <v>0.14</v>
      </c>
      <c r="W500" s="2" t="n">
        <v>0.1</v>
      </c>
      <c r="Y500" s="2" t="s">
        <v>472</v>
      </c>
      <c r="Z500" s="18" t="s">
        <v>473</v>
      </c>
      <c r="AA500" s="20"/>
      <c r="AB500" s="20"/>
      <c r="AC500" s="19" t="e">
        <f aca="false">(AB500-AA500)/AB500</f>
        <v>#DIV/0!</v>
      </c>
    </row>
    <row r="501" customFormat="false" ht="14.25" hidden="false" customHeight="true" outlineLevel="0" collapsed="false">
      <c r="A501" s="18" t="s">
        <v>449</v>
      </c>
      <c r="B501" s="18" t="s">
        <v>449</v>
      </c>
      <c r="C501" s="18" t="s">
        <v>159</v>
      </c>
      <c r="E501" s="2" t="n">
        <f aca="false">INDEX(FieldSites!F:F, MATCH(Ch2_FieldSurvey!B501,FieldSites!C:C,0))</f>
        <v>875</v>
      </c>
      <c r="F501" s="2" t="n">
        <f aca="false">INDEX(FieldSites!G:G, MATCH(Ch2_FieldSurvey!B501,FieldSites!C:C,0))</f>
        <v>-119.521415</v>
      </c>
      <c r="G501" s="2" t="n">
        <f aca="false">INDEX(FieldSites!H:H, MATCH(Ch2_FieldSurvey!B501,FieldSites!C:C,0))</f>
        <v>37.257397</v>
      </c>
      <c r="H501" s="18" t="n">
        <v>3</v>
      </c>
      <c r="I501" s="21" t="str">
        <f aca="false">CONCATENATE(B501,"_",C501,H501)</f>
        <v>NFWB_M. nasutus3</v>
      </c>
      <c r="J501" s="22" t="n">
        <v>44693</v>
      </c>
      <c r="K501" s="23" t="n">
        <v>0.5</v>
      </c>
      <c r="L501" s="22" t="n">
        <v>44694</v>
      </c>
      <c r="M501" s="23" t="n">
        <v>0.469444444444445</v>
      </c>
      <c r="O501" s="1" t="s">
        <v>476</v>
      </c>
      <c r="P501" s="16" t="s">
        <v>451</v>
      </c>
      <c r="Q501" s="16" t="s">
        <v>452</v>
      </c>
      <c r="R501" s="16" t="s">
        <v>453</v>
      </c>
      <c r="S501" s="4" t="s">
        <v>477</v>
      </c>
      <c r="T501" s="24" t="n">
        <v>194</v>
      </c>
      <c r="U501" s="18" t="n">
        <v>2.2</v>
      </c>
      <c r="V501" s="24" t="n">
        <v>0.13</v>
      </c>
      <c r="W501" s="2" t="n">
        <v>0.1</v>
      </c>
      <c r="Y501" s="2" t="s">
        <v>472</v>
      </c>
      <c r="Z501" s="18" t="s">
        <v>473</v>
      </c>
      <c r="AA501" s="20" t="n">
        <v>584475</v>
      </c>
      <c r="AB501" s="20" t="n">
        <v>639798</v>
      </c>
      <c r="AC501" s="19" t="n">
        <f aca="false">(AB501-AA501)/AB501</f>
        <v>0.0864694794294449</v>
      </c>
    </row>
    <row r="502" customFormat="false" ht="14.25" hidden="false" customHeight="true" outlineLevel="0" collapsed="false">
      <c r="A502" s="18" t="s">
        <v>449</v>
      </c>
      <c r="B502" s="18" t="s">
        <v>449</v>
      </c>
      <c r="C502" s="18" t="s">
        <v>159</v>
      </c>
      <c r="E502" s="2" t="n">
        <f aca="false">INDEX(FieldSites!F:F, MATCH(Ch2_FieldSurvey!B502,FieldSites!C:C,0))</f>
        <v>875</v>
      </c>
      <c r="F502" s="2" t="n">
        <f aca="false">INDEX(FieldSites!G:G, MATCH(Ch2_FieldSurvey!B502,FieldSites!C:C,0))</f>
        <v>-119.521415</v>
      </c>
      <c r="G502" s="2" t="n">
        <f aca="false">INDEX(FieldSites!H:H, MATCH(Ch2_FieldSurvey!B502,FieldSites!C:C,0))</f>
        <v>37.257397</v>
      </c>
      <c r="H502" s="18" t="n">
        <v>3</v>
      </c>
      <c r="I502" s="21" t="str">
        <f aca="false">CONCATENATE(B502,"_",C502,H502)</f>
        <v>NFWB_M. nasutus3</v>
      </c>
      <c r="J502" s="22" t="n">
        <v>44693</v>
      </c>
      <c r="K502" s="23" t="n">
        <v>0.5</v>
      </c>
      <c r="L502" s="22" t="n">
        <v>44694</v>
      </c>
      <c r="M502" s="23" t="n">
        <v>0.469444444444445</v>
      </c>
      <c r="O502" s="1" t="s">
        <v>476</v>
      </c>
      <c r="P502" s="16" t="s">
        <v>451</v>
      </c>
      <c r="Q502" s="16" t="s">
        <v>452</v>
      </c>
      <c r="R502" s="16" t="s">
        <v>453</v>
      </c>
      <c r="S502" s="4" t="s">
        <v>477</v>
      </c>
      <c r="T502" s="24" t="n">
        <v>210</v>
      </c>
      <c r="U502" s="18" t="n">
        <v>2.1</v>
      </c>
      <c r="V502" s="24" t="n">
        <v>0.15</v>
      </c>
      <c r="W502" s="2" t="n">
        <v>0.1</v>
      </c>
      <c r="Y502" s="2" t="s">
        <v>472</v>
      </c>
      <c r="Z502" s="18" t="s">
        <v>473</v>
      </c>
      <c r="AA502" s="20"/>
      <c r="AB502" s="20"/>
      <c r="AC502" s="19" t="e">
        <f aca="false">(AB502-AA502)/AB502</f>
        <v>#DIV/0!</v>
      </c>
    </row>
    <row r="503" customFormat="false" ht="14.25" hidden="false" customHeight="true" outlineLevel="0" collapsed="false">
      <c r="A503" s="18" t="s">
        <v>449</v>
      </c>
      <c r="B503" s="18" t="s">
        <v>449</v>
      </c>
      <c r="C503" s="18" t="s">
        <v>159</v>
      </c>
      <c r="E503" s="2" t="n">
        <f aca="false">INDEX(FieldSites!F:F, MATCH(Ch2_FieldSurvey!B503,FieldSites!C:C,0))</f>
        <v>875</v>
      </c>
      <c r="F503" s="2" t="n">
        <f aca="false">INDEX(FieldSites!G:G, MATCH(Ch2_FieldSurvey!B503,FieldSites!C:C,0))</f>
        <v>-119.521415</v>
      </c>
      <c r="G503" s="2" t="n">
        <f aca="false">INDEX(FieldSites!H:H, MATCH(Ch2_FieldSurvey!B503,FieldSites!C:C,0))</f>
        <v>37.257397</v>
      </c>
      <c r="H503" s="18" t="n">
        <v>3</v>
      </c>
      <c r="I503" s="21" t="str">
        <f aca="false">CONCATENATE(B503,"_",C503,H503)</f>
        <v>NFWB_M. nasutus3</v>
      </c>
      <c r="J503" s="22" t="n">
        <v>44693</v>
      </c>
      <c r="K503" s="23" t="n">
        <v>0.5</v>
      </c>
      <c r="L503" s="22" t="n">
        <v>44694</v>
      </c>
      <c r="M503" s="23" t="n">
        <v>0.469444444444445</v>
      </c>
      <c r="O503" s="1" t="s">
        <v>476</v>
      </c>
      <c r="P503" s="16" t="s">
        <v>451</v>
      </c>
      <c r="Q503" s="16" t="s">
        <v>452</v>
      </c>
      <c r="R503" s="16" t="s">
        <v>453</v>
      </c>
      <c r="S503" s="4" t="s">
        <v>477</v>
      </c>
      <c r="T503" s="24" t="n">
        <v>209</v>
      </c>
      <c r="U503" s="18" t="n">
        <v>2.1</v>
      </c>
      <c r="V503" s="24" t="n">
        <v>0.14</v>
      </c>
      <c r="W503" s="2" t="n">
        <v>0.1</v>
      </c>
      <c r="Y503" s="2" t="s">
        <v>472</v>
      </c>
      <c r="Z503" s="18" t="s">
        <v>473</v>
      </c>
      <c r="AA503" s="20"/>
      <c r="AB503" s="20"/>
      <c r="AC503" s="19" t="e">
        <f aca="false">(AB503-AA503)/AB503</f>
        <v>#DIV/0!</v>
      </c>
    </row>
    <row r="504" customFormat="false" ht="14.25" hidden="false" customHeight="true" outlineLevel="0" collapsed="false">
      <c r="A504" s="18" t="s">
        <v>449</v>
      </c>
      <c r="B504" s="18" t="s">
        <v>449</v>
      </c>
      <c r="C504" s="18" t="s">
        <v>159</v>
      </c>
      <c r="E504" s="2" t="n">
        <f aca="false">INDEX(FieldSites!F:F, MATCH(Ch2_FieldSurvey!B504,FieldSites!C:C,0))</f>
        <v>875</v>
      </c>
      <c r="F504" s="2" t="n">
        <f aca="false">INDEX(FieldSites!G:G, MATCH(Ch2_FieldSurvey!B504,FieldSites!C:C,0))</f>
        <v>-119.521415</v>
      </c>
      <c r="G504" s="2" t="n">
        <f aca="false">INDEX(FieldSites!H:H, MATCH(Ch2_FieldSurvey!B504,FieldSites!C:C,0))</f>
        <v>37.257397</v>
      </c>
      <c r="H504" s="18" t="n">
        <v>4</v>
      </c>
      <c r="I504" s="21" t="str">
        <f aca="false">CONCATENATE(B504,"_",C504,H504)</f>
        <v>NFWB_M. nasutus4</v>
      </c>
      <c r="J504" s="22" t="n">
        <v>44693</v>
      </c>
      <c r="K504" s="23" t="n">
        <v>0.5</v>
      </c>
      <c r="L504" s="22" t="n">
        <v>44694</v>
      </c>
      <c r="M504" s="23" t="n">
        <v>0.473611111111111</v>
      </c>
      <c r="O504" s="1" t="s">
        <v>478</v>
      </c>
      <c r="P504" s="16" t="s">
        <v>451</v>
      </c>
      <c r="Q504" s="16" t="s">
        <v>452</v>
      </c>
      <c r="R504" s="16" t="s">
        <v>453</v>
      </c>
      <c r="S504" s="4" t="s">
        <v>479</v>
      </c>
      <c r="T504" s="24" t="n">
        <v>222</v>
      </c>
      <c r="U504" s="18" t="n">
        <v>2.1</v>
      </c>
      <c r="V504" s="24" t="n">
        <v>0.13</v>
      </c>
      <c r="W504" s="2" t="n">
        <v>0.1</v>
      </c>
      <c r="Y504" s="2" t="s">
        <v>472</v>
      </c>
      <c r="Z504" s="18" t="s">
        <v>473</v>
      </c>
      <c r="AA504" s="20" t="n">
        <v>215866</v>
      </c>
      <c r="AB504" s="20" t="n">
        <v>252884</v>
      </c>
      <c r="AC504" s="19" t="n">
        <f aca="false">(AB504-AA504)/AB504</f>
        <v>0.146383321997438</v>
      </c>
    </row>
    <row r="505" customFormat="false" ht="14.25" hidden="false" customHeight="true" outlineLevel="0" collapsed="false">
      <c r="A505" s="18" t="s">
        <v>449</v>
      </c>
      <c r="B505" s="18" t="s">
        <v>449</v>
      </c>
      <c r="C505" s="18" t="s">
        <v>159</v>
      </c>
      <c r="E505" s="2" t="n">
        <f aca="false">INDEX(FieldSites!F:F, MATCH(Ch2_FieldSurvey!B505,FieldSites!C:C,0))</f>
        <v>875</v>
      </c>
      <c r="F505" s="2" t="n">
        <f aca="false">INDEX(FieldSites!G:G, MATCH(Ch2_FieldSurvey!B505,FieldSites!C:C,0))</f>
        <v>-119.521415</v>
      </c>
      <c r="G505" s="2" t="n">
        <f aca="false">INDEX(FieldSites!H:H, MATCH(Ch2_FieldSurvey!B505,FieldSites!C:C,0))</f>
        <v>37.257397</v>
      </c>
      <c r="H505" s="18" t="n">
        <v>4</v>
      </c>
      <c r="I505" s="21" t="str">
        <f aca="false">CONCATENATE(B505,"_",C505,H505)</f>
        <v>NFWB_M. nasutus4</v>
      </c>
      <c r="J505" s="22" t="n">
        <v>44693</v>
      </c>
      <c r="K505" s="23" t="n">
        <v>0.5</v>
      </c>
      <c r="L505" s="22" t="n">
        <v>44694</v>
      </c>
      <c r="M505" s="23" t="n">
        <v>0.473611111111111</v>
      </c>
      <c r="O505" s="1" t="s">
        <v>478</v>
      </c>
      <c r="P505" s="16" t="s">
        <v>451</v>
      </c>
      <c r="Q505" s="16" t="s">
        <v>452</v>
      </c>
      <c r="R505" s="16" t="s">
        <v>453</v>
      </c>
      <c r="S505" s="4" t="s">
        <v>479</v>
      </c>
      <c r="T505" s="24" t="n">
        <v>315</v>
      </c>
      <c r="U505" s="18" t="n">
        <v>2.3</v>
      </c>
      <c r="V505" s="24" t="n">
        <v>0.14</v>
      </c>
      <c r="W505" s="2" t="n">
        <v>0.1</v>
      </c>
      <c r="Y505" s="2" t="s">
        <v>472</v>
      </c>
      <c r="Z505" s="18" t="s">
        <v>473</v>
      </c>
      <c r="AA505" s="20"/>
      <c r="AB505" s="20"/>
      <c r="AC505" s="19" t="e">
        <f aca="false">(AB505-AA505)/AB505</f>
        <v>#DIV/0!</v>
      </c>
    </row>
    <row r="506" customFormat="false" ht="14.25" hidden="false" customHeight="true" outlineLevel="0" collapsed="false">
      <c r="A506" s="18" t="s">
        <v>449</v>
      </c>
      <c r="B506" s="18" t="s">
        <v>449</v>
      </c>
      <c r="C506" s="18" t="s">
        <v>159</v>
      </c>
      <c r="E506" s="2" t="n">
        <f aca="false">INDEX(FieldSites!F:F, MATCH(Ch2_FieldSurvey!B506,FieldSites!C:C,0))</f>
        <v>875</v>
      </c>
      <c r="F506" s="2" t="n">
        <f aca="false">INDEX(FieldSites!G:G, MATCH(Ch2_FieldSurvey!B506,FieldSites!C:C,0))</f>
        <v>-119.521415</v>
      </c>
      <c r="G506" s="2" t="n">
        <f aca="false">INDEX(FieldSites!H:H, MATCH(Ch2_FieldSurvey!B506,FieldSites!C:C,0))</f>
        <v>37.257397</v>
      </c>
      <c r="H506" s="18" t="n">
        <v>4</v>
      </c>
      <c r="I506" s="21" t="str">
        <f aca="false">CONCATENATE(B506,"_",C506,H506)</f>
        <v>NFWB_M. nasutus4</v>
      </c>
      <c r="J506" s="22" t="n">
        <v>44693</v>
      </c>
      <c r="K506" s="23" t="n">
        <v>0.5</v>
      </c>
      <c r="L506" s="22" t="n">
        <v>44694</v>
      </c>
      <c r="M506" s="23" t="n">
        <v>0.473611111111111</v>
      </c>
      <c r="O506" s="1" t="s">
        <v>478</v>
      </c>
      <c r="P506" s="16" t="s">
        <v>451</v>
      </c>
      <c r="Q506" s="16" t="s">
        <v>452</v>
      </c>
      <c r="R506" s="16" t="s">
        <v>453</v>
      </c>
      <c r="S506" s="4" t="s">
        <v>479</v>
      </c>
      <c r="T506" s="24" t="n">
        <v>258</v>
      </c>
      <c r="U506" s="18" t="n">
        <v>2.3</v>
      </c>
      <c r="V506" s="24" t="n">
        <v>0.14</v>
      </c>
      <c r="W506" s="2" t="n">
        <v>0.1</v>
      </c>
      <c r="Y506" s="2" t="s">
        <v>472</v>
      </c>
      <c r="Z506" s="18" t="s">
        <v>473</v>
      </c>
      <c r="AA506" s="20"/>
      <c r="AB506" s="20"/>
      <c r="AC506" s="19" t="e">
        <f aca="false">(AB506-AA506)/AB506</f>
        <v>#DIV/0!</v>
      </c>
    </row>
    <row r="507" customFormat="false" ht="14.25" hidden="false" customHeight="true" outlineLevel="0" collapsed="false">
      <c r="A507" s="18" t="s">
        <v>449</v>
      </c>
      <c r="B507" s="18" t="s">
        <v>449</v>
      </c>
      <c r="C507" s="18" t="s">
        <v>159</v>
      </c>
      <c r="E507" s="2" t="n">
        <f aca="false">INDEX(FieldSites!F:F, MATCH(Ch2_FieldSurvey!B507,FieldSites!C:C,0))</f>
        <v>875</v>
      </c>
      <c r="F507" s="2" t="n">
        <f aca="false">INDEX(FieldSites!G:G, MATCH(Ch2_FieldSurvey!B507,FieldSites!C:C,0))</f>
        <v>-119.521415</v>
      </c>
      <c r="G507" s="2" t="n">
        <f aca="false">INDEX(FieldSites!H:H, MATCH(Ch2_FieldSurvey!B507,FieldSites!C:C,0))</f>
        <v>37.257397</v>
      </c>
      <c r="H507" s="18" t="n">
        <v>5</v>
      </c>
      <c r="I507" s="21" t="str">
        <f aca="false">CONCATENATE(B507,"_",C507,H507)</f>
        <v>NFWB_M. nasutus5</v>
      </c>
      <c r="J507" s="22" t="n">
        <v>44693</v>
      </c>
      <c r="K507" s="23" t="n">
        <v>0.5</v>
      </c>
      <c r="L507" s="22" t="n">
        <v>44694</v>
      </c>
      <c r="M507" s="23" t="n">
        <v>0.476388888888889</v>
      </c>
      <c r="O507" s="1" t="s">
        <v>480</v>
      </c>
      <c r="P507" s="16" t="s">
        <v>451</v>
      </c>
      <c r="Q507" s="16" t="s">
        <v>452</v>
      </c>
      <c r="R507" s="16" t="s">
        <v>453</v>
      </c>
      <c r="S507" s="4" t="s">
        <v>481</v>
      </c>
      <c r="T507" s="24" t="n">
        <v>178</v>
      </c>
      <c r="U507" s="18" t="n">
        <v>1.9</v>
      </c>
      <c r="V507" s="24" t="n">
        <v>0.12</v>
      </c>
      <c r="W507" s="2" t="n">
        <v>0.1</v>
      </c>
      <c r="Y507" s="2" t="s">
        <v>472</v>
      </c>
      <c r="Z507" s="18" t="s">
        <v>473</v>
      </c>
      <c r="AA507" s="20" t="n">
        <v>232627</v>
      </c>
      <c r="AB507" s="20" t="n">
        <v>251014</v>
      </c>
      <c r="AC507" s="19" t="n">
        <f aca="false">(AB507-AA507)/AB507</f>
        <v>0.0732508943724255</v>
      </c>
    </row>
    <row r="508" customFormat="false" ht="14.25" hidden="false" customHeight="true" outlineLevel="0" collapsed="false">
      <c r="A508" s="18" t="s">
        <v>449</v>
      </c>
      <c r="B508" s="18" t="s">
        <v>449</v>
      </c>
      <c r="C508" s="18" t="s">
        <v>159</v>
      </c>
      <c r="E508" s="2" t="n">
        <f aca="false">INDEX(FieldSites!F:F, MATCH(Ch2_FieldSurvey!B508,FieldSites!C:C,0))</f>
        <v>875</v>
      </c>
      <c r="F508" s="2" t="n">
        <f aca="false">INDEX(FieldSites!G:G, MATCH(Ch2_FieldSurvey!B508,FieldSites!C:C,0))</f>
        <v>-119.521415</v>
      </c>
      <c r="G508" s="2" t="n">
        <f aca="false">INDEX(FieldSites!H:H, MATCH(Ch2_FieldSurvey!B508,FieldSites!C:C,0))</f>
        <v>37.257397</v>
      </c>
      <c r="H508" s="18" t="n">
        <v>5</v>
      </c>
      <c r="I508" s="21" t="str">
        <f aca="false">CONCATENATE(B508,"_",C508,H508)</f>
        <v>NFWB_M. nasutus5</v>
      </c>
      <c r="J508" s="22" t="n">
        <v>44693</v>
      </c>
      <c r="K508" s="23" t="n">
        <v>0.5</v>
      </c>
      <c r="L508" s="22" t="n">
        <v>44694</v>
      </c>
      <c r="M508" s="23" t="n">
        <v>0.476388888888889</v>
      </c>
      <c r="O508" s="1" t="s">
        <v>480</v>
      </c>
      <c r="P508" s="16" t="s">
        <v>451</v>
      </c>
      <c r="Q508" s="16" t="s">
        <v>452</v>
      </c>
      <c r="R508" s="16" t="s">
        <v>453</v>
      </c>
      <c r="S508" s="4" t="s">
        <v>481</v>
      </c>
      <c r="T508" s="24" t="n">
        <v>163</v>
      </c>
      <c r="U508" s="18" t="n">
        <v>1.8</v>
      </c>
      <c r="V508" s="24" t="n">
        <v>0.15</v>
      </c>
      <c r="W508" s="2" t="n">
        <v>0.1</v>
      </c>
      <c r="Y508" s="2" t="s">
        <v>472</v>
      </c>
      <c r="Z508" s="18" t="s">
        <v>473</v>
      </c>
      <c r="AA508" s="20"/>
      <c r="AB508" s="20"/>
      <c r="AC508" s="19" t="e">
        <f aca="false">(AB508-AA508)/AB508</f>
        <v>#DIV/0!</v>
      </c>
    </row>
    <row r="509" customFormat="false" ht="14.25" hidden="false" customHeight="true" outlineLevel="0" collapsed="false">
      <c r="A509" s="18" t="s">
        <v>449</v>
      </c>
      <c r="B509" s="18" t="s">
        <v>449</v>
      </c>
      <c r="C509" s="18" t="s">
        <v>159</v>
      </c>
      <c r="E509" s="2" t="n">
        <f aca="false">INDEX(FieldSites!F:F, MATCH(Ch2_FieldSurvey!B509,FieldSites!C:C,0))</f>
        <v>875</v>
      </c>
      <c r="F509" s="2" t="n">
        <f aca="false">INDEX(FieldSites!G:G, MATCH(Ch2_FieldSurvey!B509,FieldSites!C:C,0))</f>
        <v>-119.521415</v>
      </c>
      <c r="G509" s="2" t="n">
        <f aca="false">INDEX(FieldSites!H:H, MATCH(Ch2_FieldSurvey!B509,FieldSites!C:C,0))</f>
        <v>37.257397</v>
      </c>
      <c r="H509" s="18" t="n">
        <v>5</v>
      </c>
      <c r="I509" s="21" t="str">
        <f aca="false">CONCATENATE(B509,"_",C509,H509)</f>
        <v>NFWB_M. nasutus5</v>
      </c>
      <c r="J509" s="22" t="n">
        <v>44693</v>
      </c>
      <c r="K509" s="23" t="n">
        <v>0.5</v>
      </c>
      <c r="L509" s="22" t="n">
        <v>44694</v>
      </c>
      <c r="M509" s="23" t="n">
        <v>0.476388888888889</v>
      </c>
      <c r="O509" s="1" t="s">
        <v>480</v>
      </c>
      <c r="P509" s="16" t="s">
        <v>451</v>
      </c>
      <c r="Q509" s="16" t="s">
        <v>452</v>
      </c>
      <c r="R509" s="16" t="s">
        <v>453</v>
      </c>
      <c r="S509" s="4" t="s">
        <v>481</v>
      </c>
      <c r="T509" s="24" t="n">
        <v>235</v>
      </c>
      <c r="U509" s="18" t="n">
        <v>1.9</v>
      </c>
      <c r="V509" s="24" t="n">
        <v>0.14</v>
      </c>
      <c r="W509" s="2" t="n">
        <v>0.1</v>
      </c>
      <c r="Y509" s="2" t="s">
        <v>472</v>
      </c>
      <c r="Z509" s="18" t="s">
        <v>473</v>
      </c>
      <c r="AA509" s="20"/>
      <c r="AB509" s="20"/>
      <c r="AC509" s="19" t="e">
        <f aca="false">(AB509-AA509)/AB509</f>
        <v>#DIV/0!</v>
      </c>
    </row>
    <row r="510" customFormat="false" ht="14.25" hidden="false" customHeight="true" outlineLevel="0" collapsed="false">
      <c r="A510" s="18" t="s">
        <v>449</v>
      </c>
      <c r="B510" s="18" t="s">
        <v>449</v>
      </c>
      <c r="C510" s="18" t="s">
        <v>159</v>
      </c>
      <c r="E510" s="2" t="n">
        <f aca="false">INDEX(FieldSites!F:F, MATCH(Ch2_FieldSurvey!B510,FieldSites!C:C,0))</f>
        <v>875</v>
      </c>
      <c r="F510" s="2" t="n">
        <f aca="false">INDEX(FieldSites!G:G, MATCH(Ch2_FieldSurvey!B510,FieldSites!C:C,0))</f>
        <v>-119.521415</v>
      </c>
      <c r="G510" s="2" t="n">
        <f aca="false">INDEX(FieldSites!H:H, MATCH(Ch2_FieldSurvey!B510,FieldSites!C:C,0))</f>
        <v>37.257397</v>
      </c>
      <c r="H510" s="18" t="n">
        <v>6</v>
      </c>
      <c r="I510" s="21" t="str">
        <f aca="false">CONCATENATE(B510,"_",C510,H510)</f>
        <v>NFWB_M. nasutus6</v>
      </c>
      <c r="J510" s="22" t="n">
        <v>44693</v>
      </c>
      <c r="K510" s="23" t="n">
        <v>0.5</v>
      </c>
      <c r="L510" s="22" t="n">
        <v>44694</v>
      </c>
      <c r="M510" s="23" t="n">
        <v>0.48125</v>
      </c>
      <c r="O510" s="1" t="s">
        <v>482</v>
      </c>
      <c r="P510" s="16" t="s">
        <v>451</v>
      </c>
      <c r="Q510" s="16" t="s">
        <v>452</v>
      </c>
      <c r="R510" s="16" t="s">
        <v>453</v>
      </c>
      <c r="S510" s="4" t="s">
        <v>53</v>
      </c>
      <c r="T510" s="24" t="n">
        <v>211</v>
      </c>
      <c r="U510" s="18" t="n">
        <v>2.7</v>
      </c>
      <c r="V510" s="24" t="n">
        <v>0.16</v>
      </c>
      <c r="W510" s="2" t="n">
        <v>0.1</v>
      </c>
      <c r="Y510" s="2" t="s">
        <v>472</v>
      </c>
      <c r="Z510" s="18" t="s">
        <v>473</v>
      </c>
      <c r="AA510" s="20" t="n">
        <v>363124</v>
      </c>
      <c r="AB510" s="20" t="n">
        <v>406518</v>
      </c>
      <c r="AC510" s="19" t="n">
        <f aca="false">(AB510-AA510)/AB510</f>
        <v>0.106745580761492</v>
      </c>
    </row>
    <row r="511" customFormat="false" ht="14.25" hidden="false" customHeight="true" outlineLevel="0" collapsed="false">
      <c r="A511" s="18" t="s">
        <v>449</v>
      </c>
      <c r="B511" s="18" t="s">
        <v>449</v>
      </c>
      <c r="C511" s="18" t="s">
        <v>159</v>
      </c>
      <c r="E511" s="2" t="n">
        <f aca="false">INDEX(FieldSites!F:F, MATCH(Ch2_FieldSurvey!B511,FieldSites!C:C,0))</f>
        <v>875</v>
      </c>
      <c r="F511" s="2" t="n">
        <f aca="false">INDEX(FieldSites!G:G, MATCH(Ch2_FieldSurvey!B511,FieldSites!C:C,0))</f>
        <v>-119.521415</v>
      </c>
      <c r="G511" s="2" t="n">
        <f aca="false">INDEX(FieldSites!H:H, MATCH(Ch2_FieldSurvey!B511,FieldSites!C:C,0))</f>
        <v>37.257397</v>
      </c>
      <c r="H511" s="18" t="n">
        <v>6</v>
      </c>
      <c r="I511" s="21" t="str">
        <f aca="false">CONCATENATE(B511,"_",C511,H511)</f>
        <v>NFWB_M. nasutus6</v>
      </c>
      <c r="J511" s="22" t="n">
        <v>44693</v>
      </c>
      <c r="K511" s="23" t="n">
        <v>0.5</v>
      </c>
      <c r="L511" s="22" t="n">
        <v>44694</v>
      </c>
      <c r="M511" s="23" t="n">
        <v>0.48125</v>
      </c>
      <c r="O511" s="1" t="s">
        <v>482</v>
      </c>
      <c r="P511" s="16" t="s">
        <v>451</v>
      </c>
      <c r="Q511" s="16" t="s">
        <v>452</v>
      </c>
      <c r="R511" s="16" t="s">
        <v>453</v>
      </c>
      <c r="S511" s="4" t="s">
        <v>53</v>
      </c>
      <c r="T511" s="24" t="n">
        <v>234</v>
      </c>
      <c r="U511" s="18" t="n">
        <v>3</v>
      </c>
      <c r="V511" s="24" t="n">
        <v>0.17</v>
      </c>
      <c r="W511" s="2" t="n">
        <v>0.2</v>
      </c>
      <c r="Y511" s="2" t="s">
        <v>472</v>
      </c>
      <c r="Z511" s="18" t="s">
        <v>473</v>
      </c>
      <c r="AA511" s="20"/>
      <c r="AB511" s="20"/>
      <c r="AC511" s="19" t="e">
        <f aca="false">(AB511-AA511)/AB511</f>
        <v>#DIV/0!</v>
      </c>
    </row>
    <row r="512" customFormat="false" ht="14.25" hidden="false" customHeight="true" outlineLevel="0" collapsed="false">
      <c r="A512" s="18" t="s">
        <v>449</v>
      </c>
      <c r="B512" s="18" t="s">
        <v>449</v>
      </c>
      <c r="C512" s="18" t="s">
        <v>159</v>
      </c>
      <c r="E512" s="2" t="n">
        <f aca="false">INDEX(FieldSites!F:F, MATCH(Ch2_FieldSurvey!B512,FieldSites!C:C,0))</f>
        <v>875</v>
      </c>
      <c r="F512" s="2" t="n">
        <f aca="false">INDEX(FieldSites!G:G, MATCH(Ch2_FieldSurvey!B512,FieldSites!C:C,0))</f>
        <v>-119.521415</v>
      </c>
      <c r="G512" s="2" t="n">
        <f aca="false">INDEX(FieldSites!H:H, MATCH(Ch2_FieldSurvey!B512,FieldSites!C:C,0))</f>
        <v>37.257397</v>
      </c>
      <c r="H512" s="18" t="n">
        <v>6</v>
      </c>
      <c r="I512" s="21" t="str">
        <f aca="false">CONCATENATE(B512,"_",C512,H512)</f>
        <v>NFWB_M. nasutus6</v>
      </c>
      <c r="J512" s="22" t="n">
        <v>44693</v>
      </c>
      <c r="K512" s="23" t="n">
        <v>0.5</v>
      </c>
      <c r="L512" s="22" t="n">
        <v>44694</v>
      </c>
      <c r="M512" s="23" t="n">
        <v>0.48125</v>
      </c>
      <c r="O512" s="1" t="s">
        <v>482</v>
      </c>
      <c r="P512" s="16" t="s">
        <v>451</v>
      </c>
      <c r="Q512" s="16" t="s">
        <v>452</v>
      </c>
      <c r="R512" s="16" t="s">
        <v>453</v>
      </c>
      <c r="S512" s="4" t="s">
        <v>53</v>
      </c>
      <c r="T512" s="24" t="n">
        <v>255</v>
      </c>
      <c r="U512" s="18" t="n">
        <v>2.9</v>
      </c>
      <c r="V512" s="24" t="n">
        <v>0.17</v>
      </c>
      <c r="W512" s="2" t="n">
        <v>0.2</v>
      </c>
      <c r="Y512" s="2" t="s">
        <v>472</v>
      </c>
      <c r="Z512" s="18" t="s">
        <v>473</v>
      </c>
      <c r="AA512" s="20"/>
      <c r="AB512" s="20"/>
      <c r="AC512" s="19" t="e">
        <f aca="false">(AB512-AA512)/AB512</f>
        <v>#DIV/0!</v>
      </c>
    </row>
    <row r="513" customFormat="false" ht="14.25" hidden="false" customHeight="true" outlineLevel="0" collapsed="false">
      <c r="A513" s="18" t="s">
        <v>449</v>
      </c>
      <c r="B513" s="18" t="s">
        <v>449</v>
      </c>
      <c r="C513" s="18" t="s">
        <v>159</v>
      </c>
      <c r="E513" s="2" t="n">
        <f aca="false">INDEX(FieldSites!F:F, MATCH(Ch2_FieldSurvey!B513,FieldSites!C:C,0))</f>
        <v>875</v>
      </c>
      <c r="F513" s="2" t="n">
        <f aca="false">INDEX(FieldSites!G:G, MATCH(Ch2_FieldSurvey!B513,FieldSites!C:C,0))</f>
        <v>-119.521415</v>
      </c>
      <c r="G513" s="2" t="n">
        <f aca="false">INDEX(FieldSites!H:H, MATCH(Ch2_FieldSurvey!B513,FieldSites!C:C,0))</f>
        <v>37.257397</v>
      </c>
      <c r="H513" s="18" t="n">
        <v>7</v>
      </c>
      <c r="I513" s="21" t="str">
        <f aca="false">CONCATENATE(B513,"_",C513,H513)</f>
        <v>NFWB_M. nasutus7</v>
      </c>
      <c r="J513" s="22" t="n">
        <v>44693</v>
      </c>
      <c r="K513" s="23" t="n">
        <v>0.5</v>
      </c>
      <c r="L513" s="22" t="n">
        <v>44694</v>
      </c>
      <c r="M513" s="23" t="n">
        <v>0.484027777777778</v>
      </c>
      <c r="O513" s="1" t="s">
        <v>483</v>
      </c>
      <c r="P513" s="16" t="s">
        <v>451</v>
      </c>
      <c r="Q513" s="16" t="s">
        <v>452</v>
      </c>
      <c r="R513" s="16" t="s">
        <v>453</v>
      </c>
      <c r="S513" s="4" t="s">
        <v>484</v>
      </c>
      <c r="T513" s="24" t="n">
        <v>250</v>
      </c>
      <c r="U513" s="18" t="n">
        <v>2.4</v>
      </c>
      <c r="V513" s="24" t="n">
        <v>0.17</v>
      </c>
      <c r="W513" s="2" t="n">
        <v>0.2</v>
      </c>
      <c r="Y513" s="2" t="s">
        <v>472</v>
      </c>
      <c r="Z513" s="18" t="s">
        <v>473</v>
      </c>
      <c r="AA513" s="20" t="n">
        <v>256713</v>
      </c>
      <c r="AB513" s="20" t="n">
        <v>275048</v>
      </c>
      <c r="AC513" s="19" t="n">
        <f aca="false">(AB513-AA513)/AB513</f>
        <v>0.0666610918821442</v>
      </c>
    </row>
    <row r="514" customFormat="false" ht="14.25" hidden="false" customHeight="true" outlineLevel="0" collapsed="false">
      <c r="A514" s="18" t="s">
        <v>449</v>
      </c>
      <c r="B514" s="18" t="s">
        <v>449</v>
      </c>
      <c r="C514" s="18" t="s">
        <v>159</v>
      </c>
      <c r="E514" s="2" t="n">
        <f aca="false">INDEX(FieldSites!F:F, MATCH(Ch2_FieldSurvey!B514,FieldSites!C:C,0))</f>
        <v>875</v>
      </c>
      <c r="F514" s="2" t="n">
        <f aca="false">INDEX(FieldSites!G:G, MATCH(Ch2_FieldSurvey!B514,FieldSites!C:C,0))</f>
        <v>-119.521415</v>
      </c>
      <c r="G514" s="2" t="n">
        <f aca="false">INDEX(FieldSites!H:H, MATCH(Ch2_FieldSurvey!B514,FieldSites!C:C,0))</f>
        <v>37.257397</v>
      </c>
      <c r="H514" s="18" t="n">
        <v>7</v>
      </c>
      <c r="I514" s="21" t="str">
        <f aca="false">CONCATENATE(B514,"_",C514,H514)</f>
        <v>NFWB_M. nasutus7</v>
      </c>
      <c r="J514" s="22" t="n">
        <v>44693</v>
      </c>
      <c r="K514" s="23" t="n">
        <v>0.5</v>
      </c>
      <c r="L514" s="22" t="n">
        <v>44694</v>
      </c>
      <c r="M514" s="23" t="n">
        <v>0.484027777777778</v>
      </c>
      <c r="O514" s="1" t="s">
        <v>483</v>
      </c>
      <c r="P514" s="16" t="s">
        <v>451</v>
      </c>
      <c r="Q514" s="16" t="s">
        <v>452</v>
      </c>
      <c r="R514" s="16" t="s">
        <v>453</v>
      </c>
      <c r="S514" s="4" t="s">
        <v>484</v>
      </c>
      <c r="T514" s="24" t="n">
        <v>315</v>
      </c>
      <c r="U514" s="18" t="n">
        <v>2.2</v>
      </c>
      <c r="V514" s="24" t="n">
        <v>0.16</v>
      </c>
      <c r="W514" s="2" t="n">
        <v>0.2</v>
      </c>
      <c r="Y514" s="2" t="s">
        <v>472</v>
      </c>
      <c r="Z514" s="18" t="s">
        <v>473</v>
      </c>
      <c r="AA514" s="20"/>
      <c r="AB514" s="20"/>
      <c r="AC514" s="19" t="e">
        <f aca="false">(AB514-AA514)/AB514</f>
        <v>#DIV/0!</v>
      </c>
    </row>
    <row r="515" customFormat="false" ht="14.25" hidden="false" customHeight="true" outlineLevel="0" collapsed="false">
      <c r="A515" s="18" t="s">
        <v>449</v>
      </c>
      <c r="B515" s="18" t="s">
        <v>449</v>
      </c>
      <c r="C515" s="18" t="s">
        <v>159</v>
      </c>
      <c r="E515" s="2" t="n">
        <f aca="false">INDEX(FieldSites!F:F, MATCH(Ch2_FieldSurvey!B515,FieldSites!C:C,0))</f>
        <v>875</v>
      </c>
      <c r="F515" s="2" t="n">
        <f aca="false">INDEX(FieldSites!G:G, MATCH(Ch2_FieldSurvey!B515,FieldSites!C:C,0))</f>
        <v>-119.521415</v>
      </c>
      <c r="G515" s="2" t="n">
        <f aca="false">INDEX(FieldSites!H:H, MATCH(Ch2_FieldSurvey!B515,FieldSites!C:C,0))</f>
        <v>37.257397</v>
      </c>
      <c r="H515" s="18" t="n">
        <v>7</v>
      </c>
      <c r="I515" s="21" t="str">
        <f aca="false">CONCATENATE(B515,"_",C515,H515)</f>
        <v>NFWB_M. nasutus7</v>
      </c>
      <c r="J515" s="22" t="n">
        <v>44693</v>
      </c>
      <c r="K515" s="23" t="n">
        <v>0.5</v>
      </c>
      <c r="L515" s="22" t="n">
        <v>44694</v>
      </c>
      <c r="M515" s="23" t="n">
        <v>0.484027777777778</v>
      </c>
      <c r="O515" s="1" t="s">
        <v>483</v>
      </c>
      <c r="P515" s="16" t="s">
        <v>451</v>
      </c>
      <c r="Q515" s="16" t="s">
        <v>452</v>
      </c>
      <c r="R515" s="16" t="s">
        <v>453</v>
      </c>
      <c r="S515" s="4" t="s">
        <v>484</v>
      </c>
      <c r="T515" s="24" t="n">
        <v>224</v>
      </c>
      <c r="U515" s="18" t="n">
        <v>2.7</v>
      </c>
      <c r="V515" s="24" t="n">
        <v>0.15</v>
      </c>
      <c r="W515" s="2" t="n">
        <v>0.1</v>
      </c>
      <c r="Y515" s="2" t="s">
        <v>472</v>
      </c>
      <c r="Z515" s="18" t="s">
        <v>473</v>
      </c>
      <c r="AA515" s="20"/>
      <c r="AB515" s="20"/>
      <c r="AC515" s="19" t="e">
        <f aca="false">(AB515-AA515)/AB515</f>
        <v>#DIV/0!</v>
      </c>
    </row>
    <row r="516" customFormat="false" ht="14.25" hidden="false" customHeight="true" outlineLevel="0" collapsed="false">
      <c r="A516" s="18" t="s">
        <v>449</v>
      </c>
      <c r="B516" s="18" t="s">
        <v>449</v>
      </c>
      <c r="C516" s="18" t="s">
        <v>159</v>
      </c>
      <c r="E516" s="2" t="n">
        <f aca="false">INDEX(FieldSites!F:F, MATCH(Ch2_FieldSurvey!B516,FieldSites!C:C,0))</f>
        <v>875</v>
      </c>
      <c r="F516" s="2" t="n">
        <f aca="false">INDEX(FieldSites!G:G, MATCH(Ch2_FieldSurvey!B516,FieldSites!C:C,0))</f>
        <v>-119.521415</v>
      </c>
      <c r="G516" s="2" t="n">
        <f aca="false">INDEX(FieldSites!H:H, MATCH(Ch2_FieldSurvey!B516,FieldSites!C:C,0))</f>
        <v>37.257397</v>
      </c>
      <c r="H516" s="18" t="n">
        <v>8</v>
      </c>
      <c r="I516" s="21" t="str">
        <f aca="false">CONCATENATE(B516,"_",C516,H516)</f>
        <v>NFWB_M. nasutus8</v>
      </c>
      <c r="J516" s="22" t="n">
        <v>44693</v>
      </c>
      <c r="K516" s="23" t="n">
        <v>0.5</v>
      </c>
      <c r="L516" s="22" t="n">
        <v>44694</v>
      </c>
      <c r="M516" s="23" t="n">
        <v>0.486111111111111</v>
      </c>
      <c r="O516" s="1" t="s">
        <v>485</v>
      </c>
      <c r="P516" s="16" t="s">
        <v>451</v>
      </c>
      <c r="Q516" s="16" t="s">
        <v>452</v>
      </c>
      <c r="R516" s="16" t="s">
        <v>453</v>
      </c>
      <c r="S516" s="4" t="s">
        <v>66</v>
      </c>
      <c r="T516" s="24" t="n">
        <v>218</v>
      </c>
      <c r="U516" s="18" t="n">
        <v>2.2</v>
      </c>
      <c r="V516" s="24" t="n">
        <v>0.14</v>
      </c>
      <c r="W516" s="2" t="n">
        <v>0.1</v>
      </c>
      <c r="Y516" s="2" t="s">
        <v>472</v>
      </c>
      <c r="Z516" s="18" t="s">
        <v>473</v>
      </c>
      <c r="AA516" s="20" t="n">
        <v>271283</v>
      </c>
      <c r="AB516" s="20" t="n">
        <v>315241</v>
      </c>
      <c r="AC516" s="19" t="n">
        <f aca="false">(AB516-AA516)/AB516</f>
        <v>0.139442521753198</v>
      </c>
    </row>
    <row r="517" customFormat="false" ht="14.25" hidden="false" customHeight="true" outlineLevel="0" collapsed="false">
      <c r="A517" s="18" t="s">
        <v>449</v>
      </c>
      <c r="B517" s="18" t="s">
        <v>449</v>
      </c>
      <c r="C517" s="18" t="s">
        <v>159</v>
      </c>
      <c r="E517" s="2" t="n">
        <f aca="false">INDEX(FieldSites!F:F, MATCH(Ch2_FieldSurvey!B517,FieldSites!C:C,0))</f>
        <v>875</v>
      </c>
      <c r="F517" s="2" t="n">
        <f aca="false">INDEX(FieldSites!G:G, MATCH(Ch2_FieldSurvey!B517,FieldSites!C:C,0))</f>
        <v>-119.521415</v>
      </c>
      <c r="G517" s="2" t="n">
        <f aca="false">INDEX(FieldSites!H:H, MATCH(Ch2_FieldSurvey!B517,FieldSites!C:C,0))</f>
        <v>37.257397</v>
      </c>
      <c r="H517" s="18" t="n">
        <v>8</v>
      </c>
      <c r="I517" s="21" t="str">
        <f aca="false">CONCATENATE(B517,"_",C517,H517)</f>
        <v>NFWB_M. nasutus8</v>
      </c>
      <c r="J517" s="22" t="n">
        <v>44693</v>
      </c>
      <c r="K517" s="23" t="n">
        <v>0.5</v>
      </c>
      <c r="L517" s="22" t="n">
        <v>44694</v>
      </c>
      <c r="M517" s="23" t="n">
        <v>0.486111111111111</v>
      </c>
      <c r="O517" s="1" t="s">
        <v>485</v>
      </c>
      <c r="P517" s="16" t="s">
        <v>451</v>
      </c>
      <c r="Q517" s="16" t="s">
        <v>452</v>
      </c>
      <c r="R517" s="16" t="s">
        <v>453</v>
      </c>
      <c r="S517" s="4" t="s">
        <v>66</v>
      </c>
      <c r="T517" s="24" t="n">
        <v>285</v>
      </c>
      <c r="U517" s="18" t="n">
        <v>2.4</v>
      </c>
      <c r="V517" s="24" t="n">
        <v>0.14</v>
      </c>
      <c r="W517" s="2" t="n">
        <v>0.1</v>
      </c>
      <c r="Y517" s="2" t="s">
        <v>472</v>
      </c>
      <c r="Z517" s="18" t="s">
        <v>473</v>
      </c>
      <c r="AA517" s="20"/>
      <c r="AB517" s="20"/>
      <c r="AC517" s="19" t="e">
        <f aca="false">(AB517-AA517)/AB517</f>
        <v>#DIV/0!</v>
      </c>
    </row>
    <row r="518" customFormat="false" ht="14.25" hidden="false" customHeight="true" outlineLevel="0" collapsed="false">
      <c r="A518" s="18" t="s">
        <v>449</v>
      </c>
      <c r="B518" s="18" t="s">
        <v>449</v>
      </c>
      <c r="C518" s="18" t="s">
        <v>159</v>
      </c>
      <c r="E518" s="2" t="n">
        <f aca="false">INDEX(FieldSites!F:F, MATCH(Ch2_FieldSurvey!B518,FieldSites!C:C,0))</f>
        <v>875</v>
      </c>
      <c r="F518" s="2" t="n">
        <f aca="false">INDEX(FieldSites!G:G, MATCH(Ch2_FieldSurvey!B518,FieldSites!C:C,0))</f>
        <v>-119.521415</v>
      </c>
      <c r="G518" s="2" t="n">
        <f aca="false">INDEX(FieldSites!H:H, MATCH(Ch2_FieldSurvey!B518,FieldSites!C:C,0))</f>
        <v>37.257397</v>
      </c>
      <c r="H518" s="18" t="n">
        <v>8</v>
      </c>
      <c r="I518" s="21" t="str">
        <f aca="false">CONCATENATE(B518,"_",C518,H518)</f>
        <v>NFWB_M. nasutus8</v>
      </c>
      <c r="J518" s="22" t="n">
        <v>44693</v>
      </c>
      <c r="K518" s="23" t="n">
        <v>0.5</v>
      </c>
      <c r="L518" s="22" t="n">
        <v>44694</v>
      </c>
      <c r="M518" s="23" t="n">
        <v>0.486111111111111</v>
      </c>
      <c r="O518" s="1" t="s">
        <v>485</v>
      </c>
      <c r="P518" s="16" t="s">
        <v>451</v>
      </c>
      <c r="Q518" s="16" t="s">
        <v>452</v>
      </c>
      <c r="R518" s="16" t="s">
        <v>453</v>
      </c>
      <c r="S518" s="4" t="s">
        <v>66</v>
      </c>
      <c r="T518" s="24" t="n">
        <v>268</v>
      </c>
      <c r="U518" s="18" t="n">
        <v>2.1</v>
      </c>
      <c r="V518" s="24" t="n">
        <v>0.15</v>
      </c>
      <c r="W518" s="2" t="n">
        <v>0.1</v>
      </c>
      <c r="Y518" s="2" t="s">
        <v>472</v>
      </c>
      <c r="Z518" s="18" t="s">
        <v>473</v>
      </c>
      <c r="AA518" s="20"/>
      <c r="AB518" s="20"/>
      <c r="AC518" s="19" t="e">
        <f aca="false">(AB518-AA518)/AB518</f>
        <v>#DIV/0!</v>
      </c>
    </row>
    <row r="519" customFormat="false" ht="14.25" hidden="false" customHeight="true" outlineLevel="0" collapsed="false">
      <c r="A519" s="18" t="s">
        <v>449</v>
      </c>
      <c r="B519" s="18" t="s">
        <v>449</v>
      </c>
      <c r="C519" s="18" t="s">
        <v>159</v>
      </c>
      <c r="E519" s="2" t="n">
        <f aca="false">INDEX(FieldSites!F:F, MATCH(Ch2_FieldSurvey!B519,FieldSites!C:C,0))</f>
        <v>875</v>
      </c>
      <c r="F519" s="2" t="n">
        <f aca="false">INDEX(FieldSites!G:G, MATCH(Ch2_FieldSurvey!B519,FieldSites!C:C,0))</f>
        <v>-119.521415</v>
      </c>
      <c r="G519" s="2" t="n">
        <f aca="false">INDEX(FieldSites!H:H, MATCH(Ch2_FieldSurvey!B519,FieldSites!C:C,0))</f>
        <v>37.257397</v>
      </c>
      <c r="H519" s="18" t="n">
        <v>9</v>
      </c>
      <c r="I519" s="21" t="str">
        <f aca="false">CONCATENATE(B519,"_",C519,H519)</f>
        <v>NFWB_M. nasutus9</v>
      </c>
      <c r="J519" s="22" t="n">
        <v>44693</v>
      </c>
      <c r="K519" s="23" t="n">
        <v>0.5</v>
      </c>
      <c r="L519" s="22" t="n">
        <v>44694</v>
      </c>
      <c r="M519" s="23" t="n">
        <v>0.488194444444444</v>
      </c>
      <c r="O519" s="1" t="s">
        <v>486</v>
      </c>
      <c r="P519" s="16" t="s">
        <v>451</v>
      </c>
      <c r="Q519" s="16" t="s">
        <v>452</v>
      </c>
      <c r="R519" s="16" t="s">
        <v>453</v>
      </c>
      <c r="S519" s="4" t="s">
        <v>163</v>
      </c>
      <c r="T519" s="24" t="n">
        <v>283</v>
      </c>
      <c r="U519" s="18" t="n">
        <v>2.4</v>
      </c>
      <c r="V519" s="24" t="n">
        <v>0.16</v>
      </c>
      <c r="W519" s="2" t="n">
        <v>0.1</v>
      </c>
      <c r="Y519" s="2" t="s">
        <v>472</v>
      </c>
      <c r="Z519" s="18" t="s">
        <v>473</v>
      </c>
      <c r="AA519" s="20" t="n">
        <v>375438</v>
      </c>
      <c r="AB519" s="20" t="n">
        <v>406291</v>
      </c>
      <c r="AC519" s="19" t="n">
        <f aca="false">(AB519-AA519)/AB519</f>
        <v>0.0759381822388387</v>
      </c>
    </row>
    <row r="520" customFormat="false" ht="14.25" hidden="false" customHeight="true" outlineLevel="0" collapsed="false">
      <c r="A520" s="18" t="s">
        <v>449</v>
      </c>
      <c r="B520" s="18" t="s">
        <v>449</v>
      </c>
      <c r="C520" s="18" t="s">
        <v>159</v>
      </c>
      <c r="E520" s="2" t="n">
        <f aca="false">INDEX(FieldSites!F:F, MATCH(Ch2_FieldSurvey!B520,FieldSites!C:C,0))</f>
        <v>875</v>
      </c>
      <c r="F520" s="2" t="n">
        <f aca="false">INDEX(FieldSites!G:G, MATCH(Ch2_FieldSurvey!B520,FieldSites!C:C,0))</f>
        <v>-119.521415</v>
      </c>
      <c r="G520" s="2" t="n">
        <f aca="false">INDEX(FieldSites!H:H, MATCH(Ch2_FieldSurvey!B520,FieldSites!C:C,0))</f>
        <v>37.257397</v>
      </c>
      <c r="H520" s="18" t="n">
        <v>9</v>
      </c>
      <c r="I520" s="21" t="str">
        <f aca="false">CONCATENATE(B520,"_",C520,H520)</f>
        <v>NFWB_M. nasutus9</v>
      </c>
      <c r="J520" s="22" t="n">
        <v>44693</v>
      </c>
      <c r="K520" s="23" t="n">
        <v>0.5</v>
      </c>
      <c r="L520" s="22" t="n">
        <v>44694</v>
      </c>
      <c r="M520" s="23" t="n">
        <v>0.488194444444444</v>
      </c>
      <c r="O520" s="1" t="s">
        <v>486</v>
      </c>
      <c r="P520" s="16" t="s">
        <v>451</v>
      </c>
      <c r="Q520" s="16" t="s">
        <v>452</v>
      </c>
      <c r="R520" s="16" t="s">
        <v>453</v>
      </c>
      <c r="S520" s="4" t="s">
        <v>163</v>
      </c>
      <c r="T520" s="24" t="n">
        <v>270</v>
      </c>
      <c r="U520" s="18" t="n">
        <v>2.5</v>
      </c>
      <c r="V520" s="24" t="n">
        <v>0.2</v>
      </c>
      <c r="W520" s="2" t="n">
        <v>0.1</v>
      </c>
      <c r="Y520" s="2" t="s">
        <v>472</v>
      </c>
      <c r="Z520" s="18" t="s">
        <v>473</v>
      </c>
      <c r="AA520" s="20"/>
      <c r="AB520" s="20"/>
      <c r="AC520" s="19" t="e">
        <f aca="false">(AB520-AA520)/AB520</f>
        <v>#DIV/0!</v>
      </c>
    </row>
    <row r="521" customFormat="false" ht="14.25" hidden="false" customHeight="true" outlineLevel="0" collapsed="false">
      <c r="A521" s="18" t="s">
        <v>449</v>
      </c>
      <c r="B521" s="18" t="s">
        <v>449</v>
      </c>
      <c r="C521" s="18" t="s">
        <v>159</v>
      </c>
      <c r="E521" s="2" t="n">
        <f aca="false">INDEX(FieldSites!F:F, MATCH(Ch2_FieldSurvey!B521,FieldSites!C:C,0))</f>
        <v>875</v>
      </c>
      <c r="F521" s="2" t="n">
        <f aca="false">INDEX(FieldSites!G:G, MATCH(Ch2_FieldSurvey!B521,FieldSites!C:C,0))</f>
        <v>-119.521415</v>
      </c>
      <c r="G521" s="2" t="n">
        <f aca="false">INDEX(FieldSites!H:H, MATCH(Ch2_FieldSurvey!B521,FieldSites!C:C,0))</f>
        <v>37.257397</v>
      </c>
      <c r="H521" s="18" t="n">
        <v>9</v>
      </c>
      <c r="I521" s="21" t="str">
        <f aca="false">CONCATENATE(B521,"_",C521,H521)</f>
        <v>NFWB_M. nasutus9</v>
      </c>
      <c r="J521" s="22" t="n">
        <v>44693</v>
      </c>
      <c r="K521" s="23" t="n">
        <v>0.5</v>
      </c>
      <c r="L521" s="22" t="n">
        <v>44694</v>
      </c>
      <c r="M521" s="23" t="n">
        <v>0.488194444444444</v>
      </c>
      <c r="O521" s="1" t="s">
        <v>486</v>
      </c>
      <c r="P521" s="16" t="s">
        <v>451</v>
      </c>
      <c r="Q521" s="16" t="s">
        <v>452</v>
      </c>
      <c r="R521" s="16" t="s">
        <v>453</v>
      </c>
      <c r="S521" s="4" t="s">
        <v>163</v>
      </c>
      <c r="T521" s="24" t="n">
        <v>362</v>
      </c>
      <c r="U521" s="18" t="n">
        <v>2.6</v>
      </c>
      <c r="V521" s="24" t="n">
        <v>0.17</v>
      </c>
      <c r="W521" s="2" t="n">
        <v>0.2</v>
      </c>
      <c r="Y521" s="2" t="s">
        <v>472</v>
      </c>
      <c r="Z521" s="18" t="s">
        <v>473</v>
      </c>
      <c r="AA521" s="20"/>
      <c r="AB521" s="20"/>
      <c r="AC521" s="19" t="e">
        <f aca="false">(AB521-AA521)/AB521</f>
        <v>#DIV/0!</v>
      </c>
    </row>
    <row r="522" customFormat="false" ht="14.25" hidden="false" customHeight="true" outlineLevel="0" collapsed="false">
      <c r="A522" s="18" t="s">
        <v>449</v>
      </c>
      <c r="B522" s="18" t="s">
        <v>449</v>
      </c>
      <c r="C522" s="18" t="s">
        <v>159</v>
      </c>
      <c r="E522" s="2" t="n">
        <f aca="false">INDEX(FieldSites!F:F, MATCH(Ch2_FieldSurvey!B522,FieldSites!C:C,0))</f>
        <v>875</v>
      </c>
      <c r="F522" s="2" t="n">
        <f aca="false">INDEX(FieldSites!G:G, MATCH(Ch2_FieldSurvey!B522,FieldSites!C:C,0))</f>
        <v>-119.521415</v>
      </c>
      <c r="G522" s="2" t="n">
        <f aca="false">INDEX(FieldSites!H:H, MATCH(Ch2_FieldSurvey!B522,FieldSites!C:C,0))</f>
        <v>37.257397</v>
      </c>
      <c r="H522" s="18" t="n">
        <v>10</v>
      </c>
      <c r="I522" s="21" t="str">
        <f aca="false">CONCATENATE(B522,"_",C522,H522)</f>
        <v>NFWB_M. nasutus10</v>
      </c>
      <c r="J522" s="22" t="n">
        <v>44693</v>
      </c>
      <c r="K522" s="23" t="n">
        <v>0.5</v>
      </c>
      <c r="L522" s="22" t="n">
        <v>44694</v>
      </c>
      <c r="M522" s="23" t="n">
        <v>0.490972222222222</v>
      </c>
      <c r="O522" s="1" t="s">
        <v>487</v>
      </c>
      <c r="P522" s="16" t="s">
        <v>451</v>
      </c>
      <c r="Q522" s="16" t="s">
        <v>452</v>
      </c>
      <c r="R522" s="16" t="s">
        <v>453</v>
      </c>
      <c r="S522" s="4" t="s">
        <v>488</v>
      </c>
      <c r="T522" s="24" t="n">
        <v>305</v>
      </c>
      <c r="U522" s="18" t="n">
        <v>2.5</v>
      </c>
      <c r="V522" s="24" t="n">
        <v>0.16</v>
      </c>
      <c r="W522" s="2" t="n">
        <v>0.1</v>
      </c>
      <c r="Y522" s="2" t="s">
        <v>472</v>
      </c>
      <c r="Z522" s="18" t="s">
        <v>473</v>
      </c>
      <c r="AA522" s="20" t="n">
        <v>555077</v>
      </c>
      <c r="AB522" s="20" t="n">
        <v>601067</v>
      </c>
      <c r="AC522" s="19" t="n">
        <f aca="false">(AB522-AA522)/AB522</f>
        <v>0.0765139327229743</v>
      </c>
    </row>
    <row r="523" customFormat="false" ht="14.25" hidden="false" customHeight="true" outlineLevel="0" collapsed="false">
      <c r="A523" s="18" t="s">
        <v>449</v>
      </c>
      <c r="B523" s="18" t="s">
        <v>449</v>
      </c>
      <c r="C523" s="18" t="s">
        <v>159</v>
      </c>
      <c r="E523" s="2" t="n">
        <f aca="false">INDEX(FieldSites!F:F, MATCH(Ch2_FieldSurvey!B523,FieldSites!C:C,0))</f>
        <v>875</v>
      </c>
      <c r="F523" s="2" t="n">
        <f aca="false">INDEX(FieldSites!G:G, MATCH(Ch2_FieldSurvey!B523,FieldSites!C:C,0))</f>
        <v>-119.521415</v>
      </c>
      <c r="G523" s="2" t="n">
        <f aca="false">INDEX(FieldSites!H:H, MATCH(Ch2_FieldSurvey!B523,FieldSites!C:C,0))</f>
        <v>37.257397</v>
      </c>
      <c r="H523" s="18" t="n">
        <v>10</v>
      </c>
      <c r="I523" s="21" t="str">
        <f aca="false">CONCATENATE(B523,"_",C523,H523)</f>
        <v>NFWB_M. nasutus10</v>
      </c>
      <c r="J523" s="22" t="n">
        <v>44693</v>
      </c>
      <c r="K523" s="23" t="n">
        <v>0.5</v>
      </c>
      <c r="L523" s="22" t="n">
        <v>44694</v>
      </c>
      <c r="M523" s="23" t="n">
        <v>0.490972222222222</v>
      </c>
      <c r="O523" s="1" t="s">
        <v>487</v>
      </c>
      <c r="P523" s="16" t="s">
        <v>451</v>
      </c>
      <c r="Q523" s="16" t="s">
        <v>452</v>
      </c>
      <c r="R523" s="16" t="s">
        <v>453</v>
      </c>
      <c r="S523" s="4" t="s">
        <v>488</v>
      </c>
      <c r="T523" s="24" t="n">
        <v>254</v>
      </c>
      <c r="U523" s="18" t="n">
        <v>2.2</v>
      </c>
      <c r="V523" s="24" t="n">
        <v>0.19</v>
      </c>
      <c r="W523" s="2" t="n">
        <v>0.2</v>
      </c>
      <c r="Y523" s="2" t="s">
        <v>472</v>
      </c>
      <c r="Z523" s="18" t="s">
        <v>473</v>
      </c>
      <c r="AA523" s="20"/>
      <c r="AB523" s="20"/>
      <c r="AC523" s="19" t="e">
        <f aca="false">(AB523-AA523)/AB523</f>
        <v>#DIV/0!</v>
      </c>
    </row>
    <row r="524" customFormat="false" ht="14.25" hidden="false" customHeight="true" outlineLevel="0" collapsed="false">
      <c r="A524" s="18" t="s">
        <v>449</v>
      </c>
      <c r="B524" s="18" t="s">
        <v>449</v>
      </c>
      <c r="C524" s="18" t="s">
        <v>159</v>
      </c>
      <c r="E524" s="2" t="n">
        <f aca="false">INDEX(FieldSites!F:F, MATCH(Ch2_FieldSurvey!B524,FieldSites!C:C,0))</f>
        <v>875</v>
      </c>
      <c r="F524" s="2" t="n">
        <f aca="false">INDEX(FieldSites!G:G, MATCH(Ch2_FieldSurvey!B524,FieldSites!C:C,0))</f>
        <v>-119.521415</v>
      </c>
      <c r="G524" s="2" t="n">
        <f aca="false">INDEX(FieldSites!H:H, MATCH(Ch2_FieldSurvey!B524,FieldSites!C:C,0))</f>
        <v>37.257397</v>
      </c>
      <c r="H524" s="18" t="n">
        <v>10</v>
      </c>
      <c r="I524" s="21" t="str">
        <f aca="false">CONCATENATE(B524,"_",C524,H524)</f>
        <v>NFWB_M. nasutus10</v>
      </c>
      <c r="J524" s="22" t="n">
        <v>44693</v>
      </c>
      <c r="K524" s="23" t="n">
        <v>0.5</v>
      </c>
      <c r="L524" s="22" t="n">
        <v>44694</v>
      </c>
      <c r="M524" s="23" t="n">
        <v>0.490972222222222</v>
      </c>
      <c r="O524" s="1" t="s">
        <v>487</v>
      </c>
      <c r="P524" s="16" t="s">
        <v>451</v>
      </c>
      <c r="Q524" s="16" t="s">
        <v>452</v>
      </c>
      <c r="R524" s="16" t="s">
        <v>453</v>
      </c>
      <c r="S524" s="4" t="s">
        <v>488</v>
      </c>
      <c r="T524" s="24" t="n">
        <v>258</v>
      </c>
      <c r="U524" s="18" t="n">
        <v>2.5</v>
      </c>
      <c r="V524" s="24" t="n">
        <v>0.15</v>
      </c>
      <c r="W524" s="2" t="n">
        <v>0.1</v>
      </c>
      <c r="Y524" s="2" t="s">
        <v>472</v>
      </c>
      <c r="Z524" s="18" t="s">
        <v>473</v>
      </c>
      <c r="AA524" s="20"/>
      <c r="AB524" s="20"/>
      <c r="AC524" s="19" t="e">
        <f aca="false">(AB524-AA524)/AB524</f>
        <v>#DIV/0!</v>
      </c>
    </row>
    <row r="525" customFormat="false" ht="14.25" hidden="false" customHeight="true" outlineLevel="0" collapsed="false">
      <c r="A525" s="18" t="s">
        <v>489</v>
      </c>
      <c r="B525" s="18" t="s">
        <v>489</v>
      </c>
      <c r="C525" s="18" t="s">
        <v>40</v>
      </c>
      <c r="E525" s="2" t="n">
        <f aca="false">INDEX(FieldSites!F:F, MATCH(Ch2_FieldSurvey!B525,FieldSites!C:C,0))</f>
        <v>1037</v>
      </c>
      <c r="F525" s="2" t="n">
        <f aca="false">INDEX(FieldSites!G:G, MATCH(Ch2_FieldSurvey!B525,FieldSites!C:C,0))</f>
        <v>-119.534709</v>
      </c>
      <c r="G525" s="2" t="n">
        <f aca="false">INDEX(FieldSites!H:H, MATCH(Ch2_FieldSurvey!B525,FieldSites!C:C,0))</f>
        <v>37.288671</v>
      </c>
      <c r="H525" s="18" t="n">
        <v>1</v>
      </c>
      <c r="I525" s="21" t="str">
        <f aca="false">CONCATENATE(B525,"_",C525,H525)</f>
        <v>HDRB_M. guttatus1</v>
      </c>
      <c r="J525" s="22" t="n">
        <v>44693</v>
      </c>
      <c r="K525" s="23" t="n">
        <v>0.576388888888889</v>
      </c>
      <c r="L525" s="22" t="n">
        <v>44694</v>
      </c>
      <c r="M525" s="23" t="n">
        <v>0.497222222222222</v>
      </c>
      <c r="O525" s="1" t="s">
        <v>490</v>
      </c>
      <c r="P525" s="16" t="s">
        <v>451</v>
      </c>
      <c r="Q525" s="16" t="s">
        <v>491</v>
      </c>
      <c r="R525" s="16" t="s">
        <v>453</v>
      </c>
      <c r="S525" s="4" t="s">
        <v>492</v>
      </c>
      <c r="T525" s="24" t="n">
        <v>258</v>
      </c>
      <c r="U525" s="18" t="n">
        <v>9</v>
      </c>
      <c r="V525" s="24" t="n">
        <v>0.39</v>
      </c>
      <c r="W525" s="2" t="n">
        <v>0.3</v>
      </c>
      <c r="Y525" s="2" t="s">
        <v>454</v>
      </c>
      <c r="Z525" s="18" t="s">
        <v>493</v>
      </c>
      <c r="AA525" s="20" t="n">
        <v>207266</v>
      </c>
      <c r="AB525" s="20" t="n">
        <v>235256</v>
      </c>
      <c r="AC525" s="19" t="n">
        <f aca="false">(AB525-AA525)/AB525</f>
        <v>0.118976774237426</v>
      </c>
    </row>
    <row r="526" customFormat="false" ht="14.25" hidden="false" customHeight="true" outlineLevel="0" collapsed="false">
      <c r="A526" s="18" t="s">
        <v>489</v>
      </c>
      <c r="B526" s="18" t="s">
        <v>489</v>
      </c>
      <c r="C526" s="18" t="s">
        <v>40</v>
      </c>
      <c r="E526" s="2" t="n">
        <f aca="false">INDEX(FieldSites!F:F, MATCH(Ch2_FieldSurvey!B526,FieldSites!C:C,0))</f>
        <v>1037</v>
      </c>
      <c r="F526" s="2" t="n">
        <f aca="false">INDEX(FieldSites!G:G, MATCH(Ch2_FieldSurvey!B526,FieldSites!C:C,0))</f>
        <v>-119.534709</v>
      </c>
      <c r="G526" s="2" t="n">
        <f aca="false">INDEX(FieldSites!H:H, MATCH(Ch2_FieldSurvey!B526,FieldSites!C:C,0))</f>
        <v>37.288671</v>
      </c>
      <c r="H526" s="18" t="n">
        <v>1</v>
      </c>
      <c r="I526" s="21" t="str">
        <f aca="false">CONCATENATE(B526,"_",C526,H526)</f>
        <v>HDRB_M. guttatus1</v>
      </c>
      <c r="J526" s="22" t="n">
        <v>44693</v>
      </c>
      <c r="K526" s="23" t="n">
        <v>0.576388888888889</v>
      </c>
      <c r="L526" s="22" t="n">
        <v>44694</v>
      </c>
      <c r="M526" s="23" t="n">
        <v>0.497222222222222</v>
      </c>
      <c r="O526" s="1" t="s">
        <v>490</v>
      </c>
      <c r="P526" s="16" t="s">
        <v>451</v>
      </c>
      <c r="Q526" s="16" t="s">
        <v>491</v>
      </c>
      <c r="R526" s="16" t="s">
        <v>453</v>
      </c>
      <c r="S526" s="4" t="s">
        <v>492</v>
      </c>
      <c r="T526" s="24" t="n">
        <v>205</v>
      </c>
      <c r="U526" s="18" t="n">
        <v>7</v>
      </c>
      <c r="V526" s="24" t="n">
        <v>0.36</v>
      </c>
      <c r="W526" s="2" t="n">
        <v>0.2</v>
      </c>
      <c r="Y526" s="2" t="s">
        <v>454</v>
      </c>
      <c r="Z526" s="18" t="s">
        <v>493</v>
      </c>
      <c r="AA526" s="20"/>
      <c r="AB526" s="20"/>
      <c r="AC526" s="19" t="e">
        <f aca="false">(AB526-AA526)/AB526</f>
        <v>#DIV/0!</v>
      </c>
    </row>
    <row r="527" customFormat="false" ht="14.25" hidden="false" customHeight="true" outlineLevel="0" collapsed="false">
      <c r="A527" s="18" t="s">
        <v>489</v>
      </c>
      <c r="B527" s="18" t="s">
        <v>489</v>
      </c>
      <c r="C527" s="18" t="s">
        <v>40</v>
      </c>
      <c r="E527" s="2" t="n">
        <f aca="false">INDEX(FieldSites!F:F, MATCH(Ch2_FieldSurvey!B527,FieldSites!C:C,0))</f>
        <v>1037</v>
      </c>
      <c r="F527" s="2" t="n">
        <f aca="false">INDEX(FieldSites!G:G, MATCH(Ch2_FieldSurvey!B527,FieldSites!C:C,0))</f>
        <v>-119.534709</v>
      </c>
      <c r="G527" s="2" t="n">
        <f aca="false">INDEX(FieldSites!H:H, MATCH(Ch2_FieldSurvey!B527,FieldSites!C:C,0))</f>
        <v>37.288671</v>
      </c>
      <c r="H527" s="18" t="n">
        <v>1</v>
      </c>
      <c r="I527" s="21" t="str">
        <f aca="false">CONCATENATE(B527,"_",C527,H527)</f>
        <v>HDRB_M. guttatus1</v>
      </c>
      <c r="J527" s="22" t="n">
        <v>44693</v>
      </c>
      <c r="K527" s="23" t="n">
        <v>0.576388888888889</v>
      </c>
      <c r="L527" s="22" t="n">
        <v>44694</v>
      </c>
      <c r="M527" s="23" t="n">
        <v>0.497222222222222</v>
      </c>
      <c r="O527" s="1" t="s">
        <v>490</v>
      </c>
      <c r="P527" s="16" t="s">
        <v>451</v>
      </c>
      <c r="Q527" s="16" t="s">
        <v>491</v>
      </c>
      <c r="R527" s="16" t="s">
        <v>453</v>
      </c>
      <c r="S527" s="4" t="s">
        <v>492</v>
      </c>
      <c r="T527" s="24" t="n">
        <v>220</v>
      </c>
      <c r="U527" s="18" t="n">
        <v>8.2</v>
      </c>
      <c r="V527" s="24" t="n">
        <v>0.34</v>
      </c>
      <c r="W527" s="2" t="n">
        <v>0.3</v>
      </c>
      <c r="Y527" s="2" t="s">
        <v>454</v>
      </c>
      <c r="Z527" s="18" t="s">
        <v>493</v>
      </c>
      <c r="AA527" s="20"/>
      <c r="AB527" s="20"/>
      <c r="AC527" s="19" t="e">
        <f aca="false">(AB527-AA527)/AB527</f>
        <v>#DIV/0!</v>
      </c>
    </row>
    <row r="528" customFormat="false" ht="14.25" hidden="false" customHeight="true" outlineLevel="0" collapsed="false">
      <c r="A528" s="18" t="s">
        <v>489</v>
      </c>
      <c r="B528" s="18" t="s">
        <v>489</v>
      </c>
      <c r="C528" s="18" t="s">
        <v>40</v>
      </c>
      <c r="E528" s="2" t="n">
        <f aca="false">INDEX(FieldSites!F:F, MATCH(Ch2_FieldSurvey!B528,FieldSites!C:C,0))</f>
        <v>1037</v>
      </c>
      <c r="F528" s="2" t="n">
        <f aca="false">INDEX(FieldSites!G:G, MATCH(Ch2_FieldSurvey!B528,FieldSites!C:C,0))</f>
        <v>-119.534709</v>
      </c>
      <c r="G528" s="2" t="n">
        <f aca="false">INDEX(FieldSites!H:H, MATCH(Ch2_FieldSurvey!B528,FieldSites!C:C,0))</f>
        <v>37.288671</v>
      </c>
      <c r="H528" s="18" t="n">
        <v>2</v>
      </c>
      <c r="I528" s="21" t="str">
        <f aca="false">CONCATENATE(B528,"_",C528,H528)</f>
        <v>HDRB_M. guttatus2</v>
      </c>
      <c r="J528" s="22" t="n">
        <v>44693</v>
      </c>
      <c r="K528" s="23" t="n">
        <v>0.576388888888889</v>
      </c>
      <c r="L528" s="22" t="n">
        <v>44694</v>
      </c>
      <c r="M528" s="23" t="n">
        <v>0.501388888888889</v>
      </c>
      <c r="O528" s="1" t="s">
        <v>494</v>
      </c>
      <c r="P528" s="16" t="s">
        <v>451</v>
      </c>
      <c r="Q528" s="16" t="s">
        <v>491</v>
      </c>
      <c r="R528" s="16" t="s">
        <v>453</v>
      </c>
      <c r="S528" s="4" t="s">
        <v>495</v>
      </c>
      <c r="T528" s="24" t="n">
        <v>305</v>
      </c>
      <c r="U528" s="18" t="n">
        <v>10.3</v>
      </c>
      <c r="V528" s="24" t="n">
        <v>0.73</v>
      </c>
      <c r="W528" s="2" t="n">
        <v>0.5</v>
      </c>
      <c r="Y528" s="2" t="s">
        <v>454</v>
      </c>
      <c r="Z528" s="18" t="s">
        <v>493</v>
      </c>
      <c r="AA528" s="20" t="n">
        <v>551641</v>
      </c>
      <c r="AB528" s="20" t="n">
        <v>623082</v>
      </c>
      <c r="AC528" s="19" t="n">
        <f aca="false">(AB528-AA528)/AB528</f>
        <v>0.114657460815751</v>
      </c>
    </row>
    <row r="529" customFormat="false" ht="14.25" hidden="false" customHeight="true" outlineLevel="0" collapsed="false">
      <c r="A529" s="18" t="s">
        <v>489</v>
      </c>
      <c r="B529" s="18" t="s">
        <v>489</v>
      </c>
      <c r="C529" s="18" t="s">
        <v>40</v>
      </c>
      <c r="E529" s="2" t="n">
        <f aca="false">INDEX(FieldSites!F:F, MATCH(Ch2_FieldSurvey!B529,FieldSites!C:C,0))</f>
        <v>1037</v>
      </c>
      <c r="F529" s="2" t="n">
        <f aca="false">INDEX(FieldSites!G:G, MATCH(Ch2_FieldSurvey!B529,FieldSites!C:C,0))</f>
        <v>-119.534709</v>
      </c>
      <c r="G529" s="2" t="n">
        <f aca="false">INDEX(FieldSites!H:H, MATCH(Ch2_FieldSurvey!B529,FieldSites!C:C,0))</f>
        <v>37.288671</v>
      </c>
      <c r="H529" s="18" t="n">
        <v>2</v>
      </c>
      <c r="I529" s="21" t="str">
        <f aca="false">CONCATENATE(B529,"_",C529,H529)</f>
        <v>HDRB_M. guttatus2</v>
      </c>
      <c r="J529" s="22" t="n">
        <v>44693</v>
      </c>
      <c r="K529" s="23" t="n">
        <v>0.576388888888889</v>
      </c>
      <c r="L529" s="22" t="n">
        <v>44694</v>
      </c>
      <c r="M529" s="23" t="n">
        <v>0.501388888888889</v>
      </c>
      <c r="O529" s="1" t="s">
        <v>494</v>
      </c>
      <c r="P529" s="16" t="s">
        <v>451</v>
      </c>
      <c r="Q529" s="16" t="s">
        <v>491</v>
      </c>
      <c r="R529" s="16" t="s">
        <v>453</v>
      </c>
      <c r="S529" s="4" t="s">
        <v>495</v>
      </c>
      <c r="T529" s="24" t="n">
        <v>350</v>
      </c>
      <c r="U529" s="18" t="n">
        <v>3</v>
      </c>
      <c r="V529" s="24" t="n">
        <v>0.46</v>
      </c>
      <c r="W529" s="2" t="n">
        <v>0.7</v>
      </c>
      <c r="Y529" s="2" t="s">
        <v>454</v>
      </c>
      <c r="Z529" s="18" t="s">
        <v>493</v>
      </c>
      <c r="AA529" s="20"/>
      <c r="AB529" s="20"/>
      <c r="AC529" s="19" t="e">
        <f aca="false">(AB529-AA529)/AB529</f>
        <v>#DIV/0!</v>
      </c>
    </row>
    <row r="530" customFormat="false" ht="14.25" hidden="false" customHeight="true" outlineLevel="0" collapsed="false">
      <c r="A530" s="18" t="s">
        <v>489</v>
      </c>
      <c r="B530" s="18" t="s">
        <v>489</v>
      </c>
      <c r="C530" s="18" t="s">
        <v>40</v>
      </c>
      <c r="E530" s="2" t="n">
        <f aca="false">INDEX(FieldSites!F:F, MATCH(Ch2_FieldSurvey!B530,FieldSites!C:C,0))</f>
        <v>1037</v>
      </c>
      <c r="F530" s="2" t="n">
        <f aca="false">INDEX(FieldSites!G:G, MATCH(Ch2_FieldSurvey!B530,FieldSites!C:C,0))</f>
        <v>-119.534709</v>
      </c>
      <c r="G530" s="2" t="n">
        <f aca="false">INDEX(FieldSites!H:H, MATCH(Ch2_FieldSurvey!B530,FieldSites!C:C,0))</f>
        <v>37.288671</v>
      </c>
      <c r="H530" s="18" t="n">
        <v>2</v>
      </c>
      <c r="I530" s="21" t="str">
        <f aca="false">CONCATENATE(B530,"_",C530,H530)</f>
        <v>HDRB_M. guttatus2</v>
      </c>
      <c r="J530" s="22" t="n">
        <v>44693</v>
      </c>
      <c r="K530" s="23" t="n">
        <v>0.576388888888889</v>
      </c>
      <c r="L530" s="22" t="n">
        <v>44694</v>
      </c>
      <c r="M530" s="23" t="n">
        <v>0.501388888888889</v>
      </c>
      <c r="O530" s="1" t="s">
        <v>494</v>
      </c>
      <c r="P530" s="16" t="s">
        <v>451</v>
      </c>
      <c r="Q530" s="16" t="s">
        <v>491</v>
      </c>
      <c r="R530" s="16" t="s">
        <v>453</v>
      </c>
      <c r="S530" s="4" t="s">
        <v>495</v>
      </c>
      <c r="T530" s="24" t="n">
        <v>323</v>
      </c>
      <c r="U530" s="18" t="n">
        <v>5.4</v>
      </c>
      <c r="V530" s="24" t="n">
        <v>0.62</v>
      </c>
      <c r="W530" s="2" t="n">
        <v>0.3</v>
      </c>
      <c r="Y530" s="2" t="s">
        <v>454</v>
      </c>
      <c r="Z530" s="18" t="s">
        <v>493</v>
      </c>
      <c r="AA530" s="20"/>
      <c r="AB530" s="20"/>
      <c r="AC530" s="19" t="e">
        <f aca="false">(AB530-AA530)/AB530</f>
        <v>#DIV/0!</v>
      </c>
    </row>
    <row r="531" customFormat="false" ht="14.25" hidden="false" customHeight="true" outlineLevel="0" collapsed="false">
      <c r="A531" s="18" t="s">
        <v>489</v>
      </c>
      <c r="B531" s="18" t="s">
        <v>489</v>
      </c>
      <c r="C531" s="18" t="s">
        <v>40</v>
      </c>
      <c r="E531" s="2" t="n">
        <f aca="false">INDEX(FieldSites!F:F, MATCH(Ch2_FieldSurvey!B531,FieldSites!C:C,0))</f>
        <v>1037</v>
      </c>
      <c r="F531" s="2" t="n">
        <f aca="false">INDEX(FieldSites!G:G, MATCH(Ch2_FieldSurvey!B531,FieldSites!C:C,0))</f>
        <v>-119.534709</v>
      </c>
      <c r="G531" s="2" t="n">
        <f aca="false">INDEX(FieldSites!H:H, MATCH(Ch2_FieldSurvey!B531,FieldSites!C:C,0))</f>
        <v>37.288671</v>
      </c>
      <c r="H531" s="18" t="n">
        <v>3</v>
      </c>
      <c r="I531" s="21" t="str">
        <f aca="false">CONCATENATE(B531,"_",C531,H531)</f>
        <v>HDRB_M. guttatus3</v>
      </c>
      <c r="J531" s="22" t="n">
        <v>44693</v>
      </c>
      <c r="K531" s="23" t="n">
        <v>0.576388888888889</v>
      </c>
      <c r="L531" s="22" t="n">
        <v>44694</v>
      </c>
      <c r="M531" s="23" t="n">
        <v>0.504166666666667</v>
      </c>
      <c r="O531" s="1" t="s">
        <v>496</v>
      </c>
      <c r="P531" s="16" t="s">
        <v>451</v>
      </c>
      <c r="Q531" s="16" t="s">
        <v>491</v>
      </c>
      <c r="R531" s="16" t="s">
        <v>453</v>
      </c>
      <c r="S531" s="4" t="s">
        <v>497</v>
      </c>
      <c r="T531" s="24" t="n">
        <v>295</v>
      </c>
      <c r="U531" s="18" t="n">
        <v>3.8</v>
      </c>
      <c r="V531" s="24" t="n">
        <v>0.4</v>
      </c>
      <c r="W531" s="2" t="n">
        <v>0.6</v>
      </c>
      <c r="Y531" s="2" t="s">
        <v>454</v>
      </c>
      <c r="Z531" s="18" t="s">
        <v>493</v>
      </c>
      <c r="AA531" s="20" t="n">
        <v>467372</v>
      </c>
      <c r="AB531" s="20" t="n">
        <v>540306</v>
      </c>
      <c r="AC531" s="19" t="n">
        <f aca="false">(AB531-AA531)/AB531</f>
        <v>0.134986470629606</v>
      </c>
    </row>
    <row r="532" customFormat="false" ht="14.25" hidden="false" customHeight="true" outlineLevel="0" collapsed="false">
      <c r="A532" s="18" t="s">
        <v>489</v>
      </c>
      <c r="B532" s="18" t="s">
        <v>489</v>
      </c>
      <c r="C532" s="18" t="s">
        <v>40</v>
      </c>
      <c r="E532" s="2" t="n">
        <f aca="false">INDEX(FieldSites!F:F, MATCH(Ch2_FieldSurvey!B532,FieldSites!C:C,0))</f>
        <v>1037</v>
      </c>
      <c r="F532" s="2" t="n">
        <f aca="false">INDEX(FieldSites!G:G, MATCH(Ch2_FieldSurvey!B532,FieldSites!C:C,0))</f>
        <v>-119.534709</v>
      </c>
      <c r="G532" s="2" t="n">
        <f aca="false">INDEX(FieldSites!H:H, MATCH(Ch2_FieldSurvey!B532,FieldSites!C:C,0))</f>
        <v>37.288671</v>
      </c>
      <c r="H532" s="18" t="n">
        <v>3</v>
      </c>
      <c r="I532" s="21" t="str">
        <f aca="false">CONCATENATE(B532,"_",C532,H532)</f>
        <v>HDRB_M. guttatus3</v>
      </c>
      <c r="J532" s="22" t="n">
        <v>44693</v>
      </c>
      <c r="K532" s="23" t="n">
        <v>0.576388888888889</v>
      </c>
      <c r="L532" s="22" t="n">
        <v>44694</v>
      </c>
      <c r="M532" s="23" t="n">
        <v>0.504166666666667</v>
      </c>
      <c r="O532" s="1" t="s">
        <v>496</v>
      </c>
      <c r="P532" s="16" t="s">
        <v>451</v>
      </c>
      <c r="Q532" s="16" t="s">
        <v>491</v>
      </c>
      <c r="R532" s="16" t="s">
        <v>453</v>
      </c>
      <c r="S532" s="4" t="s">
        <v>497</v>
      </c>
      <c r="T532" s="24" t="n">
        <v>400</v>
      </c>
      <c r="U532" s="18" t="n">
        <v>4.1</v>
      </c>
      <c r="V532" s="24" t="n">
        <v>0.38</v>
      </c>
      <c r="W532" s="2" t="n">
        <v>0.6</v>
      </c>
      <c r="Y532" s="2" t="s">
        <v>454</v>
      </c>
      <c r="Z532" s="18" t="s">
        <v>493</v>
      </c>
      <c r="AA532" s="20"/>
      <c r="AB532" s="20"/>
      <c r="AC532" s="19" t="e">
        <f aca="false">(AB532-AA532)/AB532</f>
        <v>#DIV/0!</v>
      </c>
    </row>
    <row r="533" customFormat="false" ht="14.25" hidden="false" customHeight="true" outlineLevel="0" collapsed="false">
      <c r="A533" s="18" t="s">
        <v>489</v>
      </c>
      <c r="B533" s="18" t="s">
        <v>489</v>
      </c>
      <c r="C533" s="18" t="s">
        <v>40</v>
      </c>
      <c r="E533" s="2" t="n">
        <f aca="false">INDEX(FieldSites!F:F, MATCH(Ch2_FieldSurvey!B533,FieldSites!C:C,0))</f>
        <v>1037</v>
      </c>
      <c r="F533" s="2" t="n">
        <f aca="false">INDEX(FieldSites!G:G, MATCH(Ch2_FieldSurvey!B533,FieldSites!C:C,0))</f>
        <v>-119.534709</v>
      </c>
      <c r="G533" s="2" t="n">
        <f aca="false">INDEX(FieldSites!H:H, MATCH(Ch2_FieldSurvey!B533,FieldSites!C:C,0))</f>
        <v>37.288671</v>
      </c>
      <c r="H533" s="18" t="n">
        <v>3</v>
      </c>
      <c r="I533" s="21" t="str">
        <f aca="false">CONCATENATE(B533,"_",C533,H533)</f>
        <v>HDRB_M. guttatus3</v>
      </c>
      <c r="J533" s="22" t="n">
        <v>44693</v>
      </c>
      <c r="K533" s="23" t="n">
        <v>0.576388888888889</v>
      </c>
      <c r="L533" s="22" t="n">
        <v>44694</v>
      </c>
      <c r="M533" s="23" t="n">
        <v>0.504166666666667</v>
      </c>
      <c r="O533" s="1" t="s">
        <v>496</v>
      </c>
      <c r="P533" s="16" t="s">
        <v>451</v>
      </c>
      <c r="Q533" s="16" t="s">
        <v>491</v>
      </c>
      <c r="R533" s="16" t="s">
        <v>453</v>
      </c>
      <c r="S533" s="4" t="s">
        <v>497</v>
      </c>
      <c r="T533" s="24" t="n">
        <v>315</v>
      </c>
      <c r="U533" s="18" t="n">
        <v>3.8</v>
      </c>
      <c r="V533" s="24" t="n">
        <v>0.45</v>
      </c>
      <c r="W533" s="2" t="n">
        <v>0.5</v>
      </c>
      <c r="Y533" s="2" t="s">
        <v>454</v>
      </c>
      <c r="Z533" s="18" t="s">
        <v>493</v>
      </c>
      <c r="AA533" s="20"/>
      <c r="AB533" s="20"/>
      <c r="AC533" s="19" t="e">
        <f aca="false">(AB533-AA533)/AB533</f>
        <v>#DIV/0!</v>
      </c>
    </row>
    <row r="534" customFormat="false" ht="14.25" hidden="false" customHeight="true" outlineLevel="0" collapsed="false">
      <c r="A534" s="18" t="s">
        <v>489</v>
      </c>
      <c r="B534" s="18" t="s">
        <v>489</v>
      </c>
      <c r="C534" s="18" t="s">
        <v>40</v>
      </c>
      <c r="E534" s="2" t="n">
        <f aca="false">INDEX(FieldSites!F:F, MATCH(Ch2_FieldSurvey!B534,FieldSites!C:C,0))</f>
        <v>1037</v>
      </c>
      <c r="F534" s="2" t="n">
        <f aca="false">INDEX(FieldSites!G:G, MATCH(Ch2_FieldSurvey!B534,FieldSites!C:C,0))</f>
        <v>-119.534709</v>
      </c>
      <c r="G534" s="2" t="n">
        <f aca="false">INDEX(FieldSites!H:H, MATCH(Ch2_FieldSurvey!B534,FieldSites!C:C,0))</f>
        <v>37.288671</v>
      </c>
      <c r="H534" s="18" t="n">
        <v>4</v>
      </c>
      <c r="I534" s="21" t="str">
        <f aca="false">CONCATENATE(B534,"_",C534,H534)</f>
        <v>HDRB_M. guttatus4</v>
      </c>
      <c r="J534" s="22" t="n">
        <v>44693</v>
      </c>
      <c r="K534" s="23" t="n">
        <v>0.576388888888889</v>
      </c>
      <c r="L534" s="22" t="n">
        <v>44694</v>
      </c>
      <c r="M534" s="23" t="n">
        <v>0.506944444444444</v>
      </c>
      <c r="O534" s="1" t="s">
        <v>498</v>
      </c>
      <c r="P534" s="16" t="s">
        <v>451</v>
      </c>
      <c r="Q534" s="16" t="s">
        <v>491</v>
      </c>
      <c r="R534" s="16" t="s">
        <v>453</v>
      </c>
      <c r="S534" s="4" t="s">
        <v>499</v>
      </c>
      <c r="T534" s="24" t="n">
        <v>302</v>
      </c>
      <c r="U534" s="18" t="n">
        <v>5.4</v>
      </c>
      <c r="V534" s="24" t="n">
        <v>0.46</v>
      </c>
      <c r="W534" s="2" t="n">
        <v>0.8</v>
      </c>
      <c r="Y534" s="2" t="s">
        <v>454</v>
      </c>
      <c r="Z534" s="18" t="s">
        <v>493</v>
      </c>
      <c r="AA534" s="20" t="n">
        <v>476655</v>
      </c>
      <c r="AB534" s="20" t="n">
        <v>528178</v>
      </c>
      <c r="AC534" s="19" t="n">
        <f aca="false">(AB534-AA534)/AB534</f>
        <v>0.0975485537072729</v>
      </c>
    </row>
    <row r="535" customFormat="false" ht="14.25" hidden="false" customHeight="true" outlineLevel="0" collapsed="false">
      <c r="A535" s="18" t="s">
        <v>489</v>
      </c>
      <c r="B535" s="18" t="s">
        <v>489</v>
      </c>
      <c r="C535" s="18" t="s">
        <v>40</v>
      </c>
      <c r="E535" s="2" t="n">
        <f aca="false">INDEX(FieldSites!F:F, MATCH(Ch2_FieldSurvey!B535,FieldSites!C:C,0))</f>
        <v>1037</v>
      </c>
      <c r="F535" s="2" t="n">
        <f aca="false">INDEX(FieldSites!G:G, MATCH(Ch2_FieldSurvey!B535,FieldSites!C:C,0))</f>
        <v>-119.534709</v>
      </c>
      <c r="G535" s="2" t="n">
        <f aca="false">INDEX(FieldSites!H:H, MATCH(Ch2_FieldSurvey!B535,FieldSites!C:C,0))</f>
        <v>37.288671</v>
      </c>
      <c r="H535" s="18" t="n">
        <v>4</v>
      </c>
      <c r="I535" s="21" t="str">
        <f aca="false">CONCATENATE(B535,"_",C535,H535)</f>
        <v>HDRB_M. guttatus4</v>
      </c>
      <c r="J535" s="22" t="n">
        <v>44693</v>
      </c>
      <c r="K535" s="23" t="n">
        <v>0.576388888888889</v>
      </c>
      <c r="L535" s="22" t="n">
        <v>44694</v>
      </c>
      <c r="M535" s="23" t="n">
        <v>0.506944444444444</v>
      </c>
      <c r="O535" s="1" t="s">
        <v>498</v>
      </c>
      <c r="P535" s="16" t="s">
        <v>451</v>
      </c>
      <c r="Q535" s="16" t="s">
        <v>491</v>
      </c>
      <c r="R535" s="16" t="s">
        <v>453</v>
      </c>
      <c r="S535" s="4" t="s">
        <v>499</v>
      </c>
      <c r="T535" s="24" t="n">
        <v>335</v>
      </c>
      <c r="U535" s="18" t="n">
        <v>4.7</v>
      </c>
      <c r="V535" s="24" t="n">
        <v>0.38</v>
      </c>
      <c r="W535" s="2" t="n">
        <v>0.7</v>
      </c>
      <c r="Y535" s="2" t="s">
        <v>454</v>
      </c>
      <c r="Z535" s="18" t="s">
        <v>493</v>
      </c>
      <c r="AA535" s="20"/>
      <c r="AB535" s="20"/>
      <c r="AC535" s="19" t="e">
        <f aca="false">(AB535-AA535)/AB535</f>
        <v>#DIV/0!</v>
      </c>
    </row>
    <row r="536" customFormat="false" ht="14.25" hidden="false" customHeight="true" outlineLevel="0" collapsed="false">
      <c r="A536" s="18" t="s">
        <v>489</v>
      </c>
      <c r="B536" s="18" t="s">
        <v>489</v>
      </c>
      <c r="C536" s="18" t="s">
        <v>40</v>
      </c>
      <c r="E536" s="2" t="n">
        <f aca="false">INDEX(FieldSites!F:F, MATCH(Ch2_FieldSurvey!B536,FieldSites!C:C,0))</f>
        <v>1037</v>
      </c>
      <c r="F536" s="2" t="n">
        <f aca="false">INDEX(FieldSites!G:G, MATCH(Ch2_FieldSurvey!B536,FieldSites!C:C,0))</f>
        <v>-119.534709</v>
      </c>
      <c r="G536" s="2" t="n">
        <f aca="false">INDEX(FieldSites!H:H, MATCH(Ch2_FieldSurvey!B536,FieldSites!C:C,0))</f>
        <v>37.288671</v>
      </c>
      <c r="H536" s="18" t="n">
        <v>4</v>
      </c>
      <c r="I536" s="21" t="str">
        <f aca="false">CONCATENATE(B536,"_",C536,H536)</f>
        <v>HDRB_M. guttatus4</v>
      </c>
      <c r="J536" s="22" t="n">
        <v>44693</v>
      </c>
      <c r="K536" s="23" t="n">
        <v>0.576388888888889</v>
      </c>
      <c r="L536" s="22" t="n">
        <v>44694</v>
      </c>
      <c r="M536" s="23" t="n">
        <v>0.506944444444444</v>
      </c>
      <c r="O536" s="1" t="s">
        <v>498</v>
      </c>
      <c r="P536" s="16" t="s">
        <v>451</v>
      </c>
      <c r="Q536" s="16" t="s">
        <v>491</v>
      </c>
      <c r="R536" s="16" t="s">
        <v>453</v>
      </c>
      <c r="S536" s="4" t="s">
        <v>499</v>
      </c>
      <c r="T536" s="24" t="n">
        <v>425</v>
      </c>
      <c r="U536" s="18" t="n">
        <v>4.9</v>
      </c>
      <c r="V536" s="24" t="n">
        <v>0.42</v>
      </c>
      <c r="W536" s="2" t="n">
        <v>0.6</v>
      </c>
      <c r="Y536" s="2" t="s">
        <v>454</v>
      </c>
      <c r="Z536" s="18" t="s">
        <v>493</v>
      </c>
      <c r="AA536" s="20"/>
      <c r="AB536" s="20"/>
      <c r="AC536" s="19" t="e">
        <f aca="false">(AB536-AA536)/AB536</f>
        <v>#DIV/0!</v>
      </c>
    </row>
    <row r="537" customFormat="false" ht="14.25" hidden="false" customHeight="true" outlineLevel="0" collapsed="false">
      <c r="A537" s="18" t="s">
        <v>489</v>
      </c>
      <c r="B537" s="18" t="s">
        <v>489</v>
      </c>
      <c r="C537" s="18" t="s">
        <v>40</v>
      </c>
      <c r="E537" s="2" t="n">
        <f aca="false">INDEX(FieldSites!F:F, MATCH(Ch2_FieldSurvey!B537,FieldSites!C:C,0))</f>
        <v>1037</v>
      </c>
      <c r="F537" s="2" t="n">
        <f aca="false">INDEX(FieldSites!G:G, MATCH(Ch2_FieldSurvey!B537,FieldSites!C:C,0))</f>
        <v>-119.534709</v>
      </c>
      <c r="G537" s="2" t="n">
        <f aca="false">INDEX(FieldSites!H:H, MATCH(Ch2_FieldSurvey!B537,FieldSites!C:C,0))</f>
        <v>37.288671</v>
      </c>
      <c r="H537" s="18" t="n">
        <v>5</v>
      </c>
      <c r="I537" s="21" t="str">
        <f aca="false">CONCATENATE(B537,"_",C537,H537)</f>
        <v>HDRB_M. guttatus5</v>
      </c>
      <c r="J537" s="22" t="n">
        <v>44693</v>
      </c>
      <c r="K537" s="23" t="n">
        <v>0.576388888888889</v>
      </c>
      <c r="L537" s="22" t="n">
        <v>44694</v>
      </c>
      <c r="M537" s="23" t="n">
        <v>0.509027777777778</v>
      </c>
      <c r="O537" s="1" t="s">
        <v>500</v>
      </c>
      <c r="P537" s="16" t="s">
        <v>451</v>
      </c>
      <c r="Q537" s="16" t="s">
        <v>491</v>
      </c>
      <c r="R537" s="16" t="s">
        <v>453</v>
      </c>
      <c r="S537" s="4" t="s">
        <v>501</v>
      </c>
      <c r="T537" s="24" t="n">
        <v>235</v>
      </c>
      <c r="U537" s="18" t="n">
        <v>11.6</v>
      </c>
      <c r="V537" s="24" t="n">
        <v>0.39</v>
      </c>
      <c r="W537" s="2" t="n">
        <v>0.3</v>
      </c>
      <c r="Y537" s="2" t="s">
        <v>454</v>
      </c>
      <c r="Z537" s="18" t="s">
        <v>493</v>
      </c>
      <c r="AA537" s="20" t="n">
        <v>212328</v>
      </c>
      <c r="AB537" s="20" t="n">
        <v>242457</v>
      </c>
      <c r="AC537" s="19" t="n">
        <f aca="false">(AB537-AA537)/AB537</f>
        <v>0.124265333646791</v>
      </c>
    </row>
    <row r="538" customFormat="false" ht="14.25" hidden="false" customHeight="true" outlineLevel="0" collapsed="false">
      <c r="A538" s="18" t="s">
        <v>489</v>
      </c>
      <c r="B538" s="18" t="s">
        <v>489</v>
      </c>
      <c r="C538" s="18" t="s">
        <v>40</v>
      </c>
      <c r="E538" s="2" t="n">
        <f aca="false">INDEX(FieldSites!F:F, MATCH(Ch2_FieldSurvey!B538,FieldSites!C:C,0))</f>
        <v>1037</v>
      </c>
      <c r="F538" s="2" t="n">
        <f aca="false">INDEX(FieldSites!G:G, MATCH(Ch2_FieldSurvey!B538,FieldSites!C:C,0))</f>
        <v>-119.534709</v>
      </c>
      <c r="G538" s="2" t="n">
        <f aca="false">INDEX(FieldSites!H:H, MATCH(Ch2_FieldSurvey!B538,FieldSites!C:C,0))</f>
        <v>37.288671</v>
      </c>
      <c r="H538" s="18" t="n">
        <v>5</v>
      </c>
      <c r="I538" s="21" t="str">
        <f aca="false">CONCATENATE(B538,"_",C538,H538)</f>
        <v>HDRB_M. guttatus5</v>
      </c>
      <c r="J538" s="22" t="n">
        <v>44693</v>
      </c>
      <c r="K538" s="23" t="n">
        <v>0.576388888888889</v>
      </c>
      <c r="L538" s="22" t="n">
        <v>44694</v>
      </c>
      <c r="M538" s="23" t="n">
        <v>0.509027777777778</v>
      </c>
      <c r="O538" s="1" t="s">
        <v>500</v>
      </c>
      <c r="P538" s="16" t="s">
        <v>451</v>
      </c>
      <c r="Q538" s="16" t="s">
        <v>491</v>
      </c>
      <c r="R538" s="16" t="s">
        <v>453</v>
      </c>
      <c r="S538" s="4" t="s">
        <v>501</v>
      </c>
      <c r="T538" s="24" t="n">
        <v>355</v>
      </c>
      <c r="U538" s="18" t="n">
        <v>17.9</v>
      </c>
      <c r="V538" s="24" t="n">
        <v>0.4</v>
      </c>
      <c r="W538" s="2" t="n">
        <v>0.3</v>
      </c>
      <c r="Y538" s="2" t="s">
        <v>454</v>
      </c>
      <c r="Z538" s="18" t="s">
        <v>493</v>
      </c>
      <c r="AA538" s="20"/>
      <c r="AB538" s="20"/>
      <c r="AC538" s="19" t="e">
        <f aca="false">(AB538-AA538)/AB538</f>
        <v>#DIV/0!</v>
      </c>
    </row>
    <row r="539" customFormat="false" ht="14.25" hidden="false" customHeight="true" outlineLevel="0" collapsed="false">
      <c r="A539" s="18" t="s">
        <v>489</v>
      </c>
      <c r="B539" s="18" t="s">
        <v>489</v>
      </c>
      <c r="C539" s="18" t="s">
        <v>40</v>
      </c>
      <c r="E539" s="2" t="n">
        <f aca="false">INDEX(FieldSites!F:F, MATCH(Ch2_FieldSurvey!B539,FieldSites!C:C,0))</f>
        <v>1037</v>
      </c>
      <c r="F539" s="2" t="n">
        <f aca="false">INDEX(FieldSites!G:G, MATCH(Ch2_FieldSurvey!B539,FieldSites!C:C,0))</f>
        <v>-119.534709</v>
      </c>
      <c r="G539" s="2" t="n">
        <f aca="false">INDEX(FieldSites!H:H, MATCH(Ch2_FieldSurvey!B539,FieldSites!C:C,0))</f>
        <v>37.288671</v>
      </c>
      <c r="H539" s="18" t="n">
        <v>5</v>
      </c>
      <c r="I539" s="21" t="str">
        <f aca="false">CONCATENATE(B539,"_",C539,H539)</f>
        <v>HDRB_M. guttatus5</v>
      </c>
      <c r="J539" s="22" t="n">
        <v>44693</v>
      </c>
      <c r="K539" s="23" t="n">
        <v>0.576388888888889</v>
      </c>
      <c r="L539" s="22" t="n">
        <v>44694</v>
      </c>
      <c r="M539" s="23" t="n">
        <v>0.509027777777778</v>
      </c>
      <c r="O539" s="1" t="s">
        <v>500</v>
      </c>
      <c r="P539" s="16" t="s">
        <v>451</v>
      </c>
      <c r="Q539" s="16" t="s">
        <v>491</v>
      </c>
      <c r="R539" s="16" t="s">
        <v>453</v>
      </c>
      <c r="S539" s="4" t="s">
        <v>501</v>
      </c>
      <c r="T539" s="24" t="n">
        <v>320</v>
      </c>
      <c r="U539" s="18" t="n">
        <v>17.7</v>
      </c>
      <c r="V539" s="24" t="n">
        <v>0.37</v>
      </c>
      <c r="W539" s="2" t="n">
        <v>0.3</v>
      </c>
      <c r="Y539" s="2" t="s">
        <v>454</v>
      </c>
      <c r="Z539" s="18" t="s">
        <v>493</v>
      </c>
      <c r="AA539" s="20"/>
      <c r="AB539" s="20"/>
      <c r="AC539" s="19" t="e">
        <f aca="false">(AB539-AA539)/AB539</f>
        <v>#DIV/0!</v>
      </c>
    </row>
    <row r="540" customFormat="false" ht="14.25" hidden="false" customHeight="true" outlineLevel="0" collapsed="false">
      <c r="A540" s="18" t="s">
        <v>489</v>
      </c>
      <c r="B540" s="18" t="s">
        <v>489</v>
      </c>
      <c r="C540" s="18" t="s">
        <v>40</v>
      </c>
      <c r="E540" s="2" t="n">
        <f aca="false">INDEX(FieldSites!F:F, MATCH(Ch2_FieldSurvey!B540,FieldSites!C:C,0))</f>
        <v>1037</v>
      </c>
      <c r="F540" s="2" t="n">
        <f aca="false">INDEX(FieldSites!G:G, MATCH(Ch2_FieldSurvey!B540,FieldSites!C:C,0))</f>
        <v>-119.534709</v>
      </c>
      <c r="G540" s="2" t="n">
        <f aca="false">INDEX(FieldSites!H:H, MATCH(Ch2_FieldSurvey!B540,FieldSites!C:C,0))</f>
        <v>37.288671</v>
      </c>
      <c r="H540" s="18" t="n">
        <v>6</v>
      </c>
      <c r="I540" s="21" t="str">
        <f aca="false">CONCATENATE(B540,"_",C540,H540)</f>
        <v>HDRB_M. guttatus6</v>
      </c>
      <c r="J540" s="22" t="n">
        <v>44693</v>
      </c>
      <c r="K540" s="23" t="n">
        <v>0.576388888888889</v>
      </c>
      <c r="L540" s="22" t="n">
        <v>44694</v>
      </c>
      <c r="M540" s="23" t="n">
        <v>0.511805555555556</v>
      </c>
      <c r="O540" s="1" t="s">
        <v>502</v>
      </c>
      <c r="P540" s="16" t="s">
        <v>451</v>
      </c>
      <c r="Q540" s="16" t="s">
        <v>491</v>
      </c>
      <c r="R540" s="16" t="s">
        <v>453</v>
      </c>
      <c r="S540" s="4" t="s">
        <v>503</v>
      </c>
      <c r="T540" s="24" t="n">
        <v>380</v>
      </c>
      <c r="U540" s="18" t="n">
        <v>5.1</v>
      </c>
      <c r="V540" s="24" t="n">
        <v>0.6</v>
      </c>
      <c r="W540" s="2" t="n">
        <v>0.6</v>
      </c>
      <c r="Y540" s="2" t="s">
        <v>454</v>
      </c>
      <c r="Z540" s="18" t="s">
        <v>493</v>
      </c>
      <c r="AA540" s="20" t="n">
        <v>247712</v>
      </c>
      <c r="AB540" s="20" t="n">
        <v>301009</v>
      </c>
      <c r="AC540" s="19" t="n">
        <f aca="false">(AB540-AA540)/AB540</f>
        <v>0.177061150995485</v>
      </c>
    </row>
    <row r="541" customFormat="false" ht="14.25" hidden="false" customHeight="true" outlineLevel="0" collapsed="false">
      <c r="A541" s="18" t="s">
        <v>489</v>
      </c>
      <c r="B541" s="18" t="s">
        <v>489</v>
      </c>
      <c r="C541" s="18" t="s">
        <v>40</v>
      </c>
      <c r="E541" s="2" t="n">
        <f aca="false">INDEX(FieldSites!F:F, MATCH(Ch2_FieldSurvey!B541,FieldSites!C:C,0))</f>
        <v>1037</v>
      </c>
      <c r="F541" s="2" t="n">
        <f aca="false">INDEX(FieldSites!G:G, MATCH(Ch2_FieldSurvey!B541,FieldSites!C:C,0))</f>
        <v>-119.534709</v>
      </c>
      <c r="G541" s="2" t="n">
        <f aca="false">INDEX(FieldSites!H:H, MATCH(Ch2_FieldSurvey!B541,FieldSites!C:C,0))</f>
        <v>37.288671</v>
      </c>
      <c r="H541" s="18" t="n">
        <v>6</v>
      </c>
      <c r="I541" s="21" t="str">
        <f aca="false">CONCATENATE(B541,"_",C541,H541)</f>
        <v>HDRB_M. guttatus6</v>
      </c>
      <c r="J541" s="22" t="n">
        <v>44693</v>
      </c>
      <c r="K541" s="23" t="n">
        <v>0.576388888888889</v>
      </c>
      <c r="L541" s="22" t="n">
        <v>44694</v>
      </c>
      <c r="M541" s="23" t="n">
        <v>0.511805555555556</v>
      </c>
      <c r="O541" s="1" t="s">
        <v>502</v>
      </c>
      <c r="P541" s="16" t="s">
        <v>451</v>
      </c>
      <c r="Q541" s="16" t="s">
        <v>491</v>
      </c>
      <c r="R541" s="16" t="s">
        <v>453</v>
      </c>
      <c r="S541" s="4" t="s">
        <v>503</v>
      </c>
      <c r="T541" s="24" t="n">
        <v>292</v>
      </c>
      <c r="U541" s="18" t="n">
        <v>5.1</v>
      </c>
      <c r="V541" s="24" t="n">
        <v>0.46</v>
      </c>
      <c r="W541" s="2" t="n">
        <v>0.7</v>
      </c>
      <c r="Y541" s="2" t="s">
        <v>454</v>
      </c>
      <c r="Z541" s="18" t="s">
        <v>493</v>
      </c>
      <c r="AA541" s="20"/>
      <c r="AB541" s="20"/>
      <c r="AC541" s="19" t="e">
        <f aca="false">(AB541-AA541)/AB541</f>
        <v>#DIV/0!</v>
      </c>
    </row>
    <row r="542" customFormat="false" ht="14.25" hidden="false" customHeight="true" outlineLevel="0" collapsed="false">
      <c r="A542" s="18" t="s">
        <v>489</v>
      </c>
      <c r="B542" s="18" t="s">
        <v>489</v>
      </c>
      <c r="C542" s="18" t="s">
        <v>40</v>
      </c>
      <c r="E542" s="2" t="n">
        <f aca="false">INDEX(FieldSites!F:F, MATCH(Ch2_FieldSurvey!B542,FieldSites!C:C,0))</f>
        <v>1037</v>
      </c>
      <c r="F542" s="2" t="n">
        <f aca="false">INDEX(FieldSites!G:G, MATCH(Ch2_FieldSurvey!B542,FieldSites!C:C,0))</f>
        <v>-119.534709</v>
      </c>
      <c r="G542" s="2" t="n">
        <f aca="false">INDEX(FieldSites!H:H, MATCH(Ch2_FieldSurvey!B542,FieldSites!C:C,0))</f>
        <v>37.288671</v>
      </c>
      <c r="H542" s="18" t="n">
        <v>6</v>
      </c>
      <c r="I542" s="21" t="str">
        <f aca="false">CONCATENATE(B542,"_",C542,H542)</f>
        <v>HDRB_M. guttatus6</v>
      </c>
      <c r="J542" s="22" t="n">
        <v>44693</v>
      </c>
      <c r="K542" s="23" t="n">
        <v>0.576388888888889</v>
      </c>
      <c r="L542" s="22" t="n">
        <v>44694</v>
      </c>
      <c r="M542" s="23" t="n">
        <v>0.511805555555556</v>
      </c>
      <c r="O542" s="1" t="s">
        <v>502</v>
      </c>
      <c r="P542" s="16" t="s">
        <v>451</v>
      </c>
      <c r="Q542" s="16" t="s">
        <v>491</v>
      </c>
      <c r="R542" s="16" t="s">
        <v>453</v>
      </c>
      <c r="S542" s="4" t="s">
        <v>503</v>
      </c>
      <c r="T542" s="24" t="n">
        <v>320</v>
      </c>
      <c r="U542" s="18" t="n">
        <v>5.2</v>
      </c>
      <c r="V542" s="24" t="n">
        <v>0.5</v>
      </c>
      <c r="W542" s="2" t="n">
        <v>0.5</v>
      </c>
      <c r="Y542" s="2" t="s">
        <v>454</v>
      </c>
      <c r="Z542" s="18" t="s">
        <v>493</v>
      </c>
      <c r="AA542" s="20"/>
      <c r="AB542" s="20"/>
      <c r="AC542" s="19" t="e">
        <f aca="false">(AB542-AA542)/AB542</f>
        <v>#DIV/0!</v>
      </c>
    </row>
    <row r="543" customFormat="false" ht="14.25" hidden="false" customHeight="true" outlineLevel="0" collapsed="false">
      <c r="A543" s="18" t="s">
        <v>489</v>
      </c>
      <c r="B543" s="18" t="s">
        <v>489</v>
      </c>
      <c r="C543" s="18" t="s">
        <v>40</v>
      </c>
      <c r="E543" s="2" t="n">
        <f aca="false">INDEX(FieldSites!F:F, MATCH(Ch2_FieldSurvey!B543,FieldSites!C:C,0))</f>
        <v>1037</v>
      </c>
      <c r="F543" s="2" t="n">
        <f aca="false">INDEX(FieldSites!G:G, MATCH(Ch2_FieldSurvey!B543,FieldSites!C:C,0))</f>
        <v>-119.534709</v>
      </c>
      <c r="G543" s="2" t="n">
        <f aca="false">INDEX(FieldSites!H:H, MATCH(Ch2_FieldSurvey!B543,FieldSites!C:C,0))</f>
        <v>37.288671</v>
      </c>
      <c r="H543" s="18" t="n">
        <v>7</v>
      </c>
      <c r="I543" s="21" t="str">
        <f aca="false">CONCATENATE(B543,"_",C543,H543)</f>
        <v>HDRB_M. guttatus7</v>
      </c>
      <c r="J543" s="22" t="n">
        <v>44693</v>
      </c>
      <c r="K543" s="23" t="n">
        <v>0.576388888888889</v>
      </c>
      <c r="L543" s="22" t="n">
        <v>44694</v>
      </c>
      <c r="M543" s="23" t="n">
        <v>0.514583333333333</v>
      </c>
      <c r="O543" s="1" t="s">
        <v>504</v>
      </c>
      <c r="P543" s="16" t="s">
        <v>451</v>
      </c>
      <c r="Q543" s="16" t="s">
        <v>491</v>
      </c>
      <c r="R543" s="16" t="s">
        <v>453</v>
      </c>
      <c r="S543" s="4" t="s">
        <v>505</v>
      </c>
      <c r="T543" s="24" t="n">
        <v>347</v>
      </c>
      <c r="U543" s="18" t="n">
        <v>34.3</v>
      </c>
      <c r="V543" s="24" t="n">
        <v>0.55</v>
      </c>
      <c r="W543" s="2" t="n">
        <v>0.6</v>
      </c>
      <c r="Y543" s="2" t="s">
        <v>454</v>
      </c>
      <c r="Z543" s="18" t="s">
        <v>493</v>
      </c>
      <c r="AA543" s="20" t="n">
        <v>268384</v>
      </c>
      <c r="AB543" s="20" t="n">
        <v>297014</v>
      </c>
      <c r="AC543" s="19" t="n">
        <f aca="false">(AB543-AA543)/AB543</f>
        <v>0.0963927626307178</v>
      </c>
    </row>
    <row r="544" customFormat="false" ht="14.25" hidden="false" customHeight="true" outlineLevel="0" collapsed="false">
      <c r="A544" s="18" t="s">
        <v>489</v>
      </c>
      <c r="B544" s="18" t="s">
        <v>489</v>
      </c>
      <c r="C544" s="18" t="s">
        <v>40</v>
      </c>
      <c r="E544" s="2" t="n">
        <f aca="false">INDEX(FieldSites!F:F, MATCH(Ch2_FieldSurvey!B544,FieldSites!C:C,0))</f>
        <v>1037</v>
      </c>
      <c r="F544" s="2" t="n">
        <f aca="false">INDEX(FieldSites!G:G, MATCH(Ch2_FieldSurvey!B544,FieldSites!C:C,0))</f>
        <v>-119.534709</v>
      </c>
      <c r="G544" s="2" t="n">
        <f aca="false">INDEX(FieldSites!H:H, MATCH(Ch2_FieldSurvey!B544,FieldSites!C:C,0))</f>
        <v>37.288671</v>
      </c>
      <c r="H544" s="18" t="n">
        <v>7</v>
      </c>
      <c r="I544" s="21" t="str">
        <f aca="false">CONCATENATE(B544,"_",C544,H544)</f>
        <v>HDRB_M. guttatus7</v>
      </c>
      <c r="J544" s="22" t="n">
        <v>44693</v>
      </c>
      <c r="K544" s="23" t="n">
        <v>0.576388888888889</v>
      </c>
      <c r="L544" s="22" t="n">
        <v>44694</v>
      </c>
      <c r="M544" s="23" t="n">
        <v>0.514583333333333</v>
      </c>
      <c r="O544" s="1" t="s">
        <v>504</v>
      </c>
      <c r="P544" s="16" t="s">
        <v>451</v>
      </c>
      <c r="Q544" s="16" t="s">
        <v>491</v>
      </c>
      <c r="R544" s="16" t="s">
        <v>453</v>
      </c>
      <c r="S544" s="4" t="s">
        <v>505</v>
      </c>
      <c r="T544" s="24" t="n">
        <v>330</v>
      </c>
      <c r="U544" s="18" t="n">
        <v>4.6</v>
      </c>
      <c r="V544" s="24" t="n">
        <v>0.49</v>
      </c>
      <c r="W544" s="2" t="n">
        <v>0.7</v>
      </c>
      <c r="Y544" s="2" t="s">
        <v>454</v>
      </c>
      <c r="Z544" s="18" t="s">
        <v>493</v>
      </c>
      <c r="AA544" s="20"/>
      <c r="AB544" s="20"/>
      <c r="AC544" s="19" t="e">
        <f aca="false">(AB544-AA544)/AB544</f>
        <v>#DIV/0!</v>
      </c>
    </row>
    <row r="545" customFormat="false" ht="14.25" hidden="false" customHeight="true" outlineLevel="0" collapsed="false">
      <c r="A545" s="18" t="s">
        <v>489</v>
      </c>
      <c r="B545" s="18" t="s">
        <v>489</v>
      </c>
      <c r="C545" s="18" t="s">
        <v>40</v>
      </c>
      <c r="E545" s="2" t="n">
        <f aca="false">INDEX(FieldSites!F:F, MATCH(Ch2_FieldSurvey!B545,FieldSites!C:C,0))</f>
        <v>1037</v>
      </c>
      <c r="F545" s="2" t="n">
        <f aca="false">INDEX(FieldSites!G:G, MATCH(Ch2_FieldSurvey!B545,FieldSites!C:C,0))</f>
        <v>-119.534709</v>
      </c>
      <c r="G545" s="2" t="n">
        <f aca="false">INDEX(FieldSites!H:H, MATCH(Ch2_FieldSurvey!B545,FieldSites!C:C,0))</f>
        <v>37.288671</v>
      </c>
      <c r="H545" s="18" t="n">
        <v>7</v>
      </c>
      <c r="I545" s="21" t="str">
        <f aca="false">CONCATENATE(B545,"_",C545,H545)</f>
        <v>HDRB_M. guttatus7</v>
      </c>
      <c r="J545" s="22" t="n">
        <v>44693</v>
      </c>
      <c r="K545" s="23" t="n">
        <v>0.576388888888889</v>
      </c>
      <c r="L545" s="22" t="n">
        <v>44694</v>
      </c>
      <c r="M545" s="23" t="n">
        <v>0.514583333333333</v>
      </c>
      <c r="O545" s="1" t="s">
        <v>504</v>
      </c>
      <c r="P545" s="16" t="s">
        <v>451</v>
      </c>
      <c r="Q545" s="16" t="s">
        <v>491</v>
      </c>
      <c r="R545" s="16" t="s">
        <v>453</v>
      </c>
      <c r="S545" s="4" t="s">
        <v>505</v>
      </c>
      <c r="T545" s="24" t="n">
        <v>405</v>
      </c>
      <c r="U545" s="18" t="n">
        <v>6.3</v>
      </c>
      <c r="V545" s="24" t="n">
        <v>0.49</v>
      </c>
      <c r="W545" s="2" t="n">
        <v>0.6</v>
      </c>
      <c r="Y545" s="2" t="s">
        <v>454</v>
      </c>
      <c r="Z545" s="18" t="s">
        <v>493</v>
      </c>
      <c r="AA545" s="20"/>
      <c r="AB545" s="20"/>
      <c r="AC545" s="19" t="e">
        <f aca="false">(AB545-AA545)/AB545</f>
        <v>#DIV/0!</v>
      </c>
    </row>
    <row r="546" customFormat="false" ht="14.25" hidden="false" customHeight="true" outlineLevel="0" collapsed="false">
      <c r="A546" s="18" t="s">
        <v>489</v>
      </c>
      <c r="B546" s="18" t="s">
        <v>489</v>
      </c>
      <c r="C546" s="18" t="s">
        <v>40</v>
      </c>
      <c r="E546" s="2" t="n">
        <f aca="false">INDEX(FieldSites!F:F, MATCH(Ch2_FieldSurvey!B546,FieldSites!C:C,0))</f>
        <v>1037</v>
      </c>
      <c r="F546" s="2" t="n">
        <f aca="false">INDEX(FieldSites!G:G, MATCH(Ch2_FieldSurvey!B546,FieldSites!C:C,0))</f>
        <v>-119.534709</v>
      </c>
      <c r="G546" s="2" t="n">
        <f aca="false">INDEX(FieldSites!H:H, MATCH(Ch2_FieldSurvey!B546,FieldSites!C:C,0))</f>
        <v>37.288671</v>
      </c>
      <c r="H546" s="18" t="n">
        <v>8</v>
      </c>
      <c r="I546" s="21" t="str">
        <f aca="false">CONCATENATE(B546,"_",C546,H546)</f>
        <v>HDRB_M. guttatus8</v>
      </c>
      <c r="J546" s="22" t="n">
        <v>44693</v>
      </c>
      <c r="K546" s="23" t="n">
        <v>0.576388888888889</v>
      </c>
      <c r="L546" s="22" t="n">
        <v>44694</v>
      </c>
      <c r="M546" s="23" t="n">
        <v>0.518055555555556</v>
      </c>
      <c r="O546" s="1" t="s">
        <v>506</v>
      </c>
      <c r="P546" s="16" t="s">
        <v>451</v>
      </c>
      <c r="Q546" s="16" t="s">
        <v>491</v>
      </c>
      <c r="R546" s="16" t="s">
        <v>453</v>
      </c>
      <c r="S546" s="4" t="s">
        <v>507</v>
      </c>
      <c r="T546" s="24" t="n">
        <v>290</v>
      </c>
      <c r="U546" s="18" t="n">
        <v>3.8</v>
      </c>
      <c r="V546" s="24" t="n">
        <v>0.47</v>
      </c>
      <c r="W546" s="2" t="n">
        <v>0.4</v>
      </c>
      <c r="Y546" s="2" t="s">
        <v>454</v>
      </c>
      <c r="Z546" s="18" t="s">
        <v>493</v>
      </c>
      <c r="AA546" s="20" t="n">
        <v>276490</v>
      </c>
      <c r="AB546" s="20" t="n">
        <v>336314</v>
      </c>
      <c r="AC546" s="19" t="n">
        <f aca="false">(AB546-AA546)/AB546</f>
        <v>0.177881384658385</v>
      </c>
    </row>
    <row r="547" customFormat="false" ht="14.25" hidden="false" customHeight="true" outlineLevel="0" collapsed="false">
      <c r="A547" s="18" t="s">
        <v>489</v>
      </c>
      <c r="B547" s="18" t="s">
        <v>489</v>
      </c>
      <c r="C547" s="18" t="s">
        <v>40</v>
      </c>
      <c r="E547" s="2" t="n">
        <f aca="false">INDEX(FieldSites!F:F, MATCH(Ch2_FieldSurvey!B547,FieldSites!C:C,0))</f>
        <v>1037</v>
      </c>
      <c r="F547" s="2" t="n">
        <f aca="false">INDEX(FieldSites!G:G, MATCH(Ch2_FieldSurvey!B547,FieldSites!C:C,0))</f>
        <v>-119.534709</v>
      </c>
      <c r="G547" s="2" t="n">
        <f aca="false">INDEX(FieldSites!H:H, MATCH(Ch2_FieldSurvey!B547,FieldSites!C:C,0))</f>
        <v>37.288671</v>
      </c>
      <c r="H547" s="18" t="n">
        <v>8</v>
      </c>
      <c r="I547" s="21" t="str">
        <f aca="false">CONCATENATE(B547,"_",C547,H547)</f>
        <v>HDRB_M. guttatus8</v>
      </c>
      <c r="J547" s="22" t="n">
        <v>44693</v>
      </c>
      <c r="K547" s="23" t="n">
        <v>0.576388888888889</v>
      </c>
      <c r="L547" s="22" t="n">
        <v>44694</v>
      </c>
      <c r="M547" s="23" t="n">
        <v>0.518055555555556</v>
      </c>
      <c r="O547" s="1" t="s">
        <v>506</v>
      </c>
      <c r="P547" s="16" t="s">
        <v>451</v>
      </c>
      <c r="Q547" s="16" t="s">
        <v>491</v>
      </c>
      <c r="R547" s="16" t="s">
        <v>453</v>
      </c>
      <c r="S547" s="4" t="s">
        <v>507</v>
      </c>
      <c r="T547" s="24" t="n">
        <v>232</v>
      </c>
      <c r="U547" s="18" t="n">
        <v>23.6</v>
      </c>
      <c r="V547" s="24" t="n">
        <v>0.52</v>
      </c>
      <c r="W547" s="2" t="n">
        <v>0.4</v>
      </c>
      <c r="Y547" s="2" t="s">
        <v>454</v>
      </c>
      <c r="Z547" s="18" t="s">
        <v>493</v>
      </c>
      <c r="AA547" s="20"/>
      <c r="AB547" s="20"/>
      <c r="AC547" s="19" t="e">
        <f aca="false">(AB547-AA547)/AB547</f>
        <v>#DIV/0!</v>
      </c>
    </row>
    <row r="548" customFormat="false" ht="14.25" hidden="false" customHeight="true" outlineLevel="0" collapsed="false">
      <c r="A548" s="18" t="s">
        <v>489</v>
      </c>
      <c r="B548" s="18" t="s">
        <v>489</v>
      </c>
      <c r="C548" s="18" t="s">
        <v>40</v>
      </c>
      <c r="E548" s="2" t="n">
        <f aca="false">INDEX(FieldSites!F:F, MATCH(Ch2_FieldSurvey!B548,FieldSites!C:C,0))</f>
        <v>1037</v>
      </c>
      <c r="F548" s="2" t="n">
        <f aca="false">INDEX(FieldSites!G:G, MATCH(Ch2_FieldSurvey!B548,FieldSites!C:C,0))</f>
        <v>-119.534709</v>
      </c>
      <c r="G548" s="2" t="n">
        <f aca="false">INDEX(FieldSites!H:H, MATCH(Ch2_FieldSurvey!B548,FieldSites!C:C,0))</f>
        <v>37.288671</v>
      </c>
      <c r="H548" s="18" t="n">
        <v>8</v>
      </c>
      <c r="I548" s="21" t="str">
        <f aca="false">CONCATENATE(B548,"_",C548,H548)</f>
        <v>HDRB_M. guttatus8</v>
      </c>
      <c r="J548" s="22" t="n">
        <v>44693</v>
      </c>
      <c r="K548" s="23" t="n">
        <v>0.576388888888889</v>
      </c>
      <c r="L548" s="22" t="n">
        <v>44694</v>
      </c>
      <c r="M548" s="23" t="n">
        <v>0.518055555555556</v>
      </c>
      <c r="O548" s="1" t="s">
        <v>506</v>
      </c>
      <c r="P548" s="16" t="s">
        <v>451</v>
      </c>
      <c r="Q548" s="16" t="s">
        <v>491</v>
      </c>
      <c r="R548" s="16" t="s">
        <v>453</v>
      </c>
      <c r="S548" s="4" t="s">
        <v>507</v>
      </c>
      <c r="T548" s="24" t="n">
        <v>210</v>
      </c>
      <c r="U548" s="18" t="n">
        <v>4.7</v>
      </c>
      <c r="V548" s="24" t="n">
        <v>0.5</v>
      </c>
      <c r="W548" s="2" t="n">
        <v>0.4</v>
      </c>
      <c r="Y548" s="2" t="s">
        <v>454</v>
      </c>
      <c r="Z548" s="18" t="s">
        <v>493</v>
      </c>
      <c r="AA548" s="20"/>
      <c r="AB548" s="20"/>
      <c r="AC548" s="19" t="e">
        <f aca="false">(AB548-AA548)/AB548</f>
        <v>#DIV/0!</v>
      </c>
    </row>
    <row r="549" customFormat="false" ht="14.25" hidden="false" customHeight="true" outlineLevel="0" collapsed="false">
      <c r="A549" s="18" t="s">
        <v>489</v>
      </c>
      <c r="B549" s="18" t="s">
        <v>489</v>
      </c>
      <c r="C549" s="18" t="s">
        <v>40</v>
      </c>
      <c r="E549" s="2" t="n">
        <f aca="false">INDEX(FieldSites!F:F, MATCH(Ch2_FieldSurvey!B549,FieldSites!C:C,0))</f>
        <v>1037</v>
      </c>
      <c r="F549" s="2" t="n">
        <f aca="false">INDEX(FieldSites!G:G, MATCH(Ch2_FieldSurvey!B549,FieldSites!C:C,0))</f>
        <v>-119.534709</v>
      </c>
      <c r="G549" s="2" t="n">
        <f aca="false">INDEX(FieldSites!H:H, MATCH(Ch2_FieldSurvey!B549,FieldSites!C:C,0))</f>
        <v>37.288671</v>
      </c>
      <c r="H549" s="18" t="n">
        <v>9</v>
      </c>
      <c r="I549" s="21" t="str">
        <f aca="false">CONCATENATE(B549,"_",C549,H549)</f>
        <v>HDRB_M. guttatus9</v>
      </c>
      <c r="J549" s="22" t="n">
        <v>44693</v>
      </c>
      <c r="K549" s="23" t="n">
        <v>0.576388888888889</v>
      </c>
      <c r="L549" s="22" t="n">
        <v>44694</v>
      </c>
      <c r="M549" s="23" t="n">
        <v>0.520833333333333</v>
      </c>
      <c r="O549" s="1" t="s">
        <v>508</v>
      </c>
      <c r="P549" s="16" t="s">
        <v>451</v>
      </c>
      <c r="Q549" s="16" t="s">
        <v>491</v>
      </c>
      <c r="R549" s="16" t="s">
        <v>453</v>
      </c>
      <c r="S549" s="4" t="s">
        <v>509</v>
      </c>
      <c r="T549" s="24" t="n">
        <v>270</v>
      </c>
      <c r="U549" s="18" t="n">
        <v>3</v>
      </c>
      <c r="V549" s="24" t="n">
        <v>0.62</v>
      </c>
      <c r="W549" s="2" t="n">
        <v>0.5</v>
      </c>
      <c r="Y549" s="2" t="s">
        <v>454</v>
      </c>
      <c r="Z549" s="18" t="s">
        <v>493</v>
      </c>
      <c r="AA549" s="20" t="n">
        <v>199712</v>
      </c>
      <c r="AB549" s="20" t="n">
        <v>230738</v>
      </c>
      <c r="AC549" s="19" t="n">
        <f aca="false">(AB549-AA549)/AB549</f>
        <v>0.13446419748806</v>
      </c>
    </row>
    <row r="550" customFormat="false" ht="14.25" hidden="false" customHeight="true" outlineLevel="0" collapsed="false">
      <c r="A550" s="18" t="s">
        <v>489</v>
      </c>
      <c r="B550" s="18" t="s">
        <v>489</v>
      </c>
      <c r="C550" s="18" t="s">
        <v>40</v>
      </c>
      <c r="E550" s="2" t="n">
        <f aca="false">INDEX(FieldSites!F:F, MATCH(Ch2_FieldSurvey!B550,FieldSites!C:C,0))</f>
        <v>1037</v>
      </c>
      <c r="F550" s="2" t="n">
        <f aca="false">INDEX(FieldSites!G:G, MATCH(Ch2_FieldSurvey!B550,FieldSites!C:C,0))</f>
        <v>-119.534709</v>
      </c>
      <c r="G550" s="2" t="n">
        <f aca="false">INDEX(FieldSites!H:H, MATCH(Ch2_FieldSurvey!B550,FieldSites!C:C,0))</f>
        <v>37.288671</v>
      </c>
      <c r="H550" s="18" t="n">
        <v>9</v>
      </c>
      <c r="I550" s="21" t="str">
        <f aca="false">CONCATENATE(B550,"_",C550,H550)</f>
        <v>HDRB_M. guttatus9</v>
      </c>
      <c r="J550" s="22" t="n">
        <v>44693</v>
      </c>
      <c r="K550" s="23" t="n">
        <v>0.576388888888889</v>
      </c>
      <c r="L550" s="22" t="n">
        <v>44694</v>
      </c>
      <c r="M550" s="23" t="n">
        <v>0.520833333333333</v>
      </c>
      <c r="O550" s="1" t="s">
        <v>508</v>
      </c>
      <c r="P550" s="16" t="s">
        <v>451</v>
      </c>
      <c r="Q550" s="16" t="s">
        <v>491</v>
      </c>
      <c r="R550" s="16" t="s">
        <v>453</v>
      </c>
      <c r="S550" s="4" t="s">
        <v>509</v>
      </c>
      <c r="T550" s="24" t="n">
        <v>265</v>
      </c>
      <c r="U550" s="18" t="n">
        <v>3.5</v>
      </c>
      <c r="V550" s="24" t="n">
        <v>0.52</v>
      </c>
      <c r="W550" s="2" t="n">
        <v>0.4</v>
      </c>
      <c r="Y550" s="2" t="s">
        <v>454</v>
      </c>
      <c r="Z550" s="18" t="s">
        <v>493</v>
      </c>
      <c r="AA550" s="20"/>
      <c r="AB550" s="20"/>
      <c r="AC550" s="19" t="e">
        <f aca="false">(AB550-AA550)/AB550</f>
        <v>#DIV/0!</v>
      </c>
    </row>
    <row r="551" customFormat="false" ht="14.25" hidden="false" customHeight="true" outlineLevel="0" collapsed="false">
      <c r="A551" s="18" t="s">
        <v>489</v>
      </c>
      <c r="B551" s="18" t="s">
        <v>489</v>
      </c>
      <c r="C551" s="18" t="s">
        <v>40</v>
      </c>
      <c r="E551" s="2" t="n">
        <f aca="false">INDEX(FieldSites!F:F, MATCH(Ch2_FieldSurvey!B551,FieldSites!C:C,0))</f>
        <v>1037</v>
      </c>
      <c r="F551" s="2" t="n">
        <f aca="false">INDEX(FieldSites!G:G, MATCH(Ch2_FieldSurvey!B551,FieldSites!C:C,0))</f>
        <v>-119.534709</v>
      </c>
      <c r="G551" s="2" t="n">
        <f aca="false">INDEX(FieldSites!H:H, MATCH(Ch2_FieldSurvey!B551,FieldSites!C:C,0))</f>
        <v>37.288671</v>
      </c>
      <c r="H551" s="18" t="n">
        <v>9</v>
      </c>
      <c r="I551" s="21" t="str">
        <f aca="false">CONCATENATE(B551,"_",C551,H551)</f>
        <v>HDRB_M. guttatus9</v>
      </c>
      <c r="J551" s="22" t="n">
        <v>44693</v>
      </c>
      <c r="K551" s="23" t="n">
        <v>0.576388888888889</v>
      </c>
      <c r="L551" s="22" t="n">
        <v>44694</v>
      </c>
      <c r="M551" s="23" t="n">
        <v>0.520833333333333</v>
      </c>
      <c r="O551" s="1" t="s">
        <v>508</v>
      </c>
      <c r="P551" s="16" t="s">
        <v>451</v>
      </c>
      <c r="Q551" s="16" t="s">
        <v>491</v>
      </c>
      <c r="R551" s="16" t="s">
        <v>453</v>
      </c>
      <c r="S551" s="4" t="s">
        <v>509</v>
      </c>
      <c r="T551" s="24" t="n">
        <v>305</v>
      </c>
      <c r="U551" s="18" t="n">
        <v>3.9</v>
      </c>
      <c r="V551" s="24" t="n">
        <v>0.56</v>
      </c>
      <c r="W551" s="2" t="n">
        <v>0.3</v>
      </c>
      <c r="Y551" s="2" t="s">
        <v>454</v>
      </c>
      <c r="Z551" s="18" t="s">
        <v>493</v>
      </c>
      <c r="AA551" s="20"/>
      <c r="AB551" s="20"/>
      <c r="AC551" s="19" t="e">
        <f aca="false">(AB551-AA551)/AB551</f>
        <v>#DIV/0!</v>
      </c>
    </row>
    <row r="552" customFormat="false" ht="14.25" hidden="false" customHeight="true" outlineLevel="0" collapsed="false">
      <c r="A552" s="18" t="s">
        <v>489</v>
      </c>
      <c r="B552" s="18" t="s">
        <v>489</v>
      </c>
      <c r="C552" s="18" t="s">
        <v>40</v>
      </c>
      <c r="E552" s="2" t="n">
        <f aca="false">INDEX(FieldSites!F:F, MATCH(Ch2_FieldSurvey!B552,FieldSites!C:C,0))</f>
        <v>1037</v>
      </c>
      <c r="F552" s="2" t="n">
        <f aca="false">INDEX(FieldSites!G:G, MATCH(Ch2_FieldSurvey!B552,FieldSites!C:C,0))</f>
        <v>-119.534709</v>
      </c>
      <c r="G552" s="2" t="n">
        <f aca="false">INDEX(FieldSites!H:H, MATCH(Ch2_FieldSurvey!B552,FieldSites!C:C,0))</f>
        <v>37.288671</v>
      </c>
      <c r="H552" s="18" t="n">
        <v>10</v>
      </c>
      <c r="I552" s="21" t="str">
        <f aca="false">CONCATENATE(B552,"_",C552,H552)</f>
        <v>HDRB_M. guttatus10</v>
      </c>
      <c r="J552" s="22" t="n">
        <v>44693</v>
      </c>
      <c r="K552" s="23" t="n">
        <v>0.576388888888889</v>
      </c>
      <c r="L552" s="22" t="n">
        <v>44694</v>
      </c>
      <c r="M552" s="23" t="n">
        <v>0.524305555555556</v>
      </c>
      <c r="O552" s="1" t="s">
        <v>510</v>
      </c>
      <c r="P552" s="16" t="s">
        <v>451</v>
      </c>
      <c r="Q552" s="16" t="s">
        <v>491</v>
      </c>
      <c r="R552" s="16" t="s">
        <v>453</v>
      </c>
      <c r="S552" s="4" t="s">
        <v>511</v>
      </c>
      <c r="T552" s="24" t="n">
        <v>339</v>
      </c>
      <c r="U552" s="18" t="n">
        <v>31.8</v>
      </c>
      <c r="V552" s="24" t="n">
        <v>0.54</v>
      </c>
      <c r="W552" s="2" t="n">
        <v>0.4</v>
      </c>
      <c r="Y552" s="2" t="s">
        <v>454</v>
      </c>
      <c r="Z552" s="18" t="s">
        <v>493</v>
      </c>
      <c r="AA552" s="20" t="n">
        <v>577331</v>
      </c>
      <c r="AB552" s="20" t="n">
        <v>655957</v>
      </c>
      <c r="AC552" s="19" t="n">
        <f aca="false">(AB552-AA552)/AB552</f>
        <v>0.119864564293086</v>
      </c>
    </row>
    <row r="553" customFormat="false" ht="14.25" hidden="false" customHeight="true" outlineLevel="0" collapsed="false">
      <c r="A553" s="18" t="s">
        <v>489</v>
      </c>
      <c r="B553" s="18" t="s">
        <v>489</v>
      </c>
      <c r="C553" s="18" t="s">
        <v>40</v>
      </c>
      <c r="E553" s="2" t="n">
        <f aca="false">INDEX(FieldSites!F:F, MATCH(Ch2_FieldSurvey!B553,FieldSites!C:C,0))</f>
        <v>1037</v>
      </c>
      <c r="F553" s="2" t="n">
        <f aca="false">INDEX(FieldSites!G:G, MATCH(Ch2_FieldSurvey!B553,FieldSites!C:C,0))</f>
        <v>-119.534709</v>
      </c>
      <c r="G553" s="2" t="n">
        <f aca="false">INDEX(FieldSites!H:H, MATCH(Ch2_FieldSurvey!B553,FieldSites!C:C,0))</f>
        <v>37.288671</v>
      </c>
      <c r="H553" s="18" t="n">
        <v>10</v>
      </c>
      <c r="I553" s="21" t="str">
        <f aca="false">CONCATENATE(B553,"_",C553,H553)</f>
        <v>HDRB_M. guttatus10</v>
      </c>
      <c r="J553" s="22" t="n">
        <v>44693</v>
      </c>
      <c r="K553" s="23" t="n">
        <v>0.576388888888889</v>
      </c>
      <c r="L553" s="22" t="n">
        <v>44694</v>
      </c>
      <c r="M553" s="23" t="n">
        <v>0.524305555555556</v>
      </c>
      <c r="O553" s="1" t="s">
        <v>510</v>
      </c>
      <c r="P553" s="16" t="s">
        <v>451</v>
      </c>
      <c r="Q553" s="16" t="s">
        <v>491</v>
      </c>
      <c r="R553" s="16" t="s">
        <v>453</v>
      </c>
      <c r="S553" s="4" t="s">
        <v>511</v>
      </c>
      <c r="T553" s="24" t="n">
        <v>360</v>
      </c>
      <c r="U553" s="18" t="n">
        <v>18.8</v>
      </c>
      <c r="V553" s="24" t="n">
        <v>0.67</v>
      </c>
      <c r="W553" s="2" t="n">
        <v>0.5</v>
      </c>
      <c r="Y553" s="2" t="s">
        <v>454</v>
      </c>
      <c r="Z553" s="18" t="s">
        <v>493</v>
      </c>
      <c r="AA553" s="20"/>
      <c r="AB553" s="20"/>
      <c r="AC553" s="19" t="e">
        <f aca="false">(AB553-AA553)/AB553</f>
        <v>#DIV/0!</v>
      </c>
    </row>
    <row r="554" customFormat="false" ht="14.25" hidden="false" customHeight="true" outlineLevel="0" collapsed="false">
      <c r="A554" s="18" t="s">
        <v>489</v>
      </c>
      <c r="B554" s="18" t="s">
        <v>489</v>
      </c>
      <c r="C554" s="18" t="s">
        <v>40</v>
      </c>
      <c r="E554" s="2" t="n">
        <f aca="false">INDEX(FieldSites!F:F, MATCH(Ch2_FieldSurvey!B554,FieldSites!C:C,0))</f>
        <v>1037</v>
      </c>
      <c r="F554" s="2" t="n">
        <f aca="false">INDEX(FieldSites!G:G, MATCH(Ch2_FieldSurvey!B554,FieldSites!C:C,0))</f>
        <v>-119.534709</v>
      </c>
      <c r="G554" s="2" t="n">
        <f aca="false">INDEX(FieldSites!H:H, MATCH(Ch2_FieldSurvey!B554,FieldSites!C:C,0))</f>
        <v>37.288671</v>
      </c>
      <c r="H554" s="18" t="n">
        <v>10</v>
      </c>
      <c r="I554" s="21" t="str">
        <f aca="false">CONCATENATE(B554,"_",C554,H554)</f>
        <v>HDRB_M. guttatus10</v>
      </c>
      <c r="J554" s="22" t="n">
        <v>44693</v>
      </c>
      <c r="K554" s="23" t="n">
        <v>0.576388888888889</v>
      </c>
      <c r="L554" s="22" t="n">
        <v>44694</v>
      </c>
      <c r="M554" s="23" t="n">
        <v>0.524305555555556</v>
      </c>
      <c r="O554" s="1" t="s">
        <v>510</v>
      </c>
      <c r="P554" s="16" t="s">
        <v>451</v>
      </c>
      <c r="Q554" s="16" t="s">
        <v>491</v>
      </c>
      <c r="R554" s="16" t="s">
        <v>453</v>
      </c>
      <c r="S554" s="4" t="s">
        <v>511</v>
      </c>
      <c r="T554" s="24" t="n">
        <v>267</v>
      </c>
      <c r="U554" s="18" t="n">
        <v>13.6</v>
      </c>
      <c r="V554" s="24" t="n">
        <v>0.57</v>
      </c>
      <c r="W554" s="2" t="n">
        <v>0.6</v>
      </c>
      <c r="Y554" s="2" t="s">
        <v>454</v>
      </c>
      <c r="Z554" s="18" t="s">
        <v>493</v>
      </c>
      <c r="AA554" s="20"/>
      <c r="AB554" s="20"/>
      <c r="AC554" s="19" t="e">
        <f aca="false">(AB554-AA554)/AB554</f>
        <v>#DIV/0!</v>
      </c>
    </row>
    <row r="555" customFormat="false" ht="14.25" hidden="false" customHeight="true" outlineLevel="0" collapsed="false">
      <c r="A555" s="18" t="s">
        <v>512</v>
      </c>
      <c r="B555" s="18" t="s">
        <v>512</v>
      </c>
      <c r="C555" s="18" t="s">
        <v>31</v>
      </c>
      <c r="E555" s="2" t="n">
        <f aca="false">INDEX(FieldSites!F:F, MATCH(Ch2_FieldSurvey!B555,FieldSites!C:C,0))</f>
        <v>1380</v>
      </c>
      <c r="F555" s="2" t="n">
        <f aca="false">INDEX(FieldSites!G:G, MATCH(Ch2_FieldSurvey!B555,FieldSites!C:C,0))</f>
        <v>-119.719077</v>
      </c>
      <c r="G555" s="2" t="n">
        <f aca="false">INDEX(FieldSites!H:H, MATCH(Ch2_FieldSurvey!B555,FieldSites!C:C,0))</f>
        <v>37.723593</v>
      </c>
      <c r="H555" s="18" t="n">
        <v>1</v>
      </c>
      <c r="I555" s="21" t="str">
        <f aca="false">CONCATENATE(B555,"_",C555,H555)</f>
        <v>WCFB_M. laciniatus1</v>
      </c>
      <c r="J555" s="22" t="n">
        <v>44693</v>
      </c>
      <c r="K555" s="23" t="n">
        <v>0.652777777777778</v>
      </c>
      <c r="L555" s="22" t="n">
        <v>44694</v>
      </c>
      <c r="M555" s="23" t="n">
        <v>0.553472222222222</v>
      </c>
      <c r="O555" s="1" t="s">
        <v>513</v>
      </c>
      <c r="P555" s="16" t="s">
        <v>451</v>
      </c>
      <c r="Q555" s="16" t="s">
        <v>514</v>
      </c>
      <c r="R555" s="16" t="s">
        <v>453</v>
      </c>
      <c r="S555" s="4" t="s">
        <v>515</v>
      </c>
      <c r="T555" s="24" t="n">
        <v>435</v>
      </c>
      <c r="U555" s="18" t="n">
        <v>3.6</v>
      </c>
      <c r="V555" s="24" t="n">
        <v>0.4</v>
      </c>
      <c r="W555" s="2" t="n">
        <v>0.5</v>
      </c>
      <c r="Z555" s="18"/>
      <c r="AA555" s="20" t="n">
        <v>265639</v>
      </c>
      <c r="AB555" s="20" t="n">
        <v>357104</v>
      </c>
      <c r="AC555" s="19" t="n">
        <f aca="false">(AB555-AA555)/AB555</f>
        <v>0.256129866929522</v>
      </c>
    </row>
    <row r="556" customFormat="false" ht="14.25" hidden="false" customHeight="true" outlineLevel="0" collapsed="false">
      <c r="A556" s="18" t="s">
        <v>512</v>
      </c>
      <c r="B556" s="18" t="s">
        <v>512</v>
      </c>
      <c r="C556" s="18" t="s">
        <v>31</v>
      </c>
      <c r="E556" s="2" t="n">
        <f aca="false">INDEX(FieldSites!F:F, MATCH(Ch2_FieldSurvey!B556,FieldSites!C:C,0))</f>
        <v>1380</v>
      </c>
      <c r="F556" s="2" t="n">
        <f aca="false">INDEX(FieldSites!G:G, MATCH(Ch2_FieldSurvey!B556,FieldSites!C:C,0))</f>
        <v>-119.719077</v>
      </c>
      <c r="G556" s="2" t="n">
        <f aca="false">INDEX(FieldSites!H:H, MATCH(Ch2_FieldSurvey!B556,FieldSites!C:C,0))</f>
        <v>37.723593</v>
      </c>
      <c r="H556" s="18" t="n">
        <v>1</v>
      </c>
      <c r="I556" s="21" t="str">
        <f aca="false">CONCATENATE(B556,"_",C556,H556)</f>
        <v>WCFB_M. laciniatus1</v>
      </c>
      <c r="J556" s="22" t="n">
        <v>44693</v>
      </c>
      <c r="K556" s="23" t="n">
        <v>0.652777777777778</v>
      </c>
      <c r="L556" s="22" t="n">
        <v>44694</v>
      </c>
      <c r="M556" s="23" t="n">
        <v>0.553472222222222</v>
      </c>
      <c r="O556" s="1" t="s">
        <v>513</v>
      </c>
      <c r="P556" s="16" t="s">
        <v>451</v>
      </c>
      <c r="Q556" s="16" t="s">
        <v>514</v>
      </c>
      <c r="R556" s="16" t="s">
        <v>453</v>
      </c>
      <c r="S556" s="4" t="s">
        <v>515</v>
      </c>
      <c r="T556" s="24" t="n">
        <v>375</v>
      </c>
      <c r="U556" s="18" t="n">
        <v>4.7</v>
      </c>
      <c r="V556" s="24" t="n">
        <v>0.43</v>
      </c>
      <c r="W556" s="2" t="n">
        <v>0.6</v>
      </c>
      <c r="Z556" s="18"/>
      <c r="AA556" s="20"/>
      <c r="AB556" s="20"/>
      <c r="AC556" s="19" t="e">
        <f aca="false">(AB556-AA556)/AB556</f>
        <v>#DIV/0!</v>
      </c>
    </row>
    <row r="557" customFormat="false" ht="14.25" hidden="false" customHeight="true" outlineLevel="0" collapsed="false">
      <c r="A557" s="18" t="s">
        <v>512</v>
      </c>
      <c r="B557" s="18" t="s">
        <v>512</v>
      </c>
      <c r="C557" s="18" t="s">
        <v>31</v>
      </c>
      <c r="E557" s="2" t="n">
        <f aca="false">INDEX(FieldSites!F:F, MATCH(Ch2_FieldSurvey!B557,FieldSites!C:C,0))</f>
        <v>1380</v>
      </c>
      <c r="F557" s="2" t="n">
        <f aca="false">INDEX(FieldSites!G:G, MATCH(Ch2_FieldSurvey!B557,FieldSites!C:C,0))</f>
        <v>-119.719077</v>
      </c>
      <c r="G557" s="2" t="n">
        <f aca="false">INDEX(FieldSites!H:H, MATCH(Ch2_FieldSurvey!B557,FieldSites!C:C,0))</f>
        <v>37.723593</v>
      </c>
      <c r="H557" s="18" t="n">
        <v>1</v>
      </c>
      <c r="I557" s="21" t="str">
        <f aca="false">CONCATENATE(B557,"_",C557,H557)</f>
        <v>WCFB_M. laciniatus1</v>
      </c>
      <c r="J557" s="22" t="n">
        <v>44693</v>
      </c>
      <c r="K557" s="23" t="n">
        <v>0.652777777777778</v>
      </c>
      <c r="L557" s="22" t="n">
        <v>44694</v>
      </c>
      <c r="M557" s="23" t="n">
        <v>0.553472222222222</v>
      </c>
      <c r="O557" s="1" t="s">
        <v>513</v>
      </c>
      <c r="P557" s="16" t="s">
        <v>451</v>
      </c>
      <c r="Q557" s="16" t="s">
        <v>514</v>
      </c>
      <c r="R557" s="16" t="s">
        <v>453</v>
      </c>
      <c r="S557" s="4" t="s">
        <v>515</v>
      </c>
      <c r="T557" s="24" t="n">
        <v>440</v>
      </c>
      <c r="U557" s="18" t="n">
        <v>4.8</v>
      </c>
      <c r="V557" s="24" t="n">
        <v>0.37</v>
      </c>
      <c r="W557" s="2" t="n">
        <v>0.7</v>
      </c>
      <c r="Z557" s="18"/>
      <c r="AA557" s="20"/>
      <c r="AB557" s="20"/>
      <c r="AC557" s="19" t="e">
        <f aca="false">(AB557-AA557)/AB557</f>
        <v>#DIV/0!</v>
      </c>
    </row>
    <row r="558" customFormat="false" ht="14.25" hidden="false" customHeight="true" outlineLevel="0" collapsed="false">
      <c r="A558" s="18" t="s">
        <v>512</v>
      </c>
      <c r="B558" s="18" t="s">
        <v>512</v>
      </c>
      <c r="C558" s="18" t="s">
        <v>31</v>
      </c>
      <c r="E558" s="2" t="n">
        <f aca="false">INDEX(FieldSites!F:F, MATCH(Ch2_FieldSurvey!B558,FieldSites!C:C,0))</f>
        <v>1380</v>
      </c>
      <c r="F558" s="2" t="n">
        <f aca="false">INDEX(FieldSites!G:G, MATCH(Ch2_FieldSurvey!B558,FieldSites!C:C,0))</f>
        <v>-119.719077</v>
      </c>
      <c r="G558" s="2" t="n">
        <f aca="false">INDEX(FieldSites!H:H, MATCH(Ch2_FieldSurvey!B558,FieldSites!C:C,0))</f>
        <v>37.723593</v>
      </c>
      <c r="H558" s="18" t="n">
        <v>2</v>
      </c>
      <c r="I558" s="21" t="str">
        <f aca="false">CONCATENATE(B558,"_",C558,H558)</f>
        <v>WCFB_M. laciniatus2</v>
      </c>
      <c r="J558" s="22" t="n">
        <v>44693</v>
      </c>
      <c r="K558" s="23" t="n">
        <v>0.652777777777778</v>
      </c>
      <c r="L558" s="22" t="n">
        <v>44694</v>
      </c>
      <c r="M558" s="23" t="n">
        <v>0.555555555555556</v>
      </c>
      <c r="O558" s="1" t="s">
        <v>516</v>
      </c>
      <c r="P558" s="16" t="s">
        <v>451</v>
      </c>
      <c r="Q558" s="16" t="s">
        <v>514</v>
      </c>
      <c r="R558" s="16" t="s">
        <v>453</v>
      </c>
      <c r="S558" s="4" t="s">
        <v>319</v>
      </c>
      <c r="T558" s="24" t="n">
        <v>372</v>
      </c>
      <c r="U558" s="18" t="n">
        <v>2.7</v>
      </c>
      <c r="V558" s="24" t="n">
        <v>0.38</v>
      </c>
      <c r="W558" s="2" t="n">
        <v>0.4</v>
      </c>
      <c r="Z558" s="18"/>
      <c r="AA558" s="20" t="n">
        <v>76777</v>
      </c>
      <c r="AB558" s="20" t="n">
        <v>108695</v>
      </c>
      <c r="AC558" s="19" t="n">
        <f aca="false">(AB558-AA558)/AB558</f>
        <v>0.293647361884171</v>
      </c>
    </row>
    <row r="559" customFormat="false" ht="14.25" hidden="false" customHeight="true" outlineLevel="0" collapsed="false">
      <c r="A559" s="18" t="s">
        <v>512</v>
      </c>
      <c r="B559" s="18" t="s">
        <v>512</v>
      </c>
      <c r="C559" s="18" t="s">
        <v>31</v>
      </c>
      <c r="E559" s="2" t="n">
        <f aca="false">INDEX(FieldSites!F:F, MATCH(Ch2_FieldSurvey!B559,FieldSites!C:C,0))</f>
        <v>1380</v>
      </c>
      <c r="F559" s="2" t="n">
        <f aca="false">INDEX(FieldSites!G:G, MATCH(Ch2_FieldSurvey!B559,FieldSites!C:C,0))</f>
        <v>-119.719077</v>
      </c>
      <c r="G559" s="2" t="n">
        <f aca="false">INDEX(FieldSites!H:H, MATCH(Ch2_FieldSurvey!B559,FieldSites!C:C,0))</f>
        <v>37.723593</v>
      </c>
      <c r="H559" s="18" t="n">
        <v>2</v>
      </c>
      <c r="I559" s="21" t="str">
        <f aca="false">CONCATENATE(B559,"_",C559,H559)</f>
        <v>WCFB_M. laciniatus2</v>
      </c>
      <c r="J559" s="22" t="n">
        <v>44693</v>
      </c>
      <c r="K559" s="23" t="n">
        <v>0.652777777777778</v>
      </c>
      <c r="L559" s="22" t="n">
        <v>44694</v>
      </c>
      <c r="M559" s="23" t="n">
        <v>0.555555555555556</v>
      </c>
      <c r="O559" s="1" t="s">
        <v>516</v>
      </c>
      <c r="P559" s="16" t="s">
        <v>451</v>
      </c>
      <c r="Q559" s="16" t="s">
        <v>514</v>
      </c>
      <c r="R559" s="16" t="s">
        <v>453</v>
      </c>
      <c r="S559" s="4" t="s">
        <v>319</v>
      </c>
      <c r="T559" s="24" t="n">
        <v>320</v>
      </c>
      <c r="U559" s="18" t="n">
        <v>3.1</v>
      </c>
      <c r="V559" s="24" t="n">
        <v>0.39</v>
      </c>
      <c r="W559" s="2" t="n">
        <v>0.6</v>
      </c>
      <c r="Z559" s="18"/>
      <c r="AA559" s="20"/>
      <c r="AB559" s="20"/>
      <c r="AC559" s="19" t="e">
        <f aca="false">(AB559-AA559)/AB559</f>
        <v>#DIV/0!</v>
      </c>
    </row>
    <row r="560" customFormat="false" ht="14.25" hidden="false" customHeight="true" outlineLevel="0" collapsed="false">
      <c r="A560" s="18" t="s">
        <v>512</v>
      </c>
      <c r="B560" s="18" t="s">
        <v>512</v>
      </c>
      <c r="C560" s="18" t="s">
        <v>31</v>
      </c>
      <c r="E560" s="2" t="n">
        <f aca="false">INDEX(FieldSites!F:F, MATCH(Ch2_FieldSurvey!B560,FieldSites!C:C,0))</f>
        <v>1380</v>
      </c>
      <c r="F560" s="2" t="n">
        <f aca="false">INDEX(FieldSites!G:G, MATCH(Ch2_FieldSurvey!B560,FieldSites!C:C,0))</f>
        <v>-119.719077</v>
      </c>
      <c r="G560" s="2" t="n">
        <f aca="false">INDEX(FieldSites!H:H, MATCH(Ch2_FieldSurvey!B560,FieldSites!C:C,0))</f>
        <v>37.723593</v>
      </c>
      <c r="H560" s="18" t="n">
        <v>2</v>
      </c>
      <c r="I560" s="21" t="str">
        <f aca="false">CONCATENATE(B560,"_",C560,H560)</f>
        <v>WCFB_M. laciniatus2</v>
      </c>
      <c r="J560" s="22" t="n">
        <v>44693</v>
      </c>
      <c r="K560" s="23" t="n">
        <v>0.652777777777778</v>
      </c>
      <c r="L560" s="22" t="n">
        <v>44694</v>
      </c>
      <c r="M560" s="23" t="n">
        <v>0.555555555555556</v>
      </c>
      <c r="O560" s="1" t="s">
        <v>516</v>
      </c>
      <c r="P560" s="16" t="s">
        <v>451</v>
      </c>
      <c r="Q560" s="16" t="s">
        <v>514</v>
      </c>
      <c r="R560" s="16" t="s">
        <v>453</v>
      </c>
      <c r="S560" s="4" t="s">
        <v>319</v>
      </c>
      <c r="T560" s="24" t="n">
        <v>350</v>
      </c>
      <c r="U560" s="18" t="n">
        <v>1.8</v>
      </c>
      <c r="V560" s="24" t="n">
        <v>0.31</v>
      </c>
      <c r="W560" s="2" t="n">
        <v>0.6</v>
      </c>
      <c r="Z560" s="18"/>
      <c r="AA560" s="20"/>
      <c r="AB560" s="20"/>
      <c r="AC560" s="19" t="e">
        <f aca="false">(AB560-AA560)/AB560</f>
        <v>#DIV/0!</v>
      </c>
    </row>
    <row r="561" customFormat="false" ht="14.25" hidden="false" customHeight="true" outlineLevel="0" collapsed="false">
      <c r="A561" s="18" t="s">
        <v>512</v>
      </c>
      <c r="B561" s="18" t="s">
        <v>512</v>
      </c>
      <c r="C561" s="18" t="s">
        <v>31</v>
      </c>
      <c r="E561" s="2" t="n">
        <f aca="false">INDEX(FieldSites!F:F, MATCH(Ch2_FieldSurvey!B561,FieldSites!C:C,0))</f>
        <v>1380</v>
      </c>
      <c r="F561" s="2" t="n">
        <f aca="false">INDEX(FieldSites!G:G, MATCH(Ch2_FieldSurvey!B561,FieldSites!C:C,0))</f>
        <v>-119.719077</v>
      </c>
      <c r="G561" s="2" t="n">
        <f aca="false">INDEX(FieldSites!H:H, MATCH(Ch2_FieldSurvey!B561,FieldSites!C:C,0))</f>
        <v>37.723593</v>
      </c>
      <c r="H561" s="18" t="n">
        <v>3</v>
      </c>
      <c r="I561" s="21" t="str">
        <f aca="false">CONCATENATE(B561,"_",C561,H561)</f>
        <v>WCFB_M. laciniatus3</v>
      </c>
      <c r="J561" s="22" t="n">
        <v>44693</v>
      </c>
      <c r="K561" s="23" t="n">
        <v>0.652777777777778</v>
      </c>
      <c r="L561" s="22" t="n">
        <v>44694</v>
      </c>
      <c r="M561" s="23" t="n">
        <v>0.559027777777778</v>
      </c>
      <c r="O561" s="1" t="s">
        <v>517</v>
      </c>
      <c r="P561" s="16" t="s">
        <v>451</v>
      </c>
      <c r="Q561" s="16" t="s">
        <v>514</v>
      </c>
      <c r="R561" s="16" t="s">
        <v>453</v>
      </c>
      <c r="S561" s="4" t="s">
        <v>518</v>
      </c>
      <c r="T561" s="24" t="n">
        <v>338</v>
      </c>
      <c r="U561" s="18" t="n">
        <v>2.1</v>
      </c>
      <c r="V561" s="24" t="n">
        <v>0.2</v>
      </c>
      <c r="W561" s="2" t="n">
        <v>0.3</v>
      </c>
      <c r="Z561" s="18"/>
      <c r="AA561" s="20" t="n">
        <v>125310</v>
      </c>
      <c r="AB561" s="20" t="n">
        <v>221948</v>
      </c>
      <c r="AC561" s="19" t="n">
        <f aca="false">(AB561-AA561)/AB561</f>
        <v>0.435408293834592</v>
      </c>
    </row>
    <row r="562" customFormat="false" ht="14.25" hidden="false" customHeight="true" outlineLevel="0" collapsed="false">
      <c r="A562" s="18" t="s">
        <v>512</v>
      </c>
      <c r="B562" s="18" t="s">
        <v>512</v>
      </c>
      <c r="C562" s="18" t="s">
        <v>31</v>
      </c>
      <c r="E562" s="2" t="n">
        <f aca="false">INDEX(FieldSites!F:F, MATCH(Ch2_FieldSurvey!B562,FieldSites!C:C,0))</f>
        <v>1380</v>
      </c>
      <c r="F562" s="2" t="n">
        <f aca="false">INDEX(FieldSites!G:G, MATCH(Ch2_FieldSurvey!B562,FieldSites!C:C,0))</f>
        <v>-119.719077</v>
      </c>
      <c r="G562" s="2" t="n">
        <f aca="false">INDEX(FieldSites!H:H, MATCH(Ch2_FieldSurvey!B562,FieldSites!C:C,0))</f>
        <v>37.723593</v>
      </c>
      <c r="H562" s="18" t="n">
        <v>3</v>
      </c>
      <c r="I562" s="21" t="str">
        <f aca="false">CONCATENATE(B562,"_",C562,H562)</f>
        <v>WCFB_M. laciniatus3</v>
      </c>
      <c r="J562" s="22" t="n">
        <v>44693</v>
      </c>
      <c r="K562" s="23" t="n">
        <v>0.652777777777778</v>
      </c>
      <c r="L562" s="22" t="n">
        <v>44694</v>
      </c>
      <c r="M562" s="23" t="n">
        <v>0.559027777777778</v>
      </c>
      <c r="O562" s="1" t="s">
        <v>517</v>
      </c>
      <c r="P562" s="16" t="s">
        <v>451</v>
      </c>
      <c r="Q562" s="16" t="s">
        <v>514</v>
      </c>
      <c r="R562" s="16" t="s">
        <v>453</v>
      </c>
      <c r="S562" s="4" t="s">
        <v>518</v>
      </c>
      <c r="T562" s="24" t="n">
        <v>356</v>
      </c>
      <c r="U562" s="18" t="n">
        <v>3.4</v>
      </c>
      <c r="V562" s="24" t="n">
        <v>0.19</v>
      </c>
      <c r="W562" s="2" t="n">
        <v>0.4</v>
      </c>
      <c r="Z562" s="18"/>
      <c r="AA562" s="20"/>
      <c r="AB562" s="20"/>
      <c r="AC562" s="19" t="e">
        <f aca="false">(AB562-AA562)/AB562</f>
        <v>#DIV/0!</v>
      </c>
    </row>
    <row r="563" customFormat="false" ht="14.25" hidden="false" customHeight="true" outlineLevel="0" collapsed="false">
      <c r="A563" s="18" t="s">
        <v>512</v>
      </c>
      <c r="B563" s="18" t="s">
        <v>512</v>
      </c>
      <c r="C563" s="18" t="s">
        <v>31</v>
      </c>
      <c r="E563" s="2" t="n">
        <f aca="false">INDEX(FieldSites!F:F, MATCH(Ch2_FieldSurvey!B563,FieldSites!C:C,0))</f>
        <v>1380</v>
      </c>
      <c r="F563" s="2" t="n">
        <f aca="false">INDEX(FieldSites!G:G, MATCH(Ch2_FieldSurvey!B563,FieldSites!C:C,0))</f>
        <v>-119.719077</v>
      </c>
      <c r="G563" s="2" t="n">
        <f aca="false">INDEX(FieldSites!H:H, MATCH(Ch2_FieldSurvey!B563,FieldSites!C:C,0))</f>
        <v>37.723593</v>
      </c>
      <c r="H563" s="18" t="n">
        <v>3</v>
      </c>
      <c r="I563" s="21" t="str">
        <f aca="false">CONCATENATE(B563,"_",C563,H563)</f>
        <v>WCFB_M. laciniatus3</v>
      </c>
      <c r="J563" s="22" t="n">
        <v>44693</v>
      </c>
      <c r="K563" s="23" t="n">
        <v>0.652777777777778</v>
      </c>
      <c r="L563" s="22" t="n">
        <v>44694</v>
      </c>
      <c r="M563" s="23" t="n">
        <v>0.559027777777778</v>
      </c>
      <c r="O563" s="1" t="s">
        <v>517</v>
      </c>
      <c r="P563" s="16" t="s">
        <v>451</v>
      </c>
      <c r="Q563" s="16" t="s">
        <v>514</v>
      </c>
      <c r="R563" s="16" t="s">
        <v>453</v>
      </c>
      <c r="S563" s="4" t="s">
        <v>518</v>
      </c>
      <c r="T563" s="24" t="n">
        <v>353</v>
      </c>
      <c r="U563" s="18" t="n">
        <v>3.4</v>
      </c>
      <c r="V563" s="24" t="n">
        <v>0.18</v>
      </c>
      <c r="W563" s="2" t="n">
        <v>0.5</v>
      </c>
      <c r="Z563" s="18"/>
      <c r="AA563" s="20"/>
      <c r="AB563" s="20"/>
      <c r="AC563" s="19" t="e">
        <f aca="false">(AB563-AA563)/AB563</f>
        <v>#DIV/0!</v>
      </c>
    </row>
    <row r="564" customFormat="false" ht="14.25" hidden="false" customHeight="true" outlineLevel="0" collapsed="false">
      <c r="A564" s="18" t="s">
        <v>512</v>
      </c>
      <c r="B564" s="18" t="s">
        <v>512</v>
      </c>
      <c r="C564" s="18" t="s">
        <v>31</v>
      </c>
      <c r="E564" s="2" t="n">
        <f aca="false">INDEX(FieldSites!F:F, MATCH(Ch2_FieldSurvey!B564,FieldSites!C:C,0))</f>
        <v>1380</v>
      </c>
      <c r="F564" s="2" t="n">
        <f aca="false">INDEX(FieldSites!G:G, MATCH(Ch2_FieldSurvey!B564,FieldSites!C:C,0))</f>
        <v>-119.719077</v>
      </c>
      <c r="G564" s="2" t="n">
        <f aca="false">INDEX(FieldSites!H:H, MATCH(Ch2_FieldSurvey!B564,FieldSites!C:C,0))</f>
        <v>37.723593</v>
      </c>
      <c r="H564" s="18" t="n">
        <v>4</v>
      </c>
      <c r="I564" s="21" t="str">
        <f aca="false">CONCATENATE(B564,"_",C564,H564)</f>
        <v>WCFB_M. laciniatus4</v>
      </c>
      <c r="J564" s="22" t="n">
        <v>44693</v>
      </c>
      <c r="K564" s="23" t="n">
        <v>0.652777777777778</v>
      </c>
      <c r="L564" s="22" t="n">
        <v>44694</v>
      </c>
      <c r="M564" s="23" t="n">
        <v>0.561805555555556</v>
      </c>
      <c r="O564" s="1" t="s">
        <v>519</v>
      </c>
      <c r="P564" s="16" t="s">
        <v>451</v>
      </c>
      <c r="Q564" s="16" t="s">
        <v>514</v>
      </c>
      <c r="R564" s="16" t="s">
        <v>453</v>
      </c>
      <c r="S564" s="4" t="s">
        <v>520</v>
      </c>
      <c r="T564" s="24" t="n">
        <v>330</v>
      </c>
      <c r="U564" s="18" t="n">
        <v>4.5</v>
      </c>
      <c r="V564" s="24" t="n">
        <v>0.31</v>
      </c>
      <c r="W564" s="2" t="n">
        <v>0.3</v>
      </c>
      <c r="Z564" s="18"/>
      <c r="AA564" s="20" t="n">
        <v>511818</v>
      </c>
      <c r="AB564" s="20" t="n">
        <v>831267</v>
      </c>
      <c r="AC564" s="19" t="n">
        <f aca="false">(AB564-AA564)/AB564</f>
        <v>0.384291689673715</v>
      </c>
    </row>
    <row r="565" customFormat="false" ht="14.25" hidden="false" customHeight="true" outlineLevel="0" collapsed="false">
      <c r="A565" s="18" t="s">
        <v>512</v>
      </c>
      <c r="B565" s="18" t="s">
        <v>512</v>
      </c>
      <c r="C565" s="18" t="s">
        <v>31</v>
      </c>
      <c r="E565" s="2" t="n">
        <f aca="false">INDEX(FieldSites!F:F, MATCH(Ch2_FieldSurvey!B565,FieldSites!C:C,0))</f>
        <v>1380</v>
      </c>
      <c r="F565" s="2" t="n">
        <f aca="false">INDEX(FieldSites!G:G, MATCH(Ch2_FieldSurvey!B565,FieldSites!C:C,0))</f>
        <v>-119.719077</v>
      </c>
      <c r="G565" s="2" t="n">
        <f aca="false">INDEX(FieldSites!H:H, MATCH(Ch2_FieldSurvey!B565,FieldSites!C:C,0))</f>
        <v>37.723593</v>
      </c>
      <c r="H565" s="18" t="n">
        <v>4</v>
      </c>
      <c r="I565" s="21" t="str">
        <f aca="false">CONCATENATE(B565,"_",C565,H565)</f>
        <v>WCFB_M. laciniatus4</v>
      </c>
      <c r="J565" s="22" t="n">
        <v>44693</v>
      </c>
      <c r="K565" s="23" t="n">
        <v>0.652777777777778</v>
      </c>
      <c r="L565" s="22" t="n">
        <v>44694</v>
      </c>
      <c r="M565" s="23" t="n">
        <v>0.561805555555556</v>
      </c>
      <c r="O565" s="1" t="s">
        <v>519</v>
      </c>
      <c r="P565" s="16" t="s">
        <v>451</v>
      </c>
      <c r="Q565" s="16" t="s">
        <v>514</v>
      </c>
      <c r="R565" s="16" t="s">
        <v>453</v>
      </c>
      <c r="S565" s="4" t="s">
        <v>520</v>
      </c>
      <c r="T565" s="24" t="n">
        <v>380</v>
      </c>
      <c r="U565" s="18" t="n">
        <v>5.1</v>
      </c>
      <c r="V565" s="24" t="n">
        <v>0.24</v>
      </c>
      <c r="W565" s="2" t="n">
        <v>0.6</v>
      </c>
      <c r="Z565" s="18"/>
      <c r="AA565" s="20"/>
      <c r="AB565" s="20"/>
      <c r="AC565" s="19" t="e">
        <f aca="false">(AB565-AA565)/AB565</f>
        <v>#DIV/0!</v>
      </c>
    </row>
    <row r="566" customFormat="false" ht="14.25" hidden="false" customHeight="true" outlineLevel="0" collapsed="false">
      <c r="A566" s="18" t="s">
        <v>512</v>
      </c>
      <c r="B566" s="18" t="s">
        <v>512</v>
      </c>
      <c r="C566" s="18" t="s">
        <v>31</v>
      </c>
      <c r="E566" s="2" t="n">
        <f aca="false">INDEX(FieldSites!F:F, MATCH(Ch2_FieldSurvey!B566,FieldSites!C:C,0))</f>
        <v>1380</v>
      </c>
      <c r="F566" s="2" t="n">
        <f aca="false">INDEX(FieldSites!G:G, MATCH(Ch2_FieldSurvey!B566,FieldSites!C:C,0))</f>
        <v>-119.719077</v>
      </c>
      <c r="G566" s="2" t="n">
        <f aca="false">INDEX(FieldSites!H:H, MATCH(Ch2_FieldSurvey!B566,FieldSites!C:C,0))</f>
        <v>37.723593</v>
      </c>
      <c r="H566" s="18" t="n">
        <v>4</v>
      </c>
      <c r="I566" s="21" t="str">
        <f aca="false">CONCATENATE(B566,"_",C566,H566)</f>
        <v>WCFB_M. laciniatus4</v>
      </c>
      <c r="J566" s="22" t="n">
        <v>44693</v>
      </c>
      <c r="K566" s="23" t="n">
        <v>0.652777777777778</v>
      </c>
      <c r="L566" s="22" t="n">
        <v>44694</v>
      </c>
      <c r="M566" s="23" t="n">
        <v>0.561805555555556</v>
      </c>
      <c r="O566" s="1" t="s">
        <v>519</v>
      </c>
      <c r="P566" s="16" t="s">
        <v>451</v>
      </c>
      <c r="Q566" s="16" t="s">
        <v>514</v>
      </c>
      <c r="R566" s="16" t="s">
        <v>453</v>
      </c>
      <c r="S566" s="4" t="s">
        <v>520</v>
      </c>
      <c r="T566" s="24" t="n">
        <v>328</v>
      </c>
      <c r="U566" s="18" t="n">
        <v>3.2</v>
      </c>
      <c r="V566" s="24" t="n">
        <v>0.29</v>
      </c>
      <c r="W566" s="2" t="n">
        <v>0.8</v>
      </c>
      <c r="Z566" s="18"/>
      <c r="AA566" s="20"/>
      <c r="AB566" s="20"/>
      <c r="AC566" s="19" t="e">
        <f aca="false">(AB566-AA566)/AB566</f>
        <v>#DIV/0!</v>
      </c>
    </row>
    <row r="567" customFormat="false" ht="14.25" hidden="false" customHeight="true" outlineLevel="0" collapsed="false">
      <c r="A567" s="18" t="s">
        <v>512</v>
      </c>
      <c r="B567" s="18" t="s">
        <v>512</v>
      </c>
      <c r="C567" s="18" t="s">
        <v>31</v>
      </c>
      <c r="E567" s="2" t="n">
        <f aca="false">INDEX(FieldSites!F:F, MATCH(Ch2_FieldSurvey!B567,FieldSites!C:C,0))</f>
        <v>1380</v>
      </c>
      <c r="F567" s="2" t="n">
        <f aca="false">INDEX(FieldSites!G:G, MATCH(Ch2_FieldSurvey!B567,FieldSites!C:C,0))</f>
        <v>-119.719077</v>
      </c>
      <c r="G567" s="2" t="n">
        <f aca="false">INDEX(FieldSites!H:H, MATCH(Ch2_FieldSurvey!B567,FieldSites!C:C,0))</f>
        <v>37.723593</v>
      </c>
      <c r="H567" s="18" t="n">
        <v>5</v>
      </c>
      <c r="I567" s="21" t="str">
        <f aca="false">CONCATENATE(B567,"_",C567,H567)</f>
        <v>WCFB_M. laciniatus5</v>
      </c>
      <c r="J567" s="22" t="n">
        <v>44693</v>
      </c>
      <c r="K567" s="23" t="n">
        <v>0.652777777777778</v>
      </c>
      <c r="L567" s="22" t="n">
        <v>44694</v>
      </c>
      <c r="M567" s="23" t="n">
        <v>0.564583333333333</v>
      </c>
      <c r="O567" s="1" t="s">
        <v>521</v>
      </c>
      <c r="P567" s="16" t="s">
        <v>451</v>
      </c>
      <c r="Q567" s="16" t="s">
        <v>514</v>
      </c>
      <c r="R567" s="16" t="s">
        <v>453</v>
      </c>
      <c r="S567" s="4" t="s">
        <v>323</v>
      </c>
      <c r="T567" s="24" t="n">
        <v>296</v>
      </c>
      <c r="U567" s="18" t="n">
        <v>2.5</v>
      </c>
      <c r="V567" s="24" t="n">
        <v>0.37</v>
      </c>
      <c r="W567" s="2" t="n">
        <v>0.6</v>
      </c>
      <c r="Z567" s="18"/>
      <c r="AA567" s="20" t="n">
        <v>96265</v>
      </c>
      <c r="AB567" s="20" t="n">
        <v>132618</v>
      </c>
      <c r="AC567" s="19" t="n">
        <f aca="false">(AB567-AA567)/AB567</f>
        <v>0.274118143841711</v>
      </c>
    </row>
    <row r="568" customFormat="false" ht="14.25" hidden="false" customHeight="true" outlineLevel="0" collapsed="false">
      <c r="A568" s="18" t="s">
        <v>512</v>
      </c>
      <c r="B568" s="18" t="s">
        <v>512</v>
      </c>
      <c r="C568" s="18" t="s">
        <v>31</v>
      </c>
      <c r="E568" s="2" t="n">
        <f aca="false">INDEX(FieldSites!F:F, MATCH(Ch2_FieldSurvey!B568,FieldSites!C:C,0))</f>
        <v>1380</v>
      </c>
      <c r="F568" s="2" t="n">
        <f aca="false">INDEX(FieldSites!G:G, MATCH(Ch2_FieldSurvey!B568,FieldSites!C:C,0))</f>
        <v>-119.719077</v>
      </c>
      <c r="G568" s="2" t="n">
        <f aca="false">INDEX(FieldSites!H:H, MATCH(Ch2_FieldSurvey!B568,FieldSites!C:C,0))</f>
        <v>37.723593</v>
      </c>
      <c r="H568" s="18" t="n">
        <v>5</v>
      </c>
      <c r="I568" s="21" t="str">
        <f aca="false">CONCATENATE(B568,"_",C568,H568)</f>
        <v>WCFB_M. laciniatus5</v>
      </c>
      <c r="J568" s="22" t="n">
        <v>44693</v>
      </c>
      <c r="K568" s="23" t="n">
        <v>0.652777777777778</v>
      </c>
      <c r="L568" s="22" t="n">
        <v>44694</v>
      </c>
      <c r="M568" s="23" t="n">
        <v>0.564583333333333</v>
      </c>
      <c r="O568" s="1" t="s">
        <v>521</v>
      </c>
      <c r="P568" s="16" t="s">
        <v>451</v>
      </c>
      <c r="Q568" s="16" t="s">
        <v>514</v>
      </c>
      <c r="R568" s="16" t="s">
        <v>453</v>
      </c>
      <c r="S568" s="4" t="s">
        <v>323</v>
      </c>
      <c r="T568" s="24" t="n">
        <v>298</v>
      </c>
      <c r="U568" s="18" t="n">
        <v>2.6</v>
      </c>
      <c r="V568" s="24" t="n">
        <v>0.3</v>
      </c>
      <c r="W568" s="2" t="n">
        <v>0.6</v>
      </c>
      <c r="Z568" s="18"/>
      <c r="AA568" s="20"/>
      <c r="AB568" s="20"/>
      <c r="AC568" s="19" t="e">
        <f aca="false">(AB568-AA568)/AB568</f>
        <v>#DIV/0!</v>
      </c>
    </row>
    <row r="569" customFormat="false" ht="14.25" hidden="false" customHeight="true" outlineLevel="0" collapsed="false">
      <c r="A569" s="18" t="s">
        <v>512</v>
      </c>
      <c r="B569" s="18" t="s">
        <v>512</v>
      </c>
      <c r="C569" s="18" t="s">
        <v>31</v>
      </c>
      <c r="E569" s="2" t="n">
        <f aca="false">INDEX(FieldSites!F:F, MATCH(Ch2_FieldSurvey!B569,FieldSites!C:C,0))</f>
        <v>1380</v>
      </c>
      <c r="F569" s="2" t="n">
        <f aca="false">INDEX(FieldSites!G:G, MATCH(Ch2_FieldSurvey!B569,FieldSites!C:C,0))</f>
        <v>-119.719077</v>
      </c>
      <c r="G569" s="2" t="n">
        <f aca="false">INDEX(FieldSites!H:H, MATCH(Ch2_FieldSurvey!B569,FieldSites!C:C,0))</f>
        <v>37.723593</v>
      </c>
      <c r="H569" s="18" t="n">
        <v>5</v>
      </c>
      <c r="I569" s="21" t="str">
        <f aca="false">CONCATENATE(B569,"_",C569,H569)</f>
        <v>WCFB_M. laciniatus5</v>
      </c>
      <c r="J569" s="22" t="n">
        <v>44693</v>
      </c>
      <c r="K569" s="23" t="n">
        <v>0.652777777777778</v>
      </c>
      <c r="L569" s="22" t="n">
        <v>44694</v>
      </c>
      <c r="M569" s="23" t="n">
        <v>0.564583333333333</v>
      </c>
      <c r="O569" s="1" t="s">
        <v>521</v>
      </c>
      <c r="P569" s="16" t="s">
        <v>451</v>
      </c>
      <c r="Q569" s="16" t="s">
        <v>514</v>
      </c>
      <c r="R569" s="16" t="s">
        <v>453</v>
      </c>
      <c r="S569" s="4" t="s">
        <v>323</v>
      </c>
      <c r="T569" s="24" t="n">
        <v>288</v>
      </c>
      <c r="U569" s="18" t="n">
        <v>3.1</v>
      </c>
      <c r="V569" s="24" t="n">
        <v>0.3</v>
      </c>
      <c r="W569" s="2" t="n">
        <v>0.6</v>
      </c>
      <c r="Z569" s="18"/>
      <c r="AA569" s="20"/>
      <c r="AB569" s="20"/>
      <c r="AC569" s="19" t="e">
        <f aca="false">(AB569-AA569)/AB569</f>
        <v>#DIV/0!</v>
      </c>
    </row>
    <row r="570" customFormat="false" ht="14.25" hidden="false" customHeight="true" outlineLevel="0" collapsed="false">
      <c r="A570" s="18" t="s">
        <v>512</v>
      </c>
      <c r="B570" s="18" t="s">
        <v>512</v>
      </c>
      <c r="C570" s="18" t="s">
        <v>31</v>
      </c>
      <c r="E570" s="2" t="n">
        <f aca="false">INDEX(FieldSites!F:F, MATCH(Ch2_FieldSurvey!B570,FieldSites!C:C,0))</f>
        <v>1380</v>
      </c>
      <c r="F570" s="2" t="n">
        <f aca="false">INDEX(FieldSites!G:G, MATCH(Ch2_FieldSurvey!B570,FieldSites!C:C,0))</f>
        <v>-119.719077</v>
      </c>
      <c r="G570" s="2" t="n">
        <f aca="false">INDEX(FieldSites!H:H, MATCH(Ch2_FieldSurvey!B570,FieldSites!C:C,0))</f>
        <v>37.723593</v>
      </c>
      <c r="H570" s="18" t="n">
        <v>6</v>
      </c>
      <c r="I570" s="21" t="str">
        <f aca="false">CONCATENATE(B570,"_",C570,H570)</f>
        <v>WCFB_M. laciniatus6</v>
      </c>
      <c r="J570" s="22" t="n">
        <v>44693</v>
      </c>
      <c r="K570" s="23" t="n">
        <v>0.652777777777778</v>
      </c>
      <c r="L570" s="22" t="n">
        <v>44694</v>
      </c>
      <c r="M570" s="23" t="n">
        <v>0.567361111111111</v>
      </c>
      <c r="O570" s="1" t="s">
        <v>522</v>
      </c>
      <c r="P570" s="16" t="s">
        <v>451</v>
      </c>
      <c r="Q570" s="16" t="s">
        <v>514</v>
      </c>
      <c r="R570" s="16" t="s">
        <v>453</v>
      </c>
      <c r="S570" s="4" t="s">
        <v>523</v>
      </c>
      <c r="T570" s="24" t="n">
        <v>360</v>
      </c>
      <c r="U570" s="18" t="n">
        <v>2.7</v>
      </c>
      <c r="V570" s="24" t="n">
        <v>0.21</v>
      </c>
      <c r="W570" s="2" t="n">
        <v>0.9</v>
      </c>
      <c r="Z570" s="18"/>
      <c r="AA570" s="20" t="n">
        <v>184415</v>
      </c>
      <c r="AB570" s="20" t="n">
        <v>422400</v>
      </c>
      <c r="AC570" s="19" t="n">
        <f aca="false">(AB570-AA570)/AB570</f>
        <v>0.563411458333333</v>
      </c>
    </row>
    <row r="571" customFormat="false" ht="14.25" hidden="false" customHeight="true" outlineLevel="0" collapsed="false">
      <c r="A571" s="18" t="s">
        <v>512</v>
      </c>
      <c r="B571" s="18" t="s">
        <v>512</v>
      </c>
      <c r="C571" s="18" t="s">
        <v>31</v>
      </c>
      <c r="E571" s="2" t="n">
        <f aca="false">INDEX(FieldSites!F:F, MATCH(Ch2_FieldSurvey!B571,FieldSites!C:C,0))</f>
        <v>1380</v>
      </c>
      <c r="F571" s="2" t="n">
        <f aca="false">INDEX(FieldSites!G:G, MATCH(Ch2_FieldSurvey!B571,FieldSites!C:C,0))</f>
        <v>-119.719077</v>
      </c>
      <c r="G571" s="2" t="n">
        <f aca="false">INDEX(FieldSites!H:H, MATCH(Ch2_FieldSurvey!B571,FieldSites!C:C,0))</f>
        <v>37.723593</v>
      </c>
      <c r="H571" s="18" t="n">
        <v>6</v>
      </c>
      <c r="I571" s="21" t="str">
        <f aca="false">CONCATENATE(B571,"_",C571,H571)</f>
        <v>WCFB_M. laciniatus6</v>
      </c>
      <c r="J571" s="22" t="n">
        <v>44693</v>
      </c>
      <c r="K571" s="23" t="n">
        <v>0.652777777777778</v>
      </c>
      <c r="L571" s="22" t="n">
        <v>44694</v>
      </c>
      <c r="M571" s="23" t="n">
        <v>0.567361111111111</v>
      </c>
      <c r="O571" s="1" t="s">
        <v>522</v>
      </c>
      <c r="P571" s="16" t="s">
        <v>451</v>
      </c>
      <c r="Q571" s="16" t="s">
        <v>514</v>
      </c>
      <c r="R571" s="16" t="s">
        <v>453</v>
      </c>
      <c r="S571" s="4" t="s">
        <v>523</v>
      </c>
      <c r="T571" s="24" t="n">
        <v>392</v>
      </c>
      <c r="U571" s="18" t="n">
        <v>1.8</v>
      </c>
      <c r="V571" s="24" t="n">
        <v>0.27</v>
      </c>
      <c r="W571" s="2" t="n">
        <v>0.6</v>
      </c>
      <c r="Z571" s="18"/>
      <c r="AA571" s="20"/>
      <c r="AB571" s="20"/>
      <c r="AC571" s="19" t="e">
        <f aca="false">(AB571-AA571)/AB571</f>
        <v>#DIV/0!</v>
      </c>
    </row>
    <row r="572" customFormat="false" ht="14.25" hidden="false" customHeight="true" outlineLevel="0" collapsed="false">
      <c r="A572" s="18" t="s">
        <v>512</v>
      </c>
      <c r="B572" s="18" t="s">
        <v>512</v>
      </c>
      <c r="C572" s="18" t="s">
        <v>31</v>
      </c>
      <c r="E572" s="2" t="n">
        <f aca="false">INDEX(FieldSites!F:F, MATCH(Ch2_FieldSurvey!B572,FieldSites!C:C,0))</f>
        <v>1380</v>
      </c>
      <c r="F572" s="2" t="n">
        <f aca="false">INDEX(FieldSites!G:G, MATCH(Ch2_FieldSurvey!B572,FieldSites!C:C,0))</f>
        <v>-119.719077</v>
      </c>
      <c r="G572" s="2" t="n">
        <f aca="false">INDEX(FieldSites!H:H, MATCH(Ch2_FieldSurvey!B572,FieldSites!C:C,0))</f>
        <v>37.723593</v>
      </c>
      <c r="H572" s="18" t="n">
        <v>6</v>
      </c>
      <c r="I572" s="21" t="str">
        <f aca="false">CONCATENATE(B572,"_",C572,H572)</f>
        <v>WCFB_M. laciniatus6</v>
      </c>
      <c r="J572" s="22" t="n">
        <v>44693</v>
      </c>
      <c r="K572" s="23" t="n">
        <v>0.652777777777778</v>
      </c>
      <c r="L572" s="22" t="n">
        <v>44694</v>
      </c>
      <c r="M572" s="23" t="n">
        <v>0.567361111111111</v>
      </c>
      <c r="O572" s="1" t="s">
        <v>522</v>
      </c>
      <c r="P572" s="16" t="s">
        <v>451</v>
      </c>
      <c r="Q572" s="16" t="s">
        <v>514</v>
      </c>
      <c r="R572" s="16" t="s">
        <v>453</v>
      </c>
      <c r="S572" s="4" t="s">
        <v>523</v>
      </c>
      <c r="T572" s="24" t="n">
        <v>395</v>
      </c>
      <c r="U572" s="18" t="n">
        <v>1.9</v>
      </c>
      <c r="V572" s="24" t="n">
        <v>0.28</v>
      </c>
      <c r="W572" s="2" t="n">
        <v>0.5</v>
      </c>
      <c r="Z572" s="18"/>
      <c r="AA572" s="20"/>
      <c r="AB572" s="20"/>
      <c r="AC572" s="19" t="e">
        <f aca="false">(AB572-AA572)/AB572</f>
        <v>#DIV/0!</v>
      </c>
    </row>
    <row r="573" customFormat="false" ht="14.25" hidden="false" customHeight="true" outlineLevel="0" collapsed="false">
      <c r="A573" s="18" t="s">
        <v>512</v>
      </c>
      <c r="B573" s="18" t="s">
        <v>512</v>
      </c>
      <c r="C573" s="18" t="s">
        <v>31</v>
      </c>
      <c r="E573" s="2" t="n">
        <f aca="false">INDEX(FieldSites!F:F, MATCH(Ch2_FieldSurvey!B573,FieldSites!C:C,0))</f>
        <v>1380</v>
      </c>
      <c r="F573" s="2" t="n">
        <f aca="false">INDEX(FieldSites!G:G, MATCH(Ch2_FieldSurvey!B573,FieldSites!C:C,0))</f>
        <v>-119.719077</v>
      </c>
      <c r="G573" s="2" t="n">
        <f aca="false">INDEX(FieldSites!H:H, MATCH(Ch2_FieldSurvey!B573,FieldSites!C:C,0))</f>
        <v>37.723593</v>
      </c>
      <c r="H573" s="18" t="n">
        <v>7</v>
      </c>
      <c r="I573" s="21" t="str">
        <f aca="false">CONCATENATE(B573,"_",C573,H573)</f>
        <v>WCFB_M. laciniatus7</v>
      </c>
      <c r="J573" s="22" t="n">
        <v>44693</v>
      </c>
      <c r="K573" s="23" t="n">
        <v>0.652777777777778</v>
      </c>
      <c r="L573" s="22" t="n">
        <v>44694</v>
      </c>
      <c r="M573" s="23" t="n">
        <v>0.571527777777778</v>
      </c>
      <c r="O573" s="1" t="s">
        <v>524</v>
      </c>
      <c r="P573" s="16" t="s">
        <v>451</v>
      </c>
      <c r="Q573" s="16" t="s">
        <v>514</v>
      </c>
      <c r="R573" s="16" t="s">
        <v>453</v>
      </c>
      <c r="S573" s="4" t="s">
        <v>525</v>
      </c>
      <c r="T573" s="24" t="n">
        <v>433</v>
      </c>
      <c r="U573" s="18" t="n">
        <v>2.7</v>
      </c>
      <c r="V573" s="24" t="n">
        <v>0.32</v>
      </c>
      <c r="W573" s="2" t="n">
        <v>0.7</v>
      </c>
      <c r="Z573" s="18"/>
      <c r="AA573" s="20" t="n">
        <v>162295</v>
      </c>
      <c r="AB573" s="20" t="n">
        <v>357959</v>
      </c>
      <c r="AC573" s="19" t="n">
        <f aca="false">(AB573-AA573)/AB573</f>
        <v>0.546610086630033</v>
      </c>
    </row>
    <row r="574" customFormat="false" ht="14.25" hidden="false" customHeight="true" outlineLevel="0" collapsed="false">
      <c r="A574" s="18" t="s">
        <v>512</v>
      </c>
      <c r="B574" s="18" t="s">
        <v>512</v>
      </c>
      <c r="C574" s="18" t="s">
        <v>31</v>
      </c>
      <c r="E574" s="2" t="n">
        <f aca="false">INDEX(FieldSites!F:F, MATCH(Ch2_FieldSurvey!B574,FieldSites!C:C,0))</f>
        <v>1380</v>
      </c>
      <c r="F574" s="2" t="n">
        <f aca="false">INDEX(FieldSites!G:G, MATCH(Ch2_FieldSurvey!B574,FieldSites!C:C,0))</f>
        <v>-119.719077</v>
      </c>
      <c r="G574" s="2" t="n">
        <f aca="false">INDEX(FieldSites!H:H, MATCH(Ch2_FieldSurvey!B574,FieldSites!C:C,0))</f>
        <v>37.723593</v>
      </c>
      <c r="H574" s="18" t="n">
        <v>7</v>
      </c>
      <c r="I574" s="21" t="str">
        <f aca="false">CONCATENATE(B574,"_",C574,H574)</f>
        <v>WCFB_M. laciniatus7</v>
      </c>
      <c r="J574" s="22" t="n">
        <v>44693</v>
      </c>
      <c r="K574" s="23" t="n">
        <v>0.652777777777778</v>
      </c>
      <c r="L574" s="22" t="n">
        <v>44694</v>
      </c>
      <c r="M574" s="23" t="n">
        <v>0.571527777777778</v>
      </c>
      <c r="O574" s="1" t="s">
        <v>524</v>
      </c>
      <c r="P574" s="16" t="s">
        <v>451</v>
      </c>
      <c r="Q574" s="16" t="s">
        <v>514</v>
      </c>
      <c r="R574" s="16" t="s">
        <v>453</v>
      </c>
      <c r="S574" s="4" t="s">
        <v>525</v>
      </c>
      <c r="T574" s="24" t="n">
        <v>388</v>
      </c>
      <c r="U574" s="18" t="n">
        <v>2</v>
      </c>
      <c r="V574" s="24" t="n">
        <v>0.25</v>
      </c>
      <c r="W574" s="2" t="n">
        <v>0.8</v>
      </c>
      <c r="Z574" s="18"/>
      <c r="AA574" s="20"/>
      <c r="AB574" s="20"/>
      <c r="AC574" s="19" t="e">
        <f aca="false">(AB574-AA574)/AB574</f>
        <v>#DIV/0!</v>
      </c>
    </row>
    <row r="575" customFormat="false" ht="14.25" hidden="false" customHeight="true" outlineLevel="0" collapsed="false">
      <c r="A575" s="18" t="s">
        <v>512</v>
      </c>
      <c r="B575" s="18" t="s">
        <v>512</v>
      </c>
      <c r="C575" s="18" t="s">
        <v>31</v>
      </c>
      <c r="E575" s="2" t="n">
        <f aca="false">INDEX(FieldSites!F:F, MATCH(Ch2_FieldSurvey!B575,FieldSites!C:C,0))</f>
        <v>1380</v>
      </c>
      <c r="F575" s="2" t="n">
        <f aca="false">INDEX(FieldSites!G:G, MATCH(Ch2_FieldSurvey!B575,FieldSites!C:C,0))</f>
        <v>-119.719077</v>
      </c>
      <c r="G575" s="2" t="n">
        <f aca="false">INDEX(FieldSites!H:H, MATCH(Ch2_FieldSurvey!B575,FieldSites!C:C,0))</f>
        <v>37.723593</v>
      </c>
      <c r="H575" s="18" t="n">
        <v>7</v>
      </c>
      <c r="I575" s="21" t="str">
        <f aca="false">CONCATENATE(B575,"_",C575,H575)</f>
        <v>WCFB_M. laciniatus7</v>
      </c>
      <c r="J575" s="22" t="n">
        <v>44693</v>
      </c>
      <c r="K575" s="23" t="n">
        <v>0.652777777777778</v>
      </c>
      <c r="L575" s="22" t="n">
        <v>44694</v>
      </c>
      <c r="M575" s="23" t="n">
        <v>0.571527777777778</v>
      </c>
      <c r="O575" s="1" t="s">
        <v>524</v>
      </c>
      <c r="P575" s="16" t="s">
        <v>451</v>
      </c>
      <c r="Q575" s="16" t="s">
        <v>514</v>
      </c>
      <c r="R575" s="16" t="s">
        <v>453</v>
      </c>
      <c r="S575" s="4" t="s">
        <v>525</v>
      </c>
      <c r="T575" s="24" t="n">
        <v>407</v>
      </c>
      <c r="U575" s="18" t="n">
        <v>2.1</v>
      </c>
      <c r="V575" s="24" t="n">
        <v>0.25</v>
      </c>
      <c r="W575" s="2" t="n">
        <v>0.7</v>
      </c>
      <c r="Z575" s="18"/>
      <c r="AA575" s="20"/>
      <c r="AB575" s="20"/>
      <c r="AC575" s="19" t="e">
        <f aca="false">(AB575-AA575)/AB575</f>
        <v>#DIV/0!</v>
      </c>
    </row>
    <row r="576" customFormat="false" ht="14.25" hidden="false" customHeight="true" outlineLevel="0" collapsed="false">
      <c r="A576" s="18" t="s">
        <v>512</v>
      </c>
      <c r="B576" s="18" t="s">
        <v>512</v>
      </c>
      <c r="C576" s="18" t="s">
        <v>31</v>
      </c>
      <c r="E576" s="2" t="n">
        <f aca="false">INDEX(FieldSites!F:F, MATCH(Ch2_FieldSurvey!B576,FieldSites!C:C,0))</f>
        <v>1380</v>
      </c>
      <c r="F576" s="2" t="n">
        <f aca="false">INDEX(FieldSites!G:G, MATCH(Ch2_FieldSurvey!B576,FieldSites!C:C,0))</f>
        <v>-119.719077</v>
      </c>
      <c r="G576" s="2" t="n">
        <f aca="false">INDEX(FieldSites!H:H, MATCH(Ch2_FieldSurvey!B576,FieldSites!C:C,0))</f>
        <v>37.723593</v>
      </c>
      <c r="H576" s="18" t="n">
        <v>8</v>
      </c>
      <c r="I576" s="21" t="str">
        <f aca="false">CONCATENATE(B576,"_",C576,H576)</f>
        <v>WCFB_M. laciniatus8</v>
      </c>
      <c r="J576" s="22" t="n">
        <v>44693</v>
      </c>
      <c r="K576" s="23" t="n">
        <v>0.652777777777778</v>
      </c>
      <c r="L576" s="22" t="n">
        <v>44694</v>
      </c>
      <c r="M576" s="23" t="n">
        <v>0.575</v>
      </c>
      <c r="O576" s="1" t="s">
        <v>526</v>
      </c>
      <c r="P576" s="16" t="s">
        <v>451</v>
      </c>
      <c r="Q576" s="16" t="s">
        <v>514</v>
      </c>
      <c r="R576" s="16" t="s">
        <v>453</v>
      </c>
      <c r="S576" s="4" t="s">
        <v>527</v>
      </c>
      <c r="T576" s="24" t="n">
        <v>450</v>
      </c>
      <c r="U576" s="18" t="n">
        <v>2.2</v>
      </c>
      <c r="V576" s="24" t="n">
        <v>0.29</v>
      </c>
      <c r="W576" s="2" t="n">
        <v>0.7</v>
      </c>
      <c r="Z576" s="18"/>
      <c r="AA576" s="20" t="n">
        <v>69410</v>
      </c>
      <c r="AB576" s="20" t="n">
        <v>91888</v>
      </c>
      <c r="AC576" s="19" t="n">
        <f aca="false">(AB576-AA576)/AB576</f>
        <v>0.244623889952986</v>
      </c>
    </row>
    <row r="577" customFormat="false" ht="14.25" hidden="false" customHeight="true" outlineLevel="0" collapsed="false">
      <c r="A577" s="18" t="s">
        <v>512</v>
      </c>
      <c r="B577" s="18" t="s">
        <v>512</v>
      </c>
      <c r="C577" s="18" t="s">
        <v>31</v>
      </c>
      <c r="E577" s="2" t="n">
        <f aca="false">INDEX(FieldSites!F:F, MATCH(Ch2_FieldSurvey!B577,FieldSites!C:C,0))</f>
        <v>1380</v>
      </c>
      <c r="F577" s="2" t="n">
        <f aca="false">INDEX(FieldSites!G:G, MATCH(Ch2_FieldSurvey!B577,FieldSites!C:C,0))</f>
        <v>-119.719077</v>
      </c>
      <c r="G577" s="2" t="n">
        <f aca="false">INDEX(FieldSites!H:H, MATCH(Ch2_FieldSurvey!B577,FieldSites!C:C,0))</f>
        <v>37.723593</v>
      </c>
      <c r="H577" s="18" t="n">
        <v>8</v>
      </c>
      <c r="I577" s="21" t="str">
        <f aca="false">CONCATENATE(B577,"_",C577,H577)</f>
        <v>WCFB_M. laciniatus8</v>
      </c>
      <c r="J577" s="22" t="n">
        <v>44693</v>
      </c>
      <c r="K577" s="23" t="n">
        <v>0.652777777777778</v>
      </c>
      <c r="L577" s="22" t="n">
        <v>44694</v>
      </c>
      <c r="M577" s="23" t="n">
        <v>0.575</v>
      </c>
      <c r="O577" s="1" t="s">
        <v>526</v>
      </c>
      <c r="P577" s="16" t="s">
        <v>451</v>
      </c>
      <c r="Q577" s="16" t="s">
        <v>514</v>
      </c>
      <c r="R577" s="16" t="s">
        <v>453</v>
      </c>
      <c r="S577" s="4" t="s">
        <v>527</v>
      </c>
      <c r="T577" s="24" t="n">
        <v>287</v>
      </c>
      <c r="U577" s="18" t="n">
        <v>1.7</v>
      </c>
      <c r="V577" s="24" t="n">
        <v>0.24</v>
      </c>
      <c r="W577" s="2" t="n">
        <v>0.7</v>
      </c>
      <c r="Z577" s="18"/>
      <c r="AA577" s="20"/>
      <c r="AB577" s="20"/>
      <c r="AC577" s="19" t="e">
        <f aca="false">(AB577-AA577)/AB577</f>
        <v>#DIV/0!</v>
      </c>
    </row>
    <row r="578" customFormat="false" ht="14.25" hidden="false" customHeight="true" outlineLevel="0" collapsed="false">
      <c r="A578" s="18" t="s">
        <v>512</v>
      </c>
      <c r="B578" s="18" t="s">
        <v>512</v>
      </c>
      <c r="C578" s="18" t="s">
        <v>31</v>
      </c>
      <c r="E578" s="2" t="n">
        <f aca="false">INDEX(FieldSites!F:F, MATCH(Ch2_FieldSurvey!B578,FieldSites!C:C,0))</f>
        <v>1380</v>
      </c>
      <c r="F578" s="2" t="n">
        <f aca="false">INDEX(FieldSites!G:G, MATCH(Ch2_FieldSurvey!B578,FieldSites!C:C,0))</f>
        <v>-119.719077</v>
      </c>
      <c r="G578" s="2" t="n">
        <f aca="false">INDEX(FieldSites!H:H, MATCH(Ch2_FieldSurvey!B578,FieldSites!C:C,0))</f>
        <v>37.723593</v>
      </c>
      <c r="H578" s="18" t="n">
        <v>8</v>
      </c>
      <c r="I578" s="21" t="str">
        <f aca="false">CONCATENATE(B578,"_",C578,H578)</f>
        <v>WCFB_M. laciniatus8</v>
      </c>
      <c r="J578" s="22" t="n">
        <v>44693</v>
      </c>
      <c r="K578" s="23" t="n">
        <v>0.652777777777778</v>
      </c>
      <c r="L578" s="22" t="n">
        <v>44694</v>
      </c>
      <c r="M578" s="23" t="n">
        <v>0.575</v>
      </c>
      <c r="O578" s="1" t="s">
        <v>526</v>
      </c>
      <c r="P578" s="16" t="s">
        <v>451</v>
      </c>
      <c r="Q578" s="16" t="s">
        <v>514</v>
      </c>
      <c r="R578" s="16" t="s">
        <v>453</v>
      </c>
      <c r="S578" s="4" t="s">
        <v>527</v>
      </c>
      <c r="T578" s="24" t="n">
        <v>439</v>
      </c>
      <c r="U578" s="18" t="n">
        <v>2.7</v>
      </c>
      <c r="V578" s="24" t="n">
        <v>0.32</v>
      </c>
      <c r="W578" s="2" t="n">
        <v>0.6</v>
      </c>
      <c r="Z578" s="18"/>
      <c r="AA578" s="20"/>
      <c r="AB578" s="20"/>
      <c r="AC578" s="19" t="e">
        <f aca="false">(AB578-AA578)/AB578</f>
        <v>#DIV/0!</v>
      </c>
    </row>
    <row r="579" customFormat="false" ht="14.25" hidden="false" customHeight="true" outlineLevel="0" collapsed="false">
      <c r="A579" s="18" t="s">
        <v>512</v>
      </c>
      <c r="B579" s="18" t="s">
        <v>512</v>
      </c>
      <c r="C579" s="18" t="s">
        <v>31</v>
      </c>
      <c r="E579" s="2" t="n">
        <f aca="false">INDEX(FieldSites!F:F, MATCH(Ch2_FieldSurvey!B579,FieldSites!C:C,0))</f>
        <v>1380</v>
      </c>
      <c r="F579" s="2" t="n">
        <f aca="false">INDEX(FieldSites!G:G, MATCH(Ch2_FieldSurvey!B579,FieldSites!C:C,0))</f>
        <v>-119.719077</v>
      </c>
      <c r="G579" s="2" t="n">
        <f aca="false">INDEX(FieldSites!H:H, MATCH(Ch2_FieldSurvey!B579,FieldSites!C:C,0))</f>
        <v>37.723593</v>
      </c>
      <c r="H579" s="18" t="n">
        <v>9</v>
      </c>
      <c r="I579" s="21" t="str">
        <f aca="false">CONCATENATE(B579,"_",C579,H579)</f>
        <v>WCFB_M. laciniatus9</v>
      </c>
      <c r="J579" s="22" t="n">
        <v>44693</v>
      </c>
      <c r="K579" s="23" t="n">
        <v>0.652777777777778</v>
      </c>
      <c r="L579" s="22" t="n">
        <v>44694</v>
      </c>
      <c r="M579" s="23" t="n">
        <v>0.578472222222222</v>
      </c>
      <c r="O579" s="1" t="s">
        <v>528</v>
      </c>
      <c r="P579" s="16" t="s">
        <v>451</v>
      </c>
      <c r="Q579" s="16" t="s">
        <v>514</v>
      </c>
      <c r="R579" s="16" t="s">
        <v>453</v>
      </c>
      <c r="S579" s="4" t="s">
        <v>529</v>
      </c>
      <c r="T579" s="24" t="n">
        <v>375</v>
      </c>
      <c r="U579" s="18" t="n">
        <v>2.3</v>
      </c>
      <c r="V579" s="24" t="n">
        <v>0.35</v>
      </c>
      <c r="W579" s="2" t="n">
        <v>0.7</v>
      </c>
      <c r="Z579" s="18"/>
      <c r="AA579" s="20" t="n">
        <v>136290</v>
      </c>
      <c r="AB579" s="20" t="n">
        <v>199295</v>
      </c>
      <c r="AC579" s="19" t="n">
        <f aca="false">(AB579-AA579)/AB579</f>
        <v>0.316139391354525</v>
      </c>
    </row>
    <row r="580" customFormat="false" ht="14.25" hidden="false" customHeight="true" outlineLevel="0" collapsed="false">
      <c r="A580" s="18" t="s">
        <v>512</v>
      </c>
      <c r="B580" s="18" t="s">
        <v>512</v>
      </c>
      <c r="C580" s="18" t="s">
        <v>31</v>
      </c>
      <c r="E580" s="2" t="n">
        <f aca="false">INDEX(FieldSites!F:F, MATCH(Ch2_FieldSurvey!B580,FieldSites!C:C,0))</f>
        <v>1380</v>
      </c>
      <c r="F580" s="2" t="n">
        <f aca="false">INDEX(FieldSites!G:G, MATCH(Ch2_FieldSurvey!B580,FieldSites!C:C,0))</f>
        <v>-119.719077</v>
      </c>
      <c r="G580" s="2" t="n">
        <f aca="false">INDEX(FieldSites!H:H, MATCH(Ch2_FieldSurvey!B580,FieldSites!C:C,0))</f>
        <v>37.723593</v>
      </c>
      <c r="H580" s="18" t="n">
        <v>9</v>
      </c>
      <c r="I580" s="21" t="str">
        <f aca="false">CONCATENATE(B580,"_",C580,H580)</f>
        <v>WCFB_M. laciniatus9</v>
      </c>
      <c r="J580" s="22" t="n">
        <v>44693</v>
      </c>
      <c r="K580" s="23" t="n">
        <v>0.652777777777778</v>
      </c>
      <c r="L580" s="18" t="s">
        <v>530</v>
      </c>
      <c r="M580" s="23" t="n">
        <v>0.578472222222222</v>
      </c>
      <c r="O580" s="1" t="s">
        <v>528</v>
      </c>
      <c r="P580" s="16" t="s">
        <v>451</v>
      </c>
      <c r="Q580" s="16" t="s">
        <v>514</v>
      </c>
      <c r="R580" s="1" t="s">
        <v>530</v>
      </c>
      <c r="S580" s="4" t="s">
        <v>529</v>
      </c>
      <c r="T580" s="24" t="n">
        <v>331</v>
      </c>
      <c r="U580" s="18" t="n">
        <v>3.3</v>
      </c>
      <c r="V580" s="24" t="n">
        <v>0.35</v>
      </c>
      <c r="W580" s="2" t="n">
        <v>0.8</v>
      </c>
      <c r="Z580" s="18"/>
      <c r="AA580" s="20"/>
      <c r="AB580" s="20"/>
      <c r="AC580" s="19" t="e">
        <f aca="false">(AB580-AA580)/AB580</f>
        <v>#DIV/0!</v>
      </c>
    </row>
    <row r="581" customFormat="false" ht="14.25" hidden="false" customHeight="true" outlineLevel="0" collapsed="false">
      <c r="A581" s="18" t="s">
        <v>512</v>
      </c>
      <c r="B581" s="18" t="s">
        <v>512</v>
      </c>
      <c r="C581" s="18" t="s">
        <v>31</v>
      </c>
      <c r="E581" s="2" t="n">
        <f aca="false">INDEX(FieldSites!F:F, MATCH(Ch2_FieldSurvey!B581,FieldSites!C:C,0))</f>
        <v>1380</v>
      </c>
      <c r="F581" s="2" t="n">
        <f aca="false">INDEX(FieldSites!G:G, MATCH(Ch2_FieldSurvey!B581,FieldSites!C:C,0))</f>
        <v>-119.719077</v>
      </c>
      <c r="G581" s="2" t="n">
        <f aca="false">INDEX(FieldSites!H:H, MATCH(Ch2_FieldSurvey!B581,FieldSites!C:C,0))</f>
        <v>37.723593</v>
      </c>
      <c r="H581" s="18" t="n">
        <v>9</v>
      </c>
      <c r="I581" s="21" t="str">
        <f aca="false">CONCATENATE(B581,"_",C581,H581)</f>
        <v>WCFB_M. laciniatus9</v>
      </c>
      <c r="J581" s="22" t="n">
        <v>44693</v>
      </c>
      <c r="K581" s="23" t="n">
        <v>0.652777777777778</v>
      </c>
      <c r="L581" s="22" t="n">
        <v>44694</v>
      </c>
      <c r="M581" s="23" t="n">
        <v>0.578472222222222</v>
      </c>
      <c r="O581" s="1" t="s">
        <v>528</v>
      </c>
      <c r="P581" s="16" t="s">
        <v>451</v>
      </c>
      <c r="Q581" s="16" t="s">
        <v>514</v>
      </c>
      <c r="R581" s="16" t="s">
        <v>453</v>
      </c>
      <c r="S581" s="4" t="s">
        <v>529</v>
      </c>
      <c r="T581" s="24" t="n">
        <v>325</v>
      </c>
      <c r="U581" s="18" t="n">
        <v>2.5</v>
      </c>
      <c r="V581" s="24" t="n">
        <v>0.35</v>
      </c>
      <c r="W581" s="2" t="n">
        <v>0.6</v>
      </c>
      <c r="Z581" s="18"/>
      <c r="AA581" s="20"/>
      <c r="AB581" s="20"/>
      <c r="AC581" s="19" t="e">
        <f aca="false">(AB581-AA581)/AB581</f>
        <v>#DIV/0!</v>
      </c>
    </row>
    <row r="582" customFormat="false" ht="14.25" hidden="false" customHeight="true" outlineLevel="0" collapsed="false">
      <c r="A582" s="18" t="s">
        <v>512</v>
      </c>
      <c r="B582" s="18" t="s">
        <v>512</v>
      </c>
      <c r="C582" s="18" t="s">
        <v>31</v>
      </c>
      <c r="E582" s="2" t="n">
        <f aca="false">INDEX(FieldSites!F:F, MATCH(Ch2_FieldSurvey!B582,FieldSites!C:C,0))</f>
        <v>1380</v>
      </c>
      <c r="F582" s="2" t="n">
        <f aca="false">INDEX(FieldSites!G:G, MATCH(Ch2_FieldSurvey!B582,FieldSites!C:C,0))</f>
        <v>-119.719077</v>
      </c>
      <c r="G582" s="2" t="n">
        <f aca="false">INDEX(FieldSites!H:H, MATCH(Ch2_FieldSurvey!B582,FieldSites!C:C,0))</f>
        <v>37.723593</v>
      </c>
      <c r="H582" s="18" t="n">
        <v>10</v>
      </c>
      <c r="I582" s="21" t="str">
        <f aca="false">CONCATENATE(B582,"_",C582,H582)</f>
        <v>WCFB_M. laciniatus10</v>
      </c>
      <c r="J582" s="22" t="n">
        <v>44693</v>
      </c>
      <c r="K582" s="23" t="n">
        <v>0.652777777777778</v>
      </c>
      <c r="L582" s="22" t="n">
        <v>44694</v>
      </c>
      <c r="M582" s="23" t="n">
        <v>0.581944444444445</v>
      </c>
      <c r="O582" s="1" t="s">
        <v>531</v>
      </c>
      <c r="P582" s="16" t="s">
        <v>451</v>
      </c>
      <c r="Q582" s="16" t="s">
        <v>514</v>
      </c>
      <c r="R582" s="16" t="s">
        <v>453</v>
      </c>
      <c r="S582" s="4" t="s">
        <v>532</v>
      </c>
      <c r="T582" s="24" t="n">
        <v>267</v>
      </c>
      <c r="U582" s="18" t="n">
        <v>2.5</v>
      </c>
      <c r="V582" s="24" t="n">
        <v>0.39</v>
      </c>
      <c r="W582" s="2" t="n">
        <v>0.5</v>
      </c>
      <c r="Z582" s="18"/>
      <c r="AA582" s="20" t="n">
        <v>130891</v>
      </c>
      <c r="AB582" s="20" t="n">
        <v>226777</v>
      </c>
      <c r="AC582" s="19" t="n">
        <f aca="false">(AB582-AA582)/AB582</f>
        <v>0.422820656415774</v>
      </c>
    </row>
    <row r="583" customFormat="false" ht="14.25" hidden="false" customHeight="true" outlineLevel="0" collapsed="false">
      <c r="A583" s="18" t="s">
        <v>512</v>
      </c>
      <c r="B583" s="18" t="s">
        <v>512</v>
      </c>
      <c r="C583" s="18" t="s">
        <v>31</v>
      </c>
      <c r="E583" s="2" t="n">
        <f aca="false">INDEX(FieldSites!F:F, MATCH(Ch2_FieldSurvey!B583,FieldSites!C:C,0))</f>
        <v>1380</v>
      </c>
      <c r="F583" s="2" t="n">
        <f aca="false">INDEX(FieldSites!G:G, MATCH(Ch2_FieldSurvey!B583,FieldSites!C:C,0))</f>
        <v>-119.719077</v>
      </c>
      <c r="G583" s="2" t="n">
        <f aca="false">INDEX(FieldSites!H:H, MATCH(Ch2_FieldSurvey!B583,FieldSites!C:C,0))</f>
        <v>37.723593</v>
      </c>
      <c r="H583" s="18" t="n">
        <v>10</v>
      </c>
      <c r="I583" s="21" t="str">
        <f aca="false">CONCATENATE(B583,"_",C583,H583)</f>
        <v>WCFB_M. laciniatus10</v>
      </c>
      <c r="J583" s="22" t="n">
        <v>44693</v>
      </c>
      <c r="K583" s="23" t="n">
        <v>0.652777777777778</v>
      </c>
      <c r="L583" s="22" t="n">
        <v>44694</v>
      </c>
      <c r="M583" s="23" t="n">
        <v>0.581944444444445</v>
      </c>
      <c r="O583" s="1" t="s">
        <v>531</v>
      </c>
      <c r="P583" s="16" t="s">
        <v>451</v>
      </c>
      <c r="Q583" s="16" t="s">
        <v>514</v>
      </c>
      <c r="R583" s="16" t="s">
        <v>453</v>
      </c>
      <c r="S583" s="4" t="s">
        <v>532</v>
      </c>
      <c r="T583" s="24" t="n">
        <v>380</v>
      </c>
      <c r="U583" s="18" t="n">
        <v>4.2</v>
      </c>
      <c r="V583" s="24" t="n">
        <v>0.3</v>
      </c>
      <c r="W583" s="2" t="n">
        <v>0.9</v>
      </c>
      <c r="Z583" s="18"/>
      <c r="AA583" s="20"/>
      <c r="AB583" s="20"/>
      <c r="AC583" s="19" t="e">
        <f aca="false">(AB583-AA583)/AB583</f>
        <v>#DIV/0!</v>
      </c>
    </row>
    <row r="584" customFormat="false" ht="14.25" hidden="false" customHeight="true" outlineLevel="0" collapsed="false">
      <c r="A584" s="18" t="s">
        <v>512</v>
      </c>
      <c r="B584" s="18" t="s">
        <v>512</v>
      </c>
      <c r="C584" s="18" t="s">
        <v>31</v>
      </c>
      <c r="E584" s="2" t="n">
        <f aca="false">INDEX(FieldSites!F:F, MATCH(Ch2_FieldSurvey!B584,FieldSites!C:C,0))</f>
        <v>1380</v>
      </c>
      <c r="F584" s="2" t="n">
        <f aca="false">INDEX(FieldSites!G:G, MATCH(Ch2_FieldSurvey!B584,FieldSites!C:C,0))</f>
        <v>-119.719077</v>
      </c>
      <c r="G584" s="2" t="n">
        <f aca="false">INDEX(FieldSites!H:H, MATCH(Ch2_FieldSurvey!B584,FieldSites!C:C,0))</f>
        <v>37.723593</v>
      </c>
      <c r="H584" s="18" t="n">
        <v>10</v>
      </c>
      <c r="I584" s="21" t="str">
        <f aca="false">CONCATENATE(B584,"_",C584,H584)</f>
        <v>WCFB_M. laciniatus10</v>
      </c>
      <c r="J584" s="22" t="n">
        <v>44693</v>
      </c>
      <c r="K584" s="23" t="n">
        <v>0.652777777777778</v>
      </c>
      <c r="L584" s="22" t="n">
        <v>44694</v>
      </c>
      <c r="M584" s="23" t="n">
        <v>0.581944444444445</v>
      </c>
      <c r="O584" s="1" t="s">
        <v>531</v>
      </c>
      <c r="P584" s="16" t="s">
        <v>451</v>
      </c>
      <c r="Q584" s="16" t="s">
        <v>514</v>
      </c>
      <c r="R584" s="16" t="s">
        <v>453</v>
      </c>
      <c r="S584" s="4" t="s">
        <v>532</v>
      </c>
      <c r="T584" s="24" t="n">
        <v>385</v>
      </c>
      <c r="U584" s="18" t="n">
        <v>2.7</v>
      </c>
      <c r="V584" s="24" t="n">
        <v>0.44</v>
      </c>
      <c r="W584" s="2" t="n">
        <v>0.8</v>
      </c>
      <c r="Z584" s="18"/>
      <c r="AA584" s="20"/>
      <c r="AB584" s="20"/>
      <c r="AC584" s="19" t="e">
        <f aca="false">(AB584-AA584)/AB584</f>
        <v>#DIV/0!</v>
      </c>
    </row>
    <row r="585" customFormat="false" ht="14.25" hidden="false" customHeight="true" outlineLevel="0" collapsed="false">
      <c r="A585" s="18" t="s">
        <v>512</v>
      </c>
      <c r="B585" s="18" t="s">
        <v>512</v>
      </c>
      <c r="C585" s="18" t="s">
        <v>31</v>
      </c>
      <c r="E585" s="2" t="n">
        <f aca="false">INDEX(FieldSites!F:F, MATCH(Ch2_FieldSurvey!B585,FieldSites!C:C,0))</f>
        <v>1380</v>
      </c>
      <c r="F585" s="2" t="n">
        <f aca="false">INDEX(FieldSites!G:G, MATCH(Ch2_FieldSurvey!B585,FieldSites!C:C,0))</f>
        <v>-119.719077</v>
      </c>
      <c r="G585" s="2" t="n">
        <f aca="false">INDEX(FieldSites!H:H, MATCH(Ch2_FieldSurvey!B585,FieldSites!C:C,0))</f>
        <v>37.723593</v>
      </c>
      <c r="H585" s="18" t="n">
        <v>11</v>
      </c>
      <c r="I585" s="21" t="str">
        <f aca="false">CONCATENATE(B585,"_",C585,H585)</f>
        <v>WCFB_M. laciniatus11</v>
      </c>
      <c r="J585" s="22" t="n">
        <v>44693</v>
      </c>
      <c r="K585" s="23" t="n">
        <v>0.652777777777778</v>
      </c>
      <c r="L585" s="22" t="n">
        <v>44694</v>
      </c>
      <c r="M585" s="23" t="n">
        <v>0.585416666666667</v>
      </c>
      <c r="O585" s="1" t="s">
        <v>533</v>
      </c>
      <c r="P585" s="16" t="s">
        <v>451</v>
      </c>
      <c r="Q585" s="16" t="s">
        <v>514</v>
      </c>
      <c r="R585" s="16" t="s">
        <v>453</v>
      </c>
      <c r="S585" s="4" t="s">
        <v>333</v>
      </c>
      <c r="T585" s="24" t="n">
        <v>344</v>
      </c>
      <c r="U585" s="18" t="n">
        <v>2</v>
      </c>
      <c r="V585" s="24" t="n">
        <v>0.35</v>
      </c>
      <c r="W585" s="2" t="n">
        <v>0.8</v>
      </c>
      <c r="Z585" s="18"/>
      <c r="AA585" s="20" t="n">
        <v>134765</v>
      </c>
      <c r="AB585" s="20" t="n">
        <v>235466</v>
      </c>
      <c r="AC585" s="19" t="n">
        <f aca="false">(AB585-AA585)/AB585</f>
        <v>0.427666839373837</v>
      </c>
    </row>
    <row r="586" customFormat="false" ht="14.25" hidden="false" customHeight="true" outlineLevel="0" collapsed="false">
      <c r="A586" s="18" t="s">
        <v>512</v>
      </c>
      <c r="B586" s="18" t="s">
        <v>512</v>
      </c>
      <c r="C586" s="18" t="s">
        <v>31</v>
      </c>
      <c r="E586" s="2" t="n">
        <f aca="false">INDEX(FieldSites!F:F, MATCH(Ch2_FieldSurvey!B586,FieldSites!C:C,0))</f>
        <v>1380</v>
      </c>
      <c r="F586" s="2" t="n">
        <f aca="false">INDEX(FieldSites!G:G, MATCH(Ch2_FieldSurvey!B586,FieldSites!C:C,0))</f>
        <v>-119.719077</v>
      </c>
      <c r="G586" s="2" t="n">
        <f aca="false">INDEX(FieldSites!H:H, MATCH(Ch2_FieldSurvey!B586,FieldSites!C:C,0))</f>
        <v>37.723593</v>
      </c>
      <c r="H586" s="18" t="n">
        <v>11</v>
      </c>
      <c r="I586" s="21" t="str">
        <f aca="false">CONCATENATE(B586,"_",C586,H586)</f>
        <v>WCFB_M. laciniatus11</v>
      </c>
      <c r="J586" s="22" t="n">
        <v>44693</v>
      </c>
      <c r="K586" s="23" t="n">
        <v>0.652777777777778</v>
      </c>
      <c r="L586" s="22" t="n">
        <v>44694</v>
      </c>
      <c r="M586" s="23" t="n">
        <v>0.585416666666667</v>
      </c>
      <c r="O586" s="1" t="s">
        <v>533</v>
      </c>
      <c r="P586" s="16" t="s">
        <v>451</v>
      </c>
      <c r="Q586" s="16" t="s">
        <v>514</v>
      </c>
      <c r="R586" s="16" t="s">
        <v>453</v>
      </c>
      <c r="S586" s="4" t="s">
        <v>333</v>
      </c>
      <c r="T586" s="24" t="n">
        <v>341</v>
      </c>
      <c r="U586" s="18" t="n">
        <v>4.4</v>
      </c>
      <c r="V586" s="24" t="n">
        <v>0.41</v>
      </c>
      <c r="W586" s="2" t="n">
        <v>0.9</v>
      </c>
      <c r="Z586" s="18"/>
      <c r="AA586" s="20"/>
      <c r="AB586" s="20"/>
      <c r="AC586" s="19" t="e">
        <f aca="false">(AB586-AA586)/AB586</f>
        <v>#DIV/0!</v>
      </c>
    </row>
    <row r="587" customFormat="false" ht="14.25" hidden="false" customHeight="true" outlineLevel="0" collapsed="false">
      <c r="A587" s="18" t="s">
        <v>512</v>
      </c>
      <c r="B587" s="18" t="s">
        <v>512</v>
      </c>
      <c r="C587" s="18" t="s">
        <v>31</v>
      </c>
      <c r="E587" s="2" t="n">
        <f aca="false">INDEX(FieldSites!F:F, MATCH(Ch2_FieldSurvey!B587,FieldSites!C:C,0))</f>
        <v>1380</v>
      </c>
      <c r="F587" s="2" t="n">
        <f aca="false">INDEX(FieldSites!G:G, MATCH(Ch2_FieldSurvey!B587,FieldSites!C:C,0))</f>
        <v>-119.719077</v>
      </c>
      <c r="G587" s="2" t="n">
        <f aca="false">INDEX(FieldSites!H:H, MATCH(Ch2_FieldSurvey!B587,FieldSites!C:C,0))</f>
        <v>37.723593</v>
      </c>
      <c r="H587" s="18" t="n">
        <v>11</v>
      </c>
      <c r="I587" s="21" t="str">
        <f aca="false">CONCATENATE(B587,"_",C587,H587)</f>
        <v>WCFB_M. laciniatus11</v>
      </c>
      <c r="J587" s="22" t="n">
        <v>44693</v>
      </c>
      <c r="K587" s="23" t="n">
        <v>0.652777777777778</v>
      </c>
      <c r="L587" s="22" t="n">
        <v>44694</v>
      </c>
      <c r="M587" s="23" t="n">
        <v>0.585416666666667</v>
      </c>
      <c r="O587" s="1" t="s">
        <v>533</v>
      </c>
      <c r="P587" s="16" t="s">
        <v>451</v>
      </c>
      <c r="Q587" s="16" t="s">
        <v>514</v>
      </c>
      <c r="R587" s="16" t="s">
        <v>453</v>
      </c>
      <c r="S587" s="4" t="s">
        <v>333</v>
      </c>
      <c r="T587" s="24" t="n">
        <v>395</v>
      </c>
      <c r="U587" s="18" t="n">
        <v>2.7</v>
      </c>
      <c r="V587" s="24" t="n">
        <v>0.4</v>
      </c>
      <c r="W587" s="2" t="n">
        <v>0.8</v>
      </c>
      <c r="Z587" s="18"/>
      <c r="AA587" s="20"/>
      <c r="AB587" s="20"/>
      <c r="AC587" s="19" t="e">
        <f aca="false">(AB587-AA587)/AB587</f>
        <v>#DIV/0!</v>
      </c>
    </row>
    <row r="588" customFormat="false" ht="14.25" hidden="false" customHeight="true" outlineLevel="0" collapsed="false">
      <c r="A588" s="18" t="s">
        <v>512</v>
      </c>
      <c r="B588" s="18" t="s">
        <v>512</v>
      </c>
      <c r="C588" s="18" t="s">
        <v>40</v>
      </c>
      <c r="E588" s="2" t="n">
        <f aca="false">INDEX(FieldSites!F:F, MATCH(Ch2_FieldSurvey!B588,FieldSites!C:C,0))</f>
        <v>1380</v>
      </c>
      <c r="F588" s="2" t="n">
        <f aca="false">INDEX(FieldSites!G:G, MATCH(Ch2_FieldSurvey!B588,FieldSites!C:C,0))</f>
        <v>-119.719077</v>
      </c>
      <c r="G588" s="2" t="n">
        <f aca="false">INDEX(FieldSites!H:H, MATCH(Ch2_FieldSurvey!B588,FieldSites!C:C,0))</f>
        <v>37.723593</v>
      </c>
      <c r="H588" s="18" t="n">
        <v>1</v>
      </c>
      <c r="I588" s="21" t="str">
        <f aca="false">CONCATENATE(B588,"_",C588,H588)</f>
        <v>WCFB_M. guttatus1</v>
      </c>
      <c r="J588" s="22" t="n">
        <v>44693</v>
      </c>
      <c r="K588" s="23" t="n">
        <v>0.652777777777778</v>
      </c>
      <c r="L588" s="22" t="n">
        <v>44694</v>
      </c>
      <c r="M588" s="23" t="n">
        <v>0.591666666666667</v>
      </c>
      <c r="O588" s="1" t="s">
        <v>534</v>
      </c>
      <c r="P588" s="16" t="s">
        <v>451</v>
      </c>
      <c r="Q588" s="16" t="s">
        <v>514</v>
      </c>
      <c r="R588" s="16" t="s">
        <v>453</v>
      </c>
      <c r="S588" s="4" t="s">
        <v>535</v>
      </c>
      <c r="T588" s="24" t="n">
        <v>276</v>
      </c>
      <c r="U588" s="18" t="n">
        <v>3.4</v>
      </c>
      <c r="V588" s="24" t="n">
        <v>0.28</v>
      </c>
      <c r="W588" s="2" t="n">
        <v>0.5</v>
      </c>
      <c r="Z588" s="18" t="s">
        <v>536</v>
      </c>
      <c r="AA588" s="20" t="n">
        <v>77370</v>
      </c>
      <c r="AB588" s="20" t="n">
        <v>88389</v>
      </c>
      <c r="AC588" s="19" t="n">
        <f aca="false">(AB588-AA588)/AB588</f>
        <v>0.124664833859417</v>
      </c>
    </row>
    <row r="589" customFormat="false" ht="14.25" hidden="false" customHeight="true" outlineLevel="0" collapsed="false">
      <c r="A589" s="18" t="s">
        <v>512</v>
      </c>
      <c r="B589" s="18" t="s">
        <v>512</v>
      </c>
      <c r="C589" s="18" t="s">
        <v>40</v>
      </c>
      <c r="E589" s="2" t="n">
        <f aca="false">INDEX(FieldSites!F:F, MATCH(Ch2_FieldSurvey!B589,FieldSites!C:C,0))</f>
        <v>1380</v>
      </c>
      <c r="F589" s="2" t="n">
        <f aca="false">INDEX(FieldSites!G:G, MATCH(Ch2_FieldSurvey!B589,FieldSites!C:C,0))</f>
        <v>-119.719077</v>
      </c>
      <c r="G589" s="2" t="n">
        <f aca="false">INDEX(FieldSites!H:H, MATCH(Ch2_FieldSurvey!B589,FieldSites!C:C,0))</f>
        <v>37.723593</v>
      </c>
      <c r="H589" s="18" t="n">
        <v>1</v>
      </c>
      <c r="I589" s="21" t="str">
        <f aca="false">CONCATENATE(B589,"_",C589,H589)</f>
        <v>WCFB_M. guttatus1</v>
      </c>
      <c r="J589" s="22" t="n">
        <v>44693</v>
      </c>
      <c r="K589" s="23" t="n">
        <v>0.652777777777778</v>
      </c>
      <c r="L589" s="22" t="n">
        <v>44694</v>
      </c>
      <c r="M589" s="23" t="n">
        <v>0.591666666666667</v>
      </c>
      <c r="O589" s="1" t="s">
        <v>534</v>
      </c>
      <c r="P589" s="16" t="s">
        <v>451</v>
      </c>
      <c r="Q589" s="16" t="s">
        <v>514</v>
      </c>
      <c r="R589" s="16" t="s">
        <v>453</v>
      </c>
      <c r="S589" s="4" t="s">
        <v>535</v>
      </c>
      <c r="T589" s="24" t="n">
        <v>374</v>
      </c>
      <c r="U589" s="18" t="n">
        <v>3.3</v>
      </c>
      <c r="V589" s="24" t="n">
        <v>0.35</v>
      </c>
      <c r="W589" s="2" t="n">
        <v>0.6</v>
      </c>
      <c r="Z589" s="18" t="s">
        <v>536</v>
      </c>
      <c r="AA589" s="20"/>
      <c r="AB589" s="20"/>
      <c r="AC589" s="19" t="e">
        <f aca="false">(AB589-AA589)/AB589</f>
        <v>#DIV/0!</v>
      </c>
    </row>
    <row r="590" customFormat="false" ht="14.25" hidden="false" customHeight="true" outlineLevel="0" collapsed="false">
      <c r="A590" s="18" t="s">
        <v>512</v>
      </c>
      <c r="B590" s="18" t="s">
        <v>512</v>
      </c>
      <c r="C590" s="18" t="s">
        <v>40</v>
      </c>
      <c r="E590" s="2" t="n">
        <f aca="false">INDEX(FieldSites!F:F, MATCH(Ch2_FieldSurvey!B590,FieldSites!C:C,0))</f>
        <v>1380</v>
      </c>
      <c r="F590" s="2" t="n">
        <f aca="false">INDEX(FieldSites!G:G, MATCH(Ch2_FieldSurvey!B590,FieldSites!C:C,0))</f>
        <v>-119.719077</v>
      </c>
      <c r="G590" s="2" t="n">
        <f aca="false">INDEX(FieldSites!H:H, MATCH(Ch2_FieldSurvey!B590,FieldSites!C:C,0))</f>
        <v>37.723593</v>
      </c>
      <c r="H590" s="18" t="n">
        <v>1</v>
      </c>
      <c r="I590" s="21" t="str">
        <f aca="false">CONCATENATE(B590,"_",C590,H590)</f>
        <v>WCFB_M. guttatus1</v>
      </c>
      <c r="J590" s="22" t="n">
        <v>44693</v>
      </c>
      <c r="K590" s="23" t="n">
        <v>0.652777777777778</v>
      </c>
      <c r="L590" s="22" t="n">
        <v>44694</v>
      </c>
      <c r="M590" s="23" t="n">
        <v>0.591666666666667</v>
      </c>
      <c r="O590" s="1" t="s">
        <v>534</v>
      </c>
      <c r="P590" s="16" t="s">
        <v>451</v>
      </c>
      <c r="Q590" s="16" t="s">
        <v>514</v>
      </c>
      <c r="R590" s="16" t="s">
        <v>453</v>
      </c>
      <c r="S590" s="4" t="s">
        <v>535</v>
      </c>
      <c r="T590" s="24" t="n">
        <v>355</v>
      </c>
      <c r="U590" s="18" t="n">
        <v>3</v>
      </c>
      <c r="V590" s="24" t="n">
        <v>0.29</v>
      </c>
      <c r="W590" s="2" t="n">
        <v>0.6</v>
      </c>
      <c r="Z590" s="18" t="s">
        <v>536</v>
      </c>
      <c r="AA590" s="20"/>
      <c r="AB590" s="20"/>
      <c r="AC590" s="19" t="e">
        <f aca="false">(AB590-AA590)/AB590</f>
        <v>#DIV/0!</v>
      </c>
    </row>
    <row r="591" customFormat="false" ht="14.25" hidden="false" customHeight="true" outlineLevel="0" collapsed="false">
      <c r="A591" s="18" t="s">
        <v>512</v>
      </c>
      <c r="B591" s="18" t="s">
        <v>512</v>
      </c>
      <c r="C591" s="18" t="s">
        <v>40</v>
      </c>
      <c r="E591" s="2" t="n">
        <f aca="false">INDEX(FieldSites!F:F, MATCH(Ch2_FieldSurvey!B591,FieldSites!C:C,0))</f>
        <v>1380</v>
      </c>
      <c r="F591" s="2" t="n">
        <f aca="false">INDEX(FieldSites!G:G, MATCH(Ch2_FieldSurvey!B591,FieldSites!C:C,0))</f>
        <v>-119.719077</v>
      </c>
      <c r="G591" s="2" t="n">
        <f aca="false">INDEX(FieldSites!H:H, MATCH(Ch2_FieldSurvey!B591,FieldSites!C:C,0))</f>
        <v>37.723593</v>
      </c>
      <c r="H591" s="18" t="n">
        <v>2</v>
      </c>
      <c r="I591" s="21" t="str">
        <f aca="false">CONCATENATE(B591,"_",C591,H591)</f>
        <v>WCFB_M. guttatus2</v>
      </c>
      <c r="J591" s="22" t="n">
        <v>44693</v>
      </c>
      <c r="K591" s="23" t="n">
        <v>0.652777777777778</v>
      </c>
      <c r="L591" s="22" t="n">
        <v>44694</v>
      </c>
      <c r="M591" s="23" t="n">
        <v>0.595833333333333</v>
      </c>
      <c r="O591" s="1" t="s">
        <v>537</v>
      </c>
      <c r="P591" s="16" t="s">
        <v>451</v>
      </c>
      <c r="Q591" s="16" t="s">
        <v>514</v>
      </c>
      <c r="R591" s="16" t="s">
        <v>453</v>
      </c>
      <c r="S591" s="4" t="s">
        <v>538</v>
      </c>
      <c r="T591" s="24" t="n">
        <v>422</v>
      </c>
      <c r="U591" s="18" t="n">
        <v>3.7</v>
      </c>
      <c r="V591" s="24" t="n">
        <v>0.34</v>
      </c>
      <c r="W591" s="2" t="n">
        <v>0.7</v>
      </c>
      <c r="Z591" s="18" t="s">
        <v>536</v>
      </c>
      <c r="AA591" s="20" t="n">
        <v>101976</v>
      </c>
      <c r="AB591" s="20" t="n">
        <v>121819</v>
      </c>
      <c r="AC591" s="19" t="n">
        <f aca="false">(AB591-AA591)/AB591</f>
        <v>0.162889204475492</v>
      </c>
    </row>
    <row r="592" customFormat="false" ht="14.25" hidden="false" customHeight="true" outlineLevel="0" collapsed="false">
      <c r="A592" s="18" t="s">
        <v>512</v>
      </c>
      <c r="B592" s="18" t="s">
        <v>512</v>
      </c>
      <c r="C592" s="18" t="s">
        <v>40</v>
      </c>
      <c r="E592" s="2" t="n">
        <f aca="false">INDEX(FieldSites!F:F, MATCH(Ch2_FieldSurvey!B592,FieldSites!C:C,0))</f>
        <v>1380</v>
      </c>
      <c r="F592" s="2" t="n">
        <f aca="false">INDEX(FieldSites!G:G, MATCH(Ch2_FieldSurvey!B592,FieldSites!C:C,0))</f>
        <v>-119.719077</v>
      </c>
      <c r="G592" s="2" t="n">
        <f aca="false">INDEX(FieldSites!H:H, MATCH(Ch2_FieldSurvey!B592,FieldSites!C:C,0))</f>
        <v>37.723593</v>
      </c>
      <c r="H592" s="18" t="n">
        <v>2</v>
      </c>
      <c r="I592" s="21" t="str">
        <f aca="false">CONCATENATE(B592,"_",C592,H592)</f>
        <v>WCFB_M. guttatus2</v>
      </c>
      <c r="J592" s="22" t="n">
        <v>44693</v>
      </c>
      <c r="K592" s="23" t="n">
        <v>0.652777777777778</v>
      </c>
      <c r="L592" s="22" t="n">
        <v>44694</v>
      </c>
      <c r="M592" s="23" t="n">
        <v>0.595833333333333</v>
      </c>
      <c r="O592" s="1" t="s">
        <v>537</v>
      </c>
      <c r="P592" s="16" t="s">
        <v>451</v>
      </c>
      <c r="Q592" s="16" t="s">
        <v>514</v>
      </c>
      <c r="R592" s="16" t="s">
        <v>453</v>
      </c>
      <c r="S592" s="4" t="s">
        <v>538</v>
      </c>
      <c r="T592" s="24" t="n">
        <v>430</v>
      </c>
      <c r="U592" s="18" t="n">
        <v>2.4</v>
      </c>
      <c r="V592" s="24" t="n">
        <v>0.29</v>
      </c>
      <c r="W592" s="2" t="n">
        <v>0.7</v>
      </c>
      <c r="Z592" s="18" t="s">
        <v>536</v>
      </c>
      <c r="AA592" s="20"/>
      <c r="AB592" s="20"/>
      <c r="AC592" s="19" t="e">
        <f aca="false">(AB592-AA592)/AB592</f>
        <v>#DIV/0!</v>
      </c>
    </row>
    <row r="593" customFormat="false" ht="14.25" hidden="false" customHeight="true" outlineLevel="0" collapsed="false">
      <c r="A593" s="18" t="s">
        <v>512</v>
      </c>
      <c r="B593" s="18" t="s">
        <v>512</v>
      </c>
      <c r="C593" s="18" t="s">
        <v>40</v>
      </c>
      <c r="E593" s="2" t="n">
        <f aca="false">INDEX(FieldSites!F:F, MATCH(Ch2_FieldSurvey!B593,FieldSites!C:C,0))</f>
        <v>1380</v>
      </c>
      <c r="F593" s="2" t="n">
        <f aca="false">INDEX(FieldSites!G:G, MATCH(Ch2_FieldSurvey!B593,FieldSites!C:C,0))</f>
        <v>-119.719077</v>
      </c>
      <c r="G593" s="2" t="n">
        <f aca="false">INDEX(FieldSites!H:H, MATCH(Ch2_FieldSurvey!B593,FieldSites!C:C,0))</f>
        <v>37.723593</v>
      </c>
      <c r="H593" s="18" t="n">
        <v>2</v>
      </c>
      <c r="I593" s="21" t="str">
        <f aca="false">CONCATENATE(B593,"_",C593,H593)</f>
        <v>WCFB_M. guttatus2</v>
      </c>
      <c r="J593" s="22" t="n">
        <v>44693</v>
      </c>
      <c r="K593" s="23" t="n">
        <v>0.652777777777778</v>
      </c>
      <c r="L593" s="22" t="n">
        <v>44694</v>
      </c>
      <c r="M593" s="23" t="n">
        <v>0.595833333333333</v>
      </c>
      <c r="O593" s="1" t="s">
        <v>537</v>
      </c>
      <c r="P593" s="16" t="s">
        <v>451</v>
      </c>
      <c r="Q593" s="16" t="s">
        <v>514</v>
      </c>
      <c r="R593" s="16" t="s">
        <v>453</v>
      </c>
      <c r="S593" s="4" t="s">
        <v>538</v>
      </c>
      <c r="T593" s="24" t="n">
        <v>443</v>
      </c>
      <c r="U593" s="18" t="n">
        <v>4.7</v>
      </c>
      <c r="V593" s="24" t="n">
        <v>0.27</v>
      </c>
      <c r="W593" s="2" t="n">
        <v>0.4</v>
      </c>
      <c r="Z593" s="18" t="s">
        <v>536</v>
      </c>
      <c r="AA593" s="20"/>
      <c r="AB593" s="20"/>
      <c r="AC593" s="19" t="e">
        <f aca="false">(AB593-AA593)/AB593</f>
        <v>#DIV/0!</v>
      </c>
    </row>
    <row r="594" customFormat="false" ht="14.25" hidden="false" customHeight="true" outlineLevel="0" collapsed="false">
      <c r="A594" s="18" t="s">
        <v>512</v>
      </c>
      <c r="B594" s="18" t="s">
        <v>512</v>
      </c>
      <c r="C594" s="18" t="s">
        <v>40</v>
      </c>
      <c r="E594" s="2" t="n">
        <f aca="false">INDEX(FieldSites!F:F, MATCH(Ch2_FieldSurvey!B594,FieldSites!C:C,0))</f>
        <v>1380</v>
      </c>
      <c r="F594" s="2" t="n">
        <f aca="false">INDEX(FieldSites!G:G, MATCH(Ch2_FieldSurvey!B594,FieldSites!C:C,0))</f>
        <v>-119.719077</v>
      </c>
      <c r="G594" s="2" t="n">
        <f aca="false">INDEX(FieldSites!H:H, MATCH(Ch2_FieldSurvey!B594,FieldSites!C:C,0))</f>
        <v>37.723593</v>
      </c>
      <c r="H594" s="18" t="n">
        <v>3</v>
      </c>
      <c r="I594" s="21" t="str">
        <f aca="false">CONCATENATE(B594,"_",C594,H594)</f>
        <v>WCFB_M. guttatus3</v>
      </c>
      <c r="J594" s="22" t="n">
        <v>44693</v>
      </c>
      <c r="K594" s="23" t="n">
        <v>0.652777777777778</v>
      </c>
      <c r="L594" s="22" t="n">
        <v>44694</v>
      </c>
      <c r="M594" s="23" t="n">
        <v>0.598611111111111</v>
      </c>
      <c r="O594" s="1" t="s">
        <v>539</v>
      </c>
      <c r="P594" s="16" t="s">
        <v>451</v>
      </c>
      <c r="Q594" s="16" t="s">
        <v>514</v>
      </c>
      <c r="R594" s="16" t="s">
        <v>453</v>
      </c>
      <c r="S594" s="4" t="s">
        <v>540</v>
      </c>
      <c r="T594" s="24" t="n">
        <v>274</v>
      </c>
      <c r="U594" s="18" t="n">
        <v>4</v>
      </c>
      <c r="V594" s="24" t="n">
        <v>0.32</v>
      </c>
      <c r="W594" s="2" t="n">
        <v>0.2</v>
      </c>
      <c r="Z594" s="18" t="s">
        <v>536</v>
      </c>
      <c r="AA594" s="20"/>
      <c r="AB594" s="20" t="n">
        <v>343000</v>
      </c>
      <c r="AC594" s="19" t="n">
        <f aca="false">(AB594-AA594)/AB594</f>
        <v>1</v>
      </c>
    </row>
    <row r="595" customFormat="false" ht="14.25" hidden="false" customHeight="true" outlineLevel="0" collapsed="false">
      <c r="A595" s="18" t="s">
        <v>512</v>
      </c>
      <c r="B595" s="18" t="s">
        <v>512</v>
      </c>
      <c r="C595" s="18" t="s">
        <v>40</v>
      </c>
      <c r="E595" s="2" t="n">
        <f aca="false">INDEX(FieldSites!F:F, MATCH(Ch2_FieldSurvey!B595,FieldSites!C:C,0))</f>
        <v>1380</v>
      </c>
      <c r="F595" s="2" t="n">
        <f aca="false">INDEX(FieldSites!G:G, MATCH(Ch2_FieldSurvey!B595,FieldSites!C:C,0))</f>
        <v>-119.719077</v>
      </c>
      <c r="G595" s="2" t="n">
        <f aca="false">INDEX(FieldSites!H:H, MATCH(Ch2_FieldSurvey!B595,FieldSites!C:C,0))</f>
        <v>37.723593</v>
      </c>
      <c r="H595" s="18" t="n">
        <v>3</v>
      </c>
      <c r="I595" s="21" t="str">
        <f aca="false">CONCATENATE(B595,"_",C595,H595)</f>
        <v>WCFB_M. guttatus3</v>
      </c>
      <c r="J595" s="22" t="n">
        <v>44693</v>
      </c>
      <c r="K595" s="23" t="n">
        <v>0.652777777777778</v>
      </c>
      <c r="L595" s="22" t="n">
        <v>44694</v>
      </c>
      <c r="M595" s="23" t="n">
        <v>0.598611111111111</v>
      </c>
      <c r="O595" s="1" t="s">
        <v>539</v>
      </c>
      <c r="P595" s="16" t="s">
        <v>451</v>
      </c>
      <c r="Q595" s="16" t="s">
        <v>514</v>
      </c>
      <c r="R595" s="16" t="s">
        <v>453</v>
      </c>
      <c r="S595" s="4" t="s">
        <v>540</v>
      </c>
      <c r="T595" s="24" t="n">
        <v>295</v>
      </c>
      <c r="U595" s="18" t="n">
        <v>3.7</v>
      </c>
      <c r="V595" s="24" t="n">
        <v>0.22</v>
      </c>
      <c r="W595" s="2" t="n">
        <v>0.4</v>
      </c>
      <c r="Z595" s="18" t="s">
        <v>536</v>
      </c>
      <c r="AA595" s="20"/>
      <c r="AB595" s="20"/>
      <c r="AC595" s="19" t="e">
        <f aca="false">(AB595-AA595)/AB595</f>
        <v>#DIV/0!</v>
      </c>
    </row>
    <row r="596" customFormat="false" ht="14.25" hidden="false" customHeight="true" outlineLevel="0" collapsed="false">
      <c r="A596" s="18" t="s">
        <v>512</v>
      </c>
      <c r="B596" s="18" t="s">
        <v>512</v>
      </c>
      <c r="C596" s="18" t="s">
        <v>40</v>
      </c>
      <c r="E596" s="2" t="n">
        <f aca="false">INDEX(FieldSites!F:F, MATCH(Ch2_FieldSurvey!B596,FieldSites!C:C,0))</f>
        <v>1380</v>
      </c>
      <c r="F596" s="2" t="n">
        <f aca="false">INDEX(FieldSites!G:G, MATCH(Ch2_FieldSurvey!B596,FieldSites!C:C,0))</f>
        <v>-119.719077</v>
      </c>
      <c r="G596" s="2" t="n">
        <f aca="false">INDEX(FieldSites!H:H, MATCH(Ch2_FieldSurvey!B596,FieldSites!C:C,0))</f>
        <v>37.723593</v>
      </c>
      <c r="H596" s="18" t="n">
        <v>3</v>
      </c>
      <c r="I596" s="21" t="str">
        <f aca="false">CONCATENATE(B596,"_",C596,H596)</f>
        <v>WCFB_M. guttatus3</v>
      </c>
      <c r="J596" s="22" t="n">
        <v>44693</v>
      </c>
      <c r="K596" s="23" t="n">
        <v>0.652777777777778</v>
      </c>
      <c r="L596" s="22" t="n">
        <v>44694</v>
      </c>
      <c r="M596" s="23" t="n">
        <v>0.598611111111111</v>
      </c>
      <c r="O596" s="1" t="s">
        <v>539</v>
      </c>
      <c r="P596" s="16" t="s">
        <v>451</v>
      </c>
      <c r="Q596" s="16" t="s">
        <v>514</v>
      </c>
      <c r="R596" s="16" t="s">
        <v>453</v>
      </c>
      <c r="S596" s="4" t="s">
        <v>540</v>
      </c>
      <c r="T596" s="24" t="n">
        <v>304</v>
      </c>
      <c r="U596" s="18" t="n">
        <v>4.1</v>
      </c>
      <c r="V596" s="24" t="n">
        <v>0.23</v>
      </c>
      <c r="W596" s="2" t="n">
        <v>0.2</v>
      </c>
      <c r="Z596" s="18" t="s">
        <v>536</v>
      </c>
      <c r="AA596" s="20"/>
      <c r="AB596" s="20"/>
      <c r="AC596" s="19" t="e">
        <f aca="false">(AB596-AA596)/AB596</f>
        <v>#DIV/0!</v>
      </c>
    </row>
    <row r="597" customFormat="false" ht="14.25" hidden="false" customHeight="true" outlineLevel="0" collapsed="false">
      <c r="A597" s="18" t="s">
        <v>512</v>
      </c>
      <c r="B597" s="18" t="s">
        <v>512</v>
      </c>
      <c r="C597" s="18" t="s">
        <v>40</v>
      </c>
      <c r="E597" s="2" t="n">
        <f aca="false">INDEX(FieldSites!F:F, MATCH(Ch2_FieldSurvey!B597,FieldSites!C:C,0))</f>
        <v>1380</v>
      </c>
      <c r="F597" s="2" t="n">
        <f aca="false">INDEX(FieldSites!G:G, MATCH(Ch2_FieldSurvey!B597,FieldSites!C:C,0))</f>
        <v>-119.719077</v>
      </c>
      <c r="G597" s="2" t="n">
        <f aca="false">INDEX(FieldSites!H:H, MATCH(Ch2_FieldSurvey!B597,FieldSites!C:C,0))</f>
        <v>37.723593</v>
      </c>
      <c r="H597" s="18" t="n">
        <v>4</v>
      </c>
      <c r="I597" s="21" t="str">
        <f aca="false">CONCATENATE(B597,"_",C597,H597)</f>
        <v>WCFB_M. guttatus4</v>
      </c>
      <c r="J597" s="22" t="n">
        <v>44693</v>
      </c>
      <c r="K597" s="23" t="n">
        <v>0.652777777777778</v>
      </c>
      <c r="L597" s="22" t="n">
        <v>44694</v>
      </c>
      <c r="M597" s="23" t="n">
        <v>0.601388888888889</v>
      </c>
      <c r="O597" s="1" t="s">
        <v>541</v>
      </c>
      <c r="P597" s="16" t="s">
        <v>451</v>
      </c>
      <c r="Q597" s="16" t="s">
        <v>514</v>
      </c>
      <c r="R597" s="16" t="s">
        <v>453</v>
      </c>
      <c r="S597" s="4" t="s">
        <v>542</v>
      </c>
      <c r="T597" s="24" t="n">
        <v>400</v>
      </c>
      <c r="U597" s="18" t="n">
        <v>4.1</v>
      </c>
      <c r="V597" s="24" t="n">
        <v>0.24</v>
      </c>
      <c r="W597" s="2" t="n">
        <v>0.6</v>
      </c>
      <c r="Z597" s="18" t="s">
        <v>536</v>
      </c>
      <c r="AA597" s="20" t="n">
        <v>207245</v>
      </c>
      <c r="AB597" s="20" t="n">
        <v>253988</v>
      </c>
      <c r="AC597" s="19" t="n">
        <f aca="false">(AB597-AA597)/AB597</f>
        <v>0.184036253681276</v>
      </c>
    </row>
    <row r="598" customFormat="false" ht="14.25" hidden="false" customHeight="true" outlineLevel="0" collapsed="false">
      <c r="A598" s="18" t="s">
        <v>512</v>
      </c>
      <c r="B598" s="18" t="s">
        <v>512</v>
      </c>
      <c r="C598" s="18" t="s">
        <v>40</v>
      </c>
      <c r="E598" s="2" t="n">
        <f aca="false">INDEX(FieldSites!F:F, MATCH(Ch2_FieldSurvey!B598,FieldSites!C:C,0))</f>
        <v>1380</v>
      </c>
      <c r="F598" s="2" t="n">
        <f aca="false">INDEX(FieldSites!G:G, MATCH(Ch2_FieldSurvey!B598,FieldSites!C:C,0))</f>
        <v>-119.719077</v>
      </c>
      <c r="G598" s="2" t="n">
        <f aca="false">INDEX(FieldSites!H:H, MATCH(Ch2_FieldSurvey!B598,FieldSites!C:C,0))</f>
        <v>37.723593</v>
      </c>
      <c r="H598" s="18" t="n">
        <v>4</v>
      </c>
      <c r="I598" s="21" t="str">
        <f aca="false">CONCATENATE(B598,"_",C598,H598)</f>
        <v>WCFB_M. guttatus4</v>
      </c>
      <c r="J598" s="22" t="n">
        <v>44693</v>
      </c>
      <c r="K598" s="23" t="n">
        <v>0.652777777777778</v>
      </c>
      <c r="L598" s="22" t="n">
        <v>44694</v>
      </c>
      <c r="M598" s="23" t="n">
        <v>0.601388888888889</v>
      </c>
      <c r="O598" s="1" t="s">
        <v>541</v>
      </c>
      <c r="P598" s="16" t="s">
        <v>451</v>
      </c>
      <c r="Q598" s="16" t="s">
        <v>514</v>
      </c>
      <c r="R598" s="16" t="s">
        <v>453</v>
      </c>
      <c r="S598" s="4" t="s">
        <v>542</v>
      </c>
      <c r="T598" s="24" t="n">
        <v>448</v>
      </c>
      <c r="U598" s="18" t="n">
        <v>3.6</v>
      </c>
      <c r="V598" s="24" t="n">
        <v>0.31</v>
      </c>
      <c r="W598" s="2" t="n">
        <v>0.6</v>
      </c>
      <c r="Z598" s="18" t="s">
        <v>536</v>
      </c>
      <c r="AA598" s="20"/>
      <c r="AB598" s="20"/>
      <c r="AC598" s="19" t="e">
        <f aca="false">(AB598-AA598)/AB598</f>
        <v>#DIV/0!</v>
      </c>
    </row>
    <row r="599" customFormat="false" ht="14.25" hidden="false" customHeight="true" outlineLevel="0" collapsed="false">
      <c r="A599" s="18" t="s">
        <v>512</v>
      </c>
      <c r="B599" s="18" t="s">
        <v>512</v>
      </c>
      <c r="C599" s="18" t="s">
        <v>40</v>
      </c>
      <c r="E599" s="2" t="n">
        <f aca="false">INDEX(FieldSites!F:F, MATCH(Ch2_FieldSurvey!B599,FieldSites!C:C,0))</f>
        <v>1380</v>
      </c>
      <c r="F599" s="2" t="n">
        <f aca="false">INDEX(FieldSites!G:G, MATCH(Ch2_FieldSurvey!B599,FieldSites!C:C,0))</f>
        <v>-119.719077</v>
      </c>
      <c r="G599" s="2" t="n">
        <f aca="false">INDEX(FieldSites!H:H, MATCH(Ch2_FieldSurvey!B599,FieldSites!C:C,0))</f>
        <v>37.723593</v>
      </c>
      <c r="H599" s="18" t="n">
        <v>4</v>
      </c>
      <c r="I599" s="21" t="str">
        <f aca="false">CONCATENATE(B599,"_",C599,H599)</f>
        <v>WCFB_M. guttatus4</v>
      </c>
      <c r="J599" s="22" t="n">
        <v>44693</v>
      </c>
      <c r="K599" s="23" t="n">
        <v>0.652777777777778</v>
      </c>
      <c r="L599" s="22" t="n">
        <v>44694</v>
      </c>
      <c r="M599" s="23" t="n">
        <v>0.601388888888889</v>
      </c>
      <c r="O599" s="1" t="s">
        <v>541</v>
      </c>
      <c r="P599" s="16" t="s">
        <v>451</v>
      </c>
      <c r="Q599" s="16" t="s">
        <v>514</v>
      </c>
      <c r="R599" s="16" t="s">
        <v>453</v>
      </c>
      <c r="S599" s="4" t="s">
        <v>542</v>
      </c>
      <c r="T599" s="24" t="n">
        <v>375</v>
      </c>
      <c r="U599" s="18" t="n">
        <v>2.9</v>
      </c>
      <c r="V599" s="24" t="n">
        <v>0.32</v>
      </c>
      <c r="W599" s="2" t="n">
        <v>0.5</v>
      </c>
      <c r="Z599" s="18" t="s">
        <v>536</v>
      </c>
      <c r="AA599" s="20"/>
      <c r="AB599" s="20"/>
      <c r="AC599" s="19" t="e">
        <f aca="false">(AB599-AA599)/AB599</f>
        <v>#DIV/0!</v>
      </c>
    </row>
    <row r="600" customFormat="false" ht="14.25" hidden="false" customHeight="true" outlineLevel="0" collapsed="false">
      <c r="A600" s="18" t="s">
        <v>512</v>
      </c>
      <c r="B600" s="18" t="s">
        <v>512</v>
      </c>
      <c r="C600" s="18" t="s">
        <v>40</v>
      </c>
      <c r="E600" s="2" t="n">
        <f aca="false">INDEX(FieldSites!F:F, MATCH(Ch2_FieldSurvey!B600,FieldSites!C:C,0))</f>
        <v>1380</v>
      </c>
      <c r="F600" s="2" t="n">
        <f aca="false">INDEX(FieldSites!G:G, MATCH(Ch2_FieldSurvey!B600,FieldSites!C:C,0))</f>
        <v>-119.719077</v>
      </c>
      <c r="G600" s="2" t="n">
        <f aca="false">INDEX(FieldSites!H:H, MATCH(Ch2_FieldSurvey!B600,FieldSites!C:C,0))</f>
        <v>37.723593</v>
      </c>
      <c r="H600" s="18" t="n">
        <v>5</v>
      </c>
      <c r="I600" s="21" t="str">
        <f aca="false">CONCATENATE(B600,"_",C600,H600)</f>
        <v>WCFB_M. guttatus5</v>
      </c>
      <c r="J600" s="22" t="n">
        <v>44693</v>
      </c>
      <c r="K600" s="23" t="n">
        <v>0.652777777777778</v>
      </c>
      <c r="L600" s="22" t="n">
        <v>44694</v>
      </c>
      <c r="M600" s="23" t="n">
        <v>0.604166666666667</v>
      </c>
      <c r="O600" s="1" t="s">
        <v>543</v>
      </c>
      <c r="P600" s="16" t="s">
        <v>451</v>
      </c>
      <c r="Q600" s="16" t="s">
        <v>514</v>
      </c>
      <c r="R600" s="16" t="s">
        <v>453</v>
      </c>
      <c r="S600" s="4" t="s">
        <v>544</v>
      </c>
      <c r="T600" s="24" t="n">
        <v>355</v>
      </c>
      <c r="U600" s="18" t="n">
        <v>6.4</v>
      </c>
      <c r="V600" s="24" t="n">
        <v>0.29</v>
      </c>
      <c r="W600" s="2" t="n">
        <v>0.6</v>
      </c>
      <c r="Z600" s="18" t="s">
        <v>545</v>
      </c>
      <c r="AA600" s="20" t="n">
        <v>540160</v>
      </c>
      <c r="AB600" s="20" t="n">
        <v>684304</v>
      </c>
      <c r="AC600" s="19" t="n">
        <f aca="false">(AB600-AA600)/AB600</f>
        <v>0.210643222895088</v>
      </c>
    </row>
    <row r="601" customFormat="false" ht="14.25" hidden="false" customHeight="true" outlineLevel="0" collapsed="false">
      <c r="A601" s="18" t="s">
        <v>512</v>
      </c>
      <c r="B601" s="18" t="s">
        <v>512</v>
      </c>
      <c r="C601" s="18" t="s">
        <v>40</v>
      </c>
      <c r="E601" s="2" t="n">
        <f aca="false">INDEX(FieldSites!F:F, MATCH(Ch2_FieldSurvey!B601,FieldSites!C:C,0))</f>
        <v>1380</v>
      </c>
      <c r="F601" s="2" t="n">
        <f aca="false">INDEX(FieldSites!G:G, MATCH(Ch2_FieldSurvey!B601,FieldSites!C:C,0))</f>
        <v>-119.719077</v>
      </c>
      <c r="G601" s="2" t="n">
        <f aca="false">INDEX(FieldSites!H:H, MATCH(Ch2_FieldSurvey!B601,FieldSites!C:C,0))</f>
        <v>37.723593</v>
      </c>
      <c r="H601" s="18" t="n">
        <v>5</v>
      </c>
      <c r="I601" s="21" t="str">
        <f aca="false">CONCATENATE(B601,"_",C601,H601)</f>
        <v>WCFB_M. guttatus5</v>
      </c>
      <c r="J601" s="22" t="n">
        <v>44693</v>
      </c>
      <c r="K601" s="23" t="n">
        <v>0.652777777777778</v>
      </c>
      <c r="L601" s="22" t="n">
        <v>44694</v>
      </c>
      <c r="M601" s="23" t="n">
        <v>0.604166666666667</v>
      </c>
      <c r="O601" s="1" t="s">
        <v>543</v>
      </c>
      <c r="P601" s="16" t="s">
        <v>451</v>
      </c>
      <c r="Q601" s="16" t="s">
        <v>514</v>
      </c>
      <c r="R601" s="16" t="s">
        <v>453</v>
      </c>
      <c r="S601" s="4" t="s">
        <v>544</v>
      </c>
      <c r="T601" s="24" t="n">
        <v>325</v>
      </c>
      <c r="U601" s="18" t="n">
        <v>11.9</v>
      </c>
      <c r="V601" s="24" t="n">
        <v>0.29</v>
      </c>
      <c r="W601" s="2" t="n">
        <v>0.3</v>
      </c>
      <c r="Z601" s="18" t="s">
        <v>545</v>
      </c>
      <c r="AA601" s="20"/>
      <c r="AB601" s="20"/>
      <c r="AC601" s="19" t="e">
        <f aca="false">(AB601-AA601)/AB601</f>
        <v>#DIV/0!</v>
      </c>
    </row>
    <row r="602" customFormat="false" ht="14.25" hidden="false" customHeight="true" outlineLevel="0" collapsed="false">
      <c r="A602" s="18" t="s">
        <v>512</v>
      </c>
      <c r="B602" s="18" t="s">
        <v>512</v>
      </c>
      <c r="C602" s="18" t="s">
        <v>40</v>
      </c>
      <c r="E602" s="2" t="n">
        <f aca="false">INDEX(FieldSites!F:F, MATCH(Ch2_FieldSurvey!B602,FieldSites!C:C,0))</f>
        <v>1380</v>
      </c>
      <c r="F602" s="2" t="n">
        <f aca="false">INDEX(FieldSites!G:G, MATCH(Ch2_FieldSurvey!B602,FieldSites!C:C,0))</f>
        <v>-119.719077</v>
      </c>
      <c r="G602" s="2" t="n">
        <f aca="false">INDEX(FieldSites!H:H, MATCH(Ch2_FieldSurvey!B602,FieldSites!C:C,0))</f>
        <v>37.723593</v>
      </c>
      <c r="H602" s="18" t="n">
        <v>5</v>
      </c>
      <c r="I602" s="21" t="str">
        <f aca="false">CONCATENATE(B602,"_",C602,H602)</f>
        <v>WCFB_M. guttatus5</v>
      </c>
      <c r="J602" s="22" t="n">
        <v>44693</v>
      </c>
      <c r="K602" s="23" t="n">
        <v>0.652777777777778</v>
      </c>
      <c r="L602" s="22" t="n">
        <v>44694</v>
      </c>
      <c r="M602" s="23" t="n">
        <v>0.604166666666667</v>
      </c>
      <c r="O602" s="1" t="s">
        <v>543</v>
      </c>
      <c r="P602" s="16" t="s">
        <v>451</v>
      </c>
      <c r="Q602" s="16" t="s">
        <v>514</v>
      </c>
      <c r="R602" s="16" t="s">
        <v>453</v>
      </c>
      <c r="S602" s="4" t="s">
        <v>544</v>
      </c>
      <c r="T602" s="24" t="n">
        <v>374</v>
      </c>
      <c r="U602" s="18" t="n">
        <v>7.6</v>
      </c>
      <c r="V602" s="24" t="n">
        <v>0.2</v>
      </c>
      <c r="W602" s="2" t="n">
        <v>0.8</v>
      </c>
      <c r="Z602" s="18" t="s">
        <v>545</v>
      </c>
      <c r="AA602" s="20"/>
      <c r="AB602" s="20"/>
      <c r="AC602" s="19" t="e">
        <f aca="false">(AB602-AA602)/AB602</f>
        <v>#DIV/0!</v>
      </c>
    </row>
    <row r="603" customFormat="false" ht="14.25" hidden="false" customHeight="true" outlineLevel="0" collapsed="false">
      <c r="A603" s="18" t="s">
        <v>512</v>
      </c>
      <c r="B603" s="18" t="s">
        <v>512</v>
      </c>
      <c r="C603" s="18" t="s">
        <v>40</v>
      </c>
      <c r="E603" s="2" t="n">
        <f aca="false">INDEX(FieldSites!F:F, MATCH(Ch2_FieldSurvey!B603,FieldSites!C:C,0))</f>
        <v>1380</v>
      </c>
      <c r="F603" s="2" t="n">
        <f aca="false">INDEX(FieldSites!G:G, MATCH(Ch2_FieldSurvey!B603,FieldSites!C:C,0))</f>
        <v>-119.719077</v>
      </c>
      <c r="G603" s="2" t="n">
        <f aca="false">INDEX(FieldSites!H:H, MATCH(Ch2_FieldSurvey!B603,FieldSites!C:C,0))</f>
        <v>37.723593</v>
      </c>
      <c r="H603" s="18" t="n">
        <v>6</v>
      </c>
      <c r="I603" s="21" t="str">
        <f aca="false">CONCATENATE(B603,"_",C603,H603)</f>
        <v>WCFB_M. guttatus6</v>
      </c>
      <c r="J603" s="22" t="n">
        <v>44693</v>
      </c>
      <c r="K603" s="23" t="n">
        <v>0.652777777777778</v>
      </c>
      <c r="L603" s="22" t="n">
        <v>44694</v>
      </c>
      <c r="M603" s="23" t="n">
        <v>0.609027777777778</v>
      </c>
      <c r="O603" s="1" t="s">
        <v>546</v>
      </c>
      <c r="P603" s="16" t="s">
        <v>451</v>
      </c>
      <c r="Q603" s="16" t="s">
        <v>514</v>
      </c>
      <c r="R603" s="16" t="s">
        <v>453</v>
      </c>
      <c r="S603" s="4" t="s">
        <v>547</v>
      </c>
      <c r="T603" s="24" t="n">
        <v>542</v>
      </c>
      <c r="U603" s="18" t="n">
        <v>3.8</v>
      </c>
      <c r="V603" s="24" t="n">
        <v>0.29</v>
      </c>
      <c r="W603" s="2" t="n">
        <v>0.5</v>
      </c>
      <c r="Z603" s="18" t="s">
        <v>536</v>
      </c>
      <c r="AA603" s="20" t="n">
        <v>529125</v>
      </c>
      <c r="AB603" s="20" t="n">
        <v>634301</v>
      </c>
      <c r="AC603" s="19" t="n">
        <f aca="false">(AB603-AA603)/AB603</f>
        <v>0.165814022049469</v>
      </c>
    </row>
    <row r="604" customFormat="false" ht="14.25" hidden="false" customHeight="true" outlineLevel="0" collapsed="false">
      <c r="A604" s="18" t="s">
        <v>512</v>
      </c>
      <c r="B604" s="18" t="s">
        <v>512</v>
      </c>
      <c r="C604" s="18" t="s">
        <v>40</v>
      </c>
      <c r="E604" s="2" t="n">
        <f aca="false">INDEX(FieldSites!F:F, MATCH(Ch2_FieldSurvey!B604,FieldSites!C:C,0))</f>
        <v>1380</v>
      </c>
      <c r="F604" s="2" t="n">
        <f aca="false">INDEX(FieldSites!G:G, MATCH(Ch2_FieldSurvey!B604,FieldSites!C:C,0))</f>
        <v>-119.719077</v>
      </c>
      <c r="G604" s="2" t="n">
        <f aca="false">INDEX(FieldSites!H:H, MATCH(Ch2_FieldSurvey!B604,FieldSites!C:C,0))</f>
        <v>37.723593</v>
      </c>
      <c r="H604" s="18" t="n">
        <v>6</v>
      </c>
      <c r="I604" s="21" t="str">
        <f aca="false">CONCATENATE(B604,"_",C604,H604)</f>
        <v>WCFB_M. guttatus6</v>
      </c>
      <c r="J604" s="22" t="n">
        <v>44693</v>
      </c>
      <c r="K604" s="23" t="n">
        <v>0.652777777777778</v>
      </c>
      <c r="L604" s="22" t="n">
        <v>44694</v>
      </c>
      <c r="M604" s="23" t="n">
        <v>0.609027777777778</v>
      </c>
      <c r="O604" s="1" t="s">
        <v>546</v>
      </c>
      <c r="P604" s="16" t="s">
        <v>451</v>
      </c>
      <c r="Q604" s="16" t="s">
        <v>514</v>
      </c>
      <c r="R604" s="16" t="s">
        <v>453</v>
      </c>
      <c r="S604" s="4" t="s">
        <v>547</v>
      </c>
      <c r="T604" s="24" t="n">
        <v>504</v>
      </c>
      <c r="U604" s="18" t="n">
        <v>6.4</v>
      </c>
      <c r="V604" s="24" t="n">
        <v>0.29</v>
      </c>
      <c r="W604" s="2" t="n">
        <v>0.5</v>
      </c>
      <c r="Z604" s="18" t="s">
        <v>536</v>
      </c>
      <c r="AA604" s="20"/>
      <c r="AB604" s="20"/>
      <c r="AC604" s="19" t="e">
        <f aca="false">(AB604-AA604)/AB604</f>
        <v>#DIV/0!</v>
      </c>
    </row>
    <row r="605" customFormat="false" ht="14.25" hidden="false" customHeight="true" outlineLevel="0" collapsed="false">
      <c r="A605" s="18" t="s">
        <v>512</v>
      </c>
      <c r="B605" s="18" t="s">
        <v>512</v>
      </c>
      <c r="C605" s="18" t="s">
        <v>40</v>
      </c>
      <c r="E605" s="2" t="n">
        <f aca="false">INDEX(FieldSites!F:F, MATCH(Ch2_FieldSurvey!B605,FieldSites!C:C,0))</f>
        <v>1380</v>
      </c>
      <c r="F605" s="2" t="n">
        <f aca="false">INDEX(FieldSites!G:G, MATCH(Ch2_FieldSurvey!B605,FieldSites!C:C,0))</f>
        <v>-119.719077</v>
      </c>
      <c r="G605" s="2" t="n">
        <f aca="false">INDEX(FieldSites!H:H, MATCH(Ch2_FieldSurvey!B605,FieldSites!C:C,0))</f>
        <v>37.723593</v>
      </c>
      <c r="H605" s="18" t="n">
        <v>6</v>
      </c>
      <c r="I605" s="21" t="str">
        <f aca="false">CONCATENATE(B605,"_",C605,H605)</f>
        <v>WCFB_M. guttatus6</v>
      </c>
      <c r="J605" s="22" t="n">
        <v>44693</v>
      </c>
      <c r="K605" s="23" t="n">
        <v>0.652777777777778</v>
      </c>
      <c r="L605" s="22" t="n">
        <v>44694</v>
      </c>
      <c r="M605" s="23" t="n">
        <v>0.609027777777778</v>
      </c>
      <c r="O605" s="1" t="s">
        <v>546</v>
      </c>
      <c r="P605" s="16" t="s">
        <v>451</v>
      </c>
      <c r="Q605" s="16" t="s">
        <v>514</v>
      </c>
      <c r="R605" s="16" t="s">
        <v>453</v>
      </c>
      <c r="S605" s="4" t="s">
        <v>547</v>
      </c>
      <c r="T605" s="24" t="n">
        <v>456</v>
      </c>
      <c r="U605" s="18" t="n">
        <v>6</v>
      </c>
      <c r="V605" s="24" t="n">
        <v>0.27</v>
      </c>
      <c r="W605" s="2" t="n">
        <v>0.4</v>
      </c>
      <c r="Z605" s="18" t="s">
        <v>536</v>
      </c>
      <c r="AA605" s="20"/>
      <c r="AB605" s="20"/>
      <c r="AC605" s="19" t="e">
        <f aca="false">(AB605-AA605)/AB605</f>
        <v>#DIV/0!</v>
      </c>
    </row>
    <row r="606" customFormat="false" ht="14.25" hidden="false" customHeight="true" outlineLevel="0" collapsed="false">
      <c r="A606" s="18" t="s">
        <v>512</v>
      </c>
      <c r="B606" s="18" t="s">
        <v>512</v>
      </c>
      <c r="C606" s="18" t="s">
        <v>40</v>
      </c>
      <c r="E606" s="2" t="n">
        <f aca="false">INDEX(FieldSites!F:F, MATCH(Ch2_FieldSurvey!B606,FieldSites!C:C,0))</f>
        <v>1380</v>
      </c>
      <c r="F606" s="2" t="n">
        <f aca="false">INDEX(FieldSites!G:G, MATCH(Ch2_FieldSurvey!B606,FieldSites!C:C,0))</f>
        <v>-119.719077</v>
      </c>
      <c r="G606" s="2" t="n">
        <f aca="false">INDEX(FieldSites!H:H, MATCH(Ch2_FieldSurvey!B606,FieldSites!C:C,0))</f>
        <v>37.723593</v>
      </c>
      <c r="H606" s="18" t="n">
        <v>7</v>
      </c>
      <c r="I606" s="21" t="str">
        <f aca="false">CONCATENATE(B606,"_",C606,H606)</f>
        <v>WCFB_M. guttatus7</v>
      </c>
      <c r="J606" s="22" t="n">
        <v>44693</v>
      </c>
      <c r="K606" s="23" t="n">
        <v>0.652777777777778</v>
      </c>
      <c r="L606" s="22" t="n">
        <v>44694</v>
      </c>
      <c r="M606" s="23" t="n">
        <v>0.611805555555556</v>
      </c>
      <c r="O606" s="1" t="s">
        <v>548</v>
      </c>
      <c r="P606" s="16" t="s">
        <v>451</v>
      </c>
      <c r="Q606" s="16" t="s">
        <v>514</v>
      </c>
      <c r="R606" s="16" t="s">
        <v>453</v>
      </c>
      <c r="S606" s="4" t="s">
        <v>549</v>
      </c>
      <c r="T606" s="24" t="n">
        <v>350</v>
      </c>
      <c r="U606" s="18" t="n">
        <v>5.9</v>
      </c>
      <c r="V606" s="24" t="n">
        <v>0.28</v>
      </c>
      <c r="W606" s="2" t="n">
        <v>0.7</v>
      </c>
      <c r="Z606" s="18" t="s">
        <v>536</v>
      </c>
      <c r="AA606" s="20" t="n">
        <v>276934</v>
      </c>
      <c r="AB606" s="20" t="n">
        <v>336854</v>
      </c>
      <c r="AC606" s="19" t="n">
        <f aca="false">(AB606-AA606)/AB606</f>
        <v>0.177881218569469</v>
      </c>
    </row>
    <row r="607" customFormat="false" ht="14.25" hidden="false" customHeight="true" outlineLevel="0" collapsed="false">
      <c r="A607" s="18" t="s">
        <v>512</v>
      </c>
      <c r="B607" s="18" t="s">
        <v>512</v>
      </c>
      <c r="C607" s="18" t="s">
        <v>40</v>
      </c>
      <c r="E607" s="2" t="n">
        <f aca="false">INDEX(FieldSites!F:F, MATCH(Ch2_FieldSurvey!B607,FieldSites!C:C,0))</f>
        <v>1380</v>
      </c>
      <c r="F607" s="2" t="n">
        <f aca="false">INDEX(FieldSites!G:G, MATCH(Ch2_FieldSurvey!B607,FieldSites!C:C,0))</f>
        <v>-119.719077</v>
      </c>
      <c r="G607" s="2" t="n">
        <f aca="false">INDEX(FieldSites!H:H, MATCH(Ch2_FieldSurvey!B607,FieldSites!C:C,0))</f>
        <v>37.723593</v>
      </c>
      <c r="H607" s="18" t="n">
        <v>7</v>
      </c>
      <c r="I607" s="21" t="str">
        <f aca="false">CONCATENATE(B607,"_",C607,H607)</f>
        <v>WCFB_M. guttatus7</v>
      </c>
      <c r="J607" s="22" t="n">
        <v>44693</v>
      </c>
      <c r="K607" s="23" t="n">
        <v>0.652777777777778</v>
      </c>
      <c r="L607" s="22" t="n">
        <v>44694</v>
      </c>
      <c r="M607" s="23" t="n">
        <v>0.611805555555556</v>
      </c>
      <c r="O607" s="1" t="s">
        <v>548</v>
      </c>
      <c r="P607" s="16" t="s">
        <v>451</v>
      </c>
      <c r="Q607" s="16" t="s">
        <v>514</v>
      </c>
      <c r="R607" s="16" t="s">
        <v>453</v>
      </c>
      <c r="S607" s="4" t="s">
        <v>549</v>
      </c>
      <c r="T607" s="24" t="n">
        <v>515</v>
      </c>
      <c r="U607" s="18" t="n">
        <v>5.1</v>
      </c>
      <c r="V607" s="24" t="n">
        <v>0.32</v>
      </c>
      <c r="W607" s="2" t="n">
        <v>0.8</v>
      </c>
      <c r="Z607" s="18" t="s">
        <v>536</v>
      </c>
      <c r="AA607" s="20"/>
      <c r="AB607" s="20"/>
      <c r="AC607" s="19" t="e">
        <f aca="false">(AB607-AA607)/AB607</f>
        <v>#DIV/0!</v>
      </c>
    </row>
    <row r="608" customFormat="false" ht="14.25" hidden="false" customHeight="true" outlineLevel="0" collapsed="false">
      <c r="A608" s="18" t="s">
        <v>512</v>
      </c>
      <c r="B608" s="18" t="s">
        <v>512</v>
      </c>
      <c r="C608" s="18" t="s">
        <v>40</v>
      </c>
      <c r="E608" s="2" t="n">
        <f aca="false">INDEX(FieldSites!F:F, MATCH(Ch2_FieldSurvey!B608,FieldSites!C:C,0))</f>
        <v>1380</v>
      </c>
      <c r="F608" s="2" t="n">
        <f aca="false">INDEX(FieldSites!G:G, MATCH(Ch2_FieldSurvey!B608,FieldSites!C:C,0))</f>
        <v>-119.719077</v>
      </c>
      <c r="G608" s="2" t="n">
        <f aca="false">INDEX(FieldSites!H:H, MATCH(Ch2_FieldSurvey!B608,FieldSites!C:C,0))</f>
        <v>37.723593</v>
      </c>
      <c r="H608" s="18" t="n">
        <v>7</v>
      </c>
      <c r="I608" s="21" t="str">
        <f aca="false">CONCATENATE(B608,"_",C608,H608)</f>
        <v>WCFB_M. guttatus7</v>
      </c>
      <c r="J608" s="22" t="n">
        <v>44693</v>
      </c>
      <c r="K608" s="23" t="n">
        <v>0.652777777777778</v>
      </c>
      <c r="L608" s="22" t="n">
        <v>44694</v>
      </c>
      <c r="M608" s="23" t="n">
        <v>0.611805555555556</v>
      </c>
      <c r="O608" s="1" t="s">
        <v>548</v>
      </c>
      <c r="P608" s="16" t="s">
        <v>451</v>
      </c>
      <c r="Q608" s="16" t="s">
        <v>514</v>
      </c>
      <c r="R608" s="16" t="s">
        <v>453</v>
      </c>
      <c r="S608" s="4" t="s">
        <v>549</v>
      </c>
      <c r="T608" s="24" t="n">
        <v>390</v>
      </c>
      <c r="U608" s="18" t="n">
        <v>4.8</v>
      </c>
      <c r="V608" s="24" t="n">
        <v>0.33</v>
      </c>
      <c r="W608" s="2" t="n">
        <v>0.7</v>
      </c>
      <c r="Z608" s="18" t="s">
        <v>536</v>
      </c>
      <c r="AA608" s="20"/>
      <c r="AB608" s="20"/>
      <c r="AC608" s="19" t="e">
        <f aca="false">(AB608-AA608)/AB608</f>
        <v>#DIV/0!</v>
      </c>
    </row>
    <row r="609" customFormat="false" ht="14.25" hidden="false" customHeight="true" outlineLevel="0" collapsed="false">
      <c r="A609" s="18" t="s">
        <v>512</v>
      </c>
      <c r="B609" s="18" t="s">
        <v>512</v>
      </c>
      <c r="C609" s="18" t="s">
        <v>40</v>
      </c>
      <c r="E609" s="2" t="n">
        <f aca="false">INDEX(FieldSites!F:F, MATCH(Ch2_FieldSurvey!B609,FieldSites!C:C,0))</f>
        <v>1380</v>
      </c>
      <c r="F609" s="2" t="n">
        <f aca="false">INDEX(FieldSites!G:G, MATCH(Ch2_FieldSurvey!B609,FieldSites!C:C,0))</f>
        <v>-119.719077</v>
      </c>
      <c r="G609" s="2" t="n">
        <f aca="false">INDEX(FieldSites!H:H, MATCH(Ch2_FieldSurvey!B609,FieldSites!C:C,0))</f>
        <v>37.723593</v>
      </c>
      <c r="H609" s="18" t="n">
        <v>8</v>
      </c>
      <c r="I609" s="21" t="str">
        <f aca="false">CONCATENATE(B609,"_",C609,H609)</f>
        <v>WCFB_M. guttatus8</v>
      </c>
      <c r="J609" s="22" t="n">
        <v>44693</v>
      </c>
      <c r="K609" s="23" t="n">
        <v>0.652777777777778</v>
      </c>
      <c r="L609" s="22" t="n">
        <v>44694</v>
      </c>
      <c r="M609" s="23" t="n">
        <v>0.613888888888889</v>
      </c>
      <c r="O609" s="1" t="s">
        <v>550</v>
      </c>
      <c r="P609" s="16" t="s">
        <v>451</v>
      </c>
      <c r="Q609" s="16" t="s">
        <v>514</v>
      </c>
      <c r="R609" s="16" t="s">
        <v>453</v>
      </c>
      <c r="S609" s="4" t="s">
        <v>551</v>
      </c>
      <c r="T609" s="24" t="n">
        <v>351</v>
      </c>
      <c r="U609" s="18" t="n">
        <v>8.1</v>
      </c>
      <c r="V609" s="24" t="n">
        <v>0.37</v>
      </c>
      <c r="W609" s="2" t="n">
        <v>0.5</v>
      </c>
      <c r="Z609" s="18" t="s">
        <v>536</v>
      </c>
      <c r="AA609" s="20" t="n">
        <v>323797</v>
      </c>
      <c r="AB609" s="20" t="n">
        <v>402690</v>
      </c>
      <c r="AC609" s="19" t="n">
        <f aca="false">(AB609-AA609)/AB609</f>
        <v>0.195914971814547</v>
      </c>
    </row>
    <row r="610" customFormat="false" ht="14.25" hidden="false" customHeight="true" outlineLevel="0" collapsed="false">
      <c r="A610" s="18" t="s">
        <v>512</v>
      </c>
      <c r="B610" s="18" t="s">
        <v>512</v>
      </c>
      <c r="C610" s="18" t="s">
        <v>40</v>
      </c>
      <c r="E610" s="2" t="n">
        <f aca="false">INDEX(FieldSites!F:F, MATCH(Ch2_FieldSurvey!B610,FieldSites!C:C,0))</f>
        <v>1380</v>
      </c>
      <c r="F610" s="2" t="n">
        <f aca="false">INDEX(FieldSites!G:G, MATCH(Ch2_FieldSurvey!B610,FieldSites!C:C,0))</f>
        <v>-119.719077</v>
      </c>
      <c r="G610" s="2" t="n">
        <f aca="false">INDEX(FieldSites!H:H, MATCH(Ch2_FieldSurvey!B610,FieldSites!C:C,0))</f>
        <v>37.723593</v>
      </c>
      <c r="H610" s="18" t="n">
        <v>8</v>
      </c>
      <c r="I610" s="21" t="str">
        <f aca="false">CONCATENATE(B610,"_",C610,H610)</f>
        <v>WCFB_M. guttatus8</v>
      </c>
      <c r="J610" s="22" t="n">
        <v>44693</v>
      </c>
      <c r="K610" s="23" t="n">
        <v>0.652777777777778</v>
      </c>
      <c r="L610" s="22" t="n">
        <v>44694</v>
      </c>
      <c r="M610" s="23" t="n">
        <v>0.613888888888889</v>
      </c>
      <c r="O610" s="1" t="s">
        <v>550</v>
      </c>
      <c r="P610" s="16" t="s">
        <v>451</v>
      </c>
      <c r="Q610" s="16" t="s">
        <v>514</v>
      </c>
      <c r="R610" s="16" t="s">
        <v>453</v>
      </c>
      <c r="S610" s="4" t="s">
        <v>551</v>
      </c>
      <c r="T610" s="24" t="n">
        <v>435</v>
      </c>
      <c r="U610" s="18" t="n">
        <v>6.2</v>
      </c>
      <c r="V610" s="24" t="n">
        <v>0.33</v>
      </c>
      <c r="W610" s="2" t="n">
        <v>0.8</v>
      </c>
      <c r="Z610" s="18" t="s">
        <v>536</v>
      </c>
      <c r="AA610" s="20"/>
      <c r="AB610" s="20"/>
      <c r="AC610" s="19" t="e">
        <f aca="false">(AB610-AA610)/AB610</f>
        <v>#DIV/0!</v>
      </c>
    </row>
    <row r="611" customFormat="false" ht="14.25" hidden="false" customHeight="true" outlineLevel="0" collapsed="false">
      <c r="A611" s="18" t="s">
        <v>512</v>
      </c>
      <c r="B611" s="18" t="s">
        <v>512</v>
      </c>
      <c r="C611" s="18" t="s">
        <v>40</v>
      </c>
      <c r="E611" s="2" t="n">
        <f aca="false">INDEX(FieldSites!F:F, MATCH(Ch2_FieldSurvey!B611,FieldSites!C:C,0))</f>
        <v>1380</v>
      </c>
      <c r="F611" s="2" t="n">
        <f aca="false">INDEX(FieldSites!G:G, MATCH(Ch2_FieldSurvey!B611,FieldSites!C:C,0))</f>
        <v>-119.719077</v>
      </c>
      <c r="G611" s="2" t="n">
        <f aca="false">INDEX(FieldSites!H:H, MATCH(Ch2_FieldSurvey!B611,FieldSites!C:C,0))</f>
        <v>37.723593</v>
      </c>
      <c r="H611" s="18" t="n">
        <v>8</v>
      </c>
      <c r="I611" s="21" t="str">
        <f aca="false">CONCATENATE(B611,"_",C611,H611)</f>
        <v>WCFB_M. guttatus8</v>
      </c>
      <c r="J611" s="22" t="n">
        <v>44693</v>
      </c>
      <c r="K611" s="23" t="n">
        <v>0.652777777777778</v>
      </c>
      <c r="L611" s="22" t="n">
        <v>44694</v>
      </c>
      <c r="M611" s="23" t="n">
        <v>0.613888888888889</v>
      </c>
      <c r="O611" s="1" t="s">
        <v>550</v>
      </c>
      <c r="P611" s="16" t="s">
        <v>451</v>
      </c>
      <c r="Q611" s="16" t="s">
        <v>514</v>
      </c>
      <c r="R611" s="16" t="s">
        <v>453</v>
      </c>
      <c r="S611" s="4" t="s">
        <v>551</v>
      </c>
      <c r="T611" s="24" t="n">
        <v>405</v>
      </c>
      <c r="U611" s="18" t="n">
        <v>6.8</v>
      </c>
      <c r="V611" s="24" t="n">
        <v>0.29</v>
      </c>
      <c r="W611" s="2" t="n">
        <v>0.8</v>
      </c>
      <c r="Z611" s="18" t="s">
        <v>536</v>
      </c>
      <c r="AA611" s="20"/>
      <c r="AB611" s="20"/>
      <c r="AC611" s="19" t="e">
        <f aca="false">(AB611-AA611)/AB611</f>
        <v>#DIV/0!</v>
      </c>
    </row>
    <row r="612" customFormat="false" ht="14.25" hidden="false" customHeight="true" outlineLevel="0" collapsed="false">
      <c r="A612" s="18" t="s">
        <v>512</v>
      </c>
      <c r="B612" s="18" t="s">
        <v>512</v>
      </c>
      <c r="C612" s="18" t="s">
        <v>40</v>
      </c>
      <c r="E612" s="2" t="n">
        <f aca="false">INDEX(FieldSites!F:F, MATCH(Ch2_FieldSurvey!B612,FieldSites!C:C,0))</f>
        <v>1380</v>
      </c>
      <c r="F612" s="2" t="n">
        <f aca="false">INDEX(FieldSites!G:G, MATCH(Ch2_FieldSurvey!B612,FieldSites!C:C,0))</f>
        <v>-119.719077</v>
      </c>
      <c r="G612" s="2" t="n">
        <f aca="false">INDEX(FieldSites!H:H, MATCH(Ch2_FieldSurvey!B612,FieldSites!C:C,0))</f>
        <v>37.723593</v>
      </c>
      <c r="H612" s="18" t="n">
        <v>9</v>
      </c>
      <c r="I612" s="21" t="str">
        <f aca="false">CONCATENATE(B612,"_",C612,H612)</f>
        <v>WCFB_M. guttatus9</v>
      </c>
      <c r="J612" s="22" t="n">
        <v>44693</v>
      </c>
      <c r="K612" s="23" t="n">
        <v>0.652777777777778</v>
      </c>
      <c r="L612" s="22" t="n">
        <v>44694</v>
      </c>
      <c r="M612" s="23" t="n">
        <v>0.616666666666667</v>
      </c>
      <c r="O612" s="1" t="s">
        <v>552</v>
      </c>
      <c r="P612" s="16" t="s">
        <v>451</v>
      </c>
      <c r="Q612" s="16" t="s">
        <v>514</v>
      </c>
      <c r="R612" s="16" t="s">
        <v>453</v>
      </c>
      <c r="S612" s="4" t="s">
        <v>553</v>
      </c>
      <c r="T612" s="24" t="n">
        <v>364</v>
      </c>
      <c r="U612" s="18" t="n">
        <v>4</v>
      </c>
      <c r="V612" s="24" t="n">
        <v>0.39</v>
      </c>
      <c r="W612" s="2" t="n">
        <v>0.5</v>
      </c>
      <c r="Z612" s="18" t="s">
        <v>536</v>
      </c>
      <c r="AA612" s="20" t="n">
        <v>305386</v>
      </c>
      <c r="AB612" s="20" t="n">
        <v>377705</v>
      </c>
      <c r="AC612" s="19" t="n">
        <f aca="false">(AB612-AA612)/AB612</f>
        <v>0.19146953310123</v>
      </c>
    </row>
    <row r="613" customFormat="false" ht="14.25" hidden="false" customHeight="true" outlineLevel="0" collapsed="false">
      <c r="A613" s="18" t="s">
        <v>512</v>
      </c>
      <c r="B613" s="18" t="s">
        <v>512</v>
      </c>
      <c r="C613" s="18" t="s">
        <v>40</v>
      </c>
      <c r="E613" s="2" t="n">
        <f aca="false">INDEX(FieldSites!F:F, MATCH(Ch2_FieldSurvey!B613,FieldSites!C:C,0))</f>
        <v>1380</v>
      </c>
      <c r="F613" s="2" t="n">
        <f aca="false">INDEX(FieldSites!G:G, MATCH(Ch2_FieldSurvey!B613,FieldSites!C:C,0))</f>
        <v>-119.719077</v>
      </c>
      <c r="G613" s="2" t="n">
        <f aca="false">INDEX(FieldSites!H:H, MATCH(Ch2_FieldSurvey!B613,FieldSites!C:C,0))</f>
        <v>37.723593</v>
      </c>
      <c r="H613" s="18" t="n">
        <v>9</v>
      </c>
      <c r="I613" s="21" t="str">
        <f aca="false">CONCATENATE(B613,"_",C613,H613)</f>
        <v>WCFB_M. guttatus9</v>
      </c>
      <c r="J613" s="22" t="n">
        <v>44693</v>
      </c>
      <c r="K613" s="23" t="n">
        <v>0.652777777777778</v>
      </c>
      <c r="L613" s="22" t="n">
        <v>44694</v>
      </c>
      <c r="M613" s="23" t="n">
        <v>0.616666666666667</v>
      </c>
      <c r="O613" s="1" t="s">
        <v>552</v>
      </c>
      <c r="P613" s="16" t="s">
        <v>451</v>
      </c>
      <c r="Q613" s="16" t="s">
        <v>514</v>
      </c>
      <c r="R613" s="16" t="s">
        <v>453</v>
      </c>
      <c r="S613" s="4" t="s">
        <v>553</v>
      </c>
      <c r="T613" s="24" t="n">
        <v>362</v>
      </c>
      <c r="U613" s="18" t="n">
        <v>2.9</v>
      </c>
      <c r="V613" s="24" t="n">
        <v>0.38</v>
      </c>
      <c r="W613" s="2" t="n">
        <v>0.6</v>
      </c>
      <c r="Z613" s="18" t="s">
        <v>536</v>
      </c>
      <c r="AA613" s="20"/>
      <c r="AB613" s="20"/>
      <c r="AC613" s="19" t="e">
        <f aca="false">(AB613-AA613)/AB613</f>
        <v>#DIV/0!</v>
      </c>
    </row>
    <row r="614" customFormat="false" ht="14.25" hidden="false" customHeight="true" outlineLevel="0" collapsed="false">
      <c r="A614" s="18" t="s">
        <v>512</v>
      </c>
      <c r="B614" s="18" t="s">
        <v>512</v>
      </c>
      <c r="C614" s="18" t="s">
        <v>40</v>
      </c>
      <c r="E614" s="2" t="n">
        <f aca="false">INDEX(FieldSites!F:F, MATCH(Ch2_FieldSurvey!B614,FieldSites!C:C,0))</f>
        <v>1380</v>
      </c>
      <c r="F614" s="2" t="n">
        <f aca="false">INDEX(FieldSites!G:G, MATCH(Ch2_FieldSurvey!B614,FieldSites!C:C,0))</f>
        <v>-119.719077</v>
      </c>
      <c r="G614" s="2" t="n">
        <f aca="false">INDEX(FieldSites!H:H, MATCH(Ch2_FieldSurvey!B614,FieldSites!C:C,0))</f>
        <v>37.723593</v>
      </c>
      <c r="H614" s="18" t="n">
        <v>9</v>
      </c>
      <c r="I614" s="21" t="str">
        <f aca="false">CONCATENATE(B614,"_",C614,H614)</f>
        <v>WCFB_M. guttatus9</v>
      </c>
      <c r="J614" s="22" t="n">
        <v>44693</v>
      </c>
      <c r="K614" s="23" t="n">
        <v>0.652777777777778</v>
      </c>
      <c r="L614" s="22" t="n">
        <v>44694</v>
      </c>
      <c r="M614" s="23" t="n">
        <v>0.616666666666667</v>
      </c>
      <c r="O614" s="1" t="s">
        <v>552</v>
      </c>
      <c r="P614" s="16" t="s">
        <v>451</v>
      </c>
      <c r="Q614" s="16" t="s">
        <v>514</v>
      </c>
      <c r="R614" s="16" t="s">
        <v>453</v>
      </c>
      <c r="S614" s="4" t="s">
        <v>553</v>
      </c>
      <c r="T614" s="24" t="n">
        <v>393</v>
      </c>
      <c r="U614" s="18" t="n">
        <v>3.9</v>
      </c>
      <c r="V614" s="24" t="n">
        <v>0.36</v>
      </c>
      <c r="W614" s="2" t="n">
        <v>0.6</v>
      </c>
      <c r="Z614" s="18" t="s">
        <v>536</v>
      </c>
      <c r="AA614" s="20"/>
      <c r="AB614" s="20"/>
      <c r="AC614" s="19" t="e">
        <f aca="false">(AB614-AA614)/AB614</f>
        <v>#DIV/0!</v>
      </c>
    </row>
    <row r="615" customFormat="false" ht="14.25" hidden="false" customHeight="true" outlineLevel="0" collapsed="false">
      <c r="A615" s="18" t="s">
        <v>512</v>
      </c>
      <c r="B615" s="18" t="s">
        <v>512</v>
      </c>
      <c r="C615" s="18" t="s">
        <v>40</v>
      </c>
      <c r="E615" s="2" t="n">
        <f aca="false">INDEX(FieldSites!F:F, MATCH(Ch2_FieldSurvey!B615,FieldSites!C:C,0))</f>
        <v>1380</v>
      </c>
      <c r="F615" s="2" t="n">
        <f aca="false">INDEX(FieldSites!G:G, MATCH(Ch2_FieldSurvey!B615,FieldSites!C:C,0))</f>
        <v>-119.719077</v>
      </c>
      <c r="G615" s="2" t="n">
        <f aca="false">INDEX(FieldSites!H:H, MATCH(Ch2_FieldSurvey!B615,FieldSites!C:C,0))</f>
        <v>37.723593</v>
      </c>
      <c r="H615" s="18" t="n">
        <v>10</v>
      </c>
      <c r="I615" s="21" t="str">
        <f aca="false">CONCATENATE(B615,"_",C615,H615)</f>
        <v>WCFB_M. guttatus10</v>
      </c>
      <c r="J615" s="22" t="n">
        <v>44693</v>
      </c>
      <c r="K615" s="23" t="n">
        <v>0.652777777777778</v>
      </c>
      <c r="L615" s="22" t="n">
        <v>44694</v>
      </c>
      <c r="M615" s="23" t="n">
        <v>0.61875</v>
      </c>
      <c r="O615" s="1" t="s">
        <v>554</v>
      </c>
      <c r="P615" s="16" t="s">
        <v>451</v>
      </c>
      <c r="Q615" s="16" t="s">
        <v>514</v>
      </c>
      <c r="R615" s="16" t="s">
        <v>453</v>
      </c>
      <c r="S615" s="4" t="s">
        <v>555</v>
      </c>
      <c r="T615" s="24" t="n">
        <v>599</v>
      </c>
      <c r="U615" s="18" t="n">
        <v>5.1</v>
      </c>
      <c r="V615" s="24" t="n">
        <v>0.25</v>
      </c>
      <c r="W615" s="2" t="n">
        <v>0.6</v>
      </c>
      <c r="Z615" s="18" t="s">
        <v>536</v>
      </c>
      <c r="AA615" s="20" t="n">
        <v>146020</v>
      </c>
      <c r="AB615" s="20" t="n">
        <v>149170</v>
      </c>
      <c r="AC615" s="19" t="n">
        <f aca="false">(AB615-AA615)/AB615</f>
        <v>0.0211168465509151</v>
      </c>
    </row>
    <row r="616" customFormat="false" ht="14.25" hidden="false" customHeight="true" outlineLevel="0" collapsed="false">
      <c r="A616" s="18" t="s">
        <v>512</v>
      </c>
      <c r="B616" s="18" t="s">
        <v>512</v>
      </c>
      <c r="C616" s="18" t="s">
        <v>40</v>
      </c>
      <c r="E616" s="2" t="n">
        <f aca="false">INDEX(FieldSites!F:F, MATCH(Ch2_FieldSurvey!B616,FieldSites!C:C,0))</f>
        <v>1380</v>
      </c>
      <c r="F616" s="2" t="n">
        <f aca="false">INDEX(FieldSites!G:G, MATCH(Ch2_FieldSurvey!B616,FieldSites!C:C,0))</f>
        <v>-119.719077</v>
      </c>
      <c r="G616" s="2" t="n">
        <f aca="false">INDEX(FieldSites!H:H, MATCH(Ch2_FieldSurvey!B616,FieldSites!C:C,0))</f>
        <v>37.723593</v>
      </c>
      <c r="H616" s="18" t="n">
        <v>10</v>
      </c>
      <c r="I616" s="21" t="str">
        <f aca="false">CONCATENATE(B616,"_",C616,H616)</f>
        <v>WCFB_M. guttatus10</v>
      </c>
      <c r="J616" s="22" t="n">
        <v>44693</v>
      </c>
      <c r="K616" s="23" t="n">
        <v>0.652777777777778</v>
      </c>
      <c r="L616" s="22" t="n">
        <v>44694</v>
      </c>
      <c r="M616" s="23" t="n">
        <v>0.61875</v>
      </c>
      <c r="O616" s="1" t="s">
        <v>554</v>
      </c>
      <c r="P616" s="16" t="s">
        <v>451</v>
      </c>
      <c r="Q616" s="16" t="s">
        <v>514</v>
      </c>
      <c r="R616" s="16" t="s">
        <v>453</v>
      </c>
      <c r="S616" s="4" t="s">
        <v>555</v>
      </c>
      <c r="T616" s="24" t="n">
        <v>465</v>
      </c>
      <c r="U616" s="18" t="n">
        <v>7</v>
      </c>
      <c r="V616" s="24" t="n">
        <v>0.26</v>
      </c>
      <c r="W616" s="2" t="n">
        <v>0.9</v>
      </c>
      <c r="Z616" s="18" t="s">
        <v>536</v>
      </c>
      <c r="AA616" s="20"/>
      <c r="AB616" s="20"/>
      <c r="AC616" s="19" t="e">
        <f aca="false">(AB616-AA616)/AB616</f>
        <v>#DIV/0!</v>
      </c>
    </row>
    <row r="617" customFormat="false" ht="14.25" hidden="false" customHeight="true" outlineLevel="0" collapsed="false">
      <c r="A617" s="18" t="s">
        <v>512</v>
      </c>
      <c r="B617" s="18" t="s">
        <v>512</v>
      </c>
      <c r="C617" s="18" t="s">
        <v>40</v>
      </c>
      <c r="E617" s="2" t="n">
        <f aca="false">INDEX(FieldSites!F:F, MATCH(Ch2_FieldSurvey!B617,FieldSites!C:C,0))</f>
        <v>1380</v>
      </c>
      <c r="F617" s="2" t="n">
        <f aca="false">INDEX(FieldSites!G:G, MATCH(Ch2_FieldSurvey!B617,FieldSites!C:C,0))</f>
        <v>-119.719077</v>
      </c>
      <c r="G617" s="2" t="n">
        <f aca="false">INDEX(FieldSites!H:H, MATCH(Ch2_FieldSurvey!B617,FieldSites!C:C,0))</f>
        <v>37.723593</v>
      </c>
      <c r="H617" s="18" t="n">
        <v>10</v>
      </c>
      <c r="I617" s="21" t="str">
        <f aca="false">CONCATENATE(B617,"_",C617,H617)</f>
        <v>WCFB_M. guttatus10</v>
      </c>
      <c r="J617" s="22" t="n">
        <v>44693</v>
      </c>
      <c r="K617" s="23" t="n">
        <v>0.652777777777778</v>
      </c>
      <c r="L617" s="22" t="n">
        <v>44694</v>
      </c>
      <c r="M617" s="23" t="n">
        <v>0.61875</v>
      </c>
      <c r="O617" s="1" t="s">
        <v>554</v>
      </c>
      <c r="P617" s="16" t="s">
        <v>451</v>
      </c>
      <c r="Q617" s="16" t="s">
        <v>514</v>
      </c>
      <c r="R617" s="16" t="s">
        <v>453</v>
      </c>
      <c r="S617" s="4" t="s">
        <v>555</v>
      </c>
      <c r="T617" s="24" t="n">
        <v>496</v>
      </c>
      <c r="U617" s="18" t="n">
        <v>6.4</v>
      </c>
      <c r="V617" s="24" t="n">
        <v>0.27</v>
      </c>
      <c r="W617" s="2" t="n">
        <v>0.4</v>
      </c>
      <c r="Z617" s="18" t="s">
        <v>536</v>
      </c>
      <c r="AA617" s="20"/>
      <c r="AB617" s="20"/>
      <c r="AC617" s="19" t="e">
        <f aca="false">(AB617-AA617)/AB617</f>
        <v>#DIV/0!</v>
      </c>
    </row>
    <row r="618" customFormat="false" ht="14.25" hidden="false" customHeight="true" outlineLevel="0" collapsed="false">
      <c r="A618" s="18" t="s">
        <v>512</v>
      </c>
      <c r="B618" s="18" t="s">
        <v>512</v>
      </c>
      <c r="C618" s="18" t="s">
        <v>40</v>
      </c>
      <c r="E618" s="2" t="n">
        <f aca="false">INDEX(FieldSites!F:F, MATCH(Ch2_FieldSurvey!B618,FieldSites!C:C,0))</f>
        <v>1380</v>
      </c>
      <c r="F618" s="2" t="n">
        <f aca="false">INDEX(FieldSites!G:G, MATCH(Ch2_FieldSurvey!B618,FieldSites!C:C,0))</f>
        <v>-119.719077</v>
      </c>
      <c r="G618" s="2" t="n">
        <f aca="false">INDEX(FieldSites!H:H, MATCH(Ch2_FieldSurvey!B618,FieldSites!C:C,0))</f>
        <v>37.723593</v>
      </c>
      <c r="H618" s="18" t="n">
        <v>11</v>
      </c>
      <c r="I618" s="21" t="str">
        <f aca="false">CONCATENATE(B618,"_",C618,H618)</f>
        <v>WCFB_M. guttatus11</v>
      </c>
      <c r="J618" s="22" t="n">
        <v>44693</v>
      </c>
      <c r="K618" s="23" t="n">
        <v>0.652777777777778</v>
      </c>
      <c r="L618" s="22" t="n">
        <v>44694</v>
      </c>
      <c r="M618" s="23" t="n">
        <v>0.621527777777778</v>
      </c>
      <c r="O618" s="1" t="s">
        <v>556</v>
      </c>
      <c r="P618" s="16" t="s">
        <v>451</v>
      </c>
      <c r="Q618" s="16" t="s">
        <v>514</v>
      </c>
      <c r="R618" s="16" t="s">
        <v>453</v>
      </c>
      <c r="S618" s="4" t="s">
        <v>557</v>
      </c>
      <c r="T618" s="24" t="n">
        <v>320</v>
      </c>
      <c r="U618" s="18" t="n">
        <v>3.8</v>
      </c>
      <c r="V618" s="24" t="n">
        <v>0.24</v>
      </c>
      <c r="W618" s="2" t="n">
        <v>0.5</v>
      </c>
      <c r="Z618" s="18" t="s">
        <v>536</v>
      </c>
      <c r="AA618" s="20" t="n">
        <v>273271</v>
      </c>
      <c r="AB618" s="20" t="n">
        <v>318856</v>
      </c>
      <c r="AC618" s="19" t="n">
        <f aca="false">(AB618-AA618)/AB618</f>
        <v>0.142964222093986</v>
      </c>
    </row>
    <row r="619" customFormat="false" ht="14.25" hidden="false" customHeight="true" outlineLevel="0" collapsed="false">
      <c r="A619" s="18" t="s">
        <v>512</v>
      </c>
      <c r="B619" s="18" t="s">
        <v>512</v>
      </c>
      <c r="C619" s="18" t="s">
        <v>40</v>
      </c>
      <c r="E619" s="2" t="n">
        <f aca="false">INDEX(FieldSites!F:F, MATCH(Ch2_FieldSurvey!B619,FieldSites!C:C,0))</f>
        <v>1380</v>
      </c>
      <c r="F619" s="2" t="n">
        <f aca="false">INDEX(FieldSites!G:G, MATCH(Ch2_FieldSurvey!B619,FieldSites!C:C,0))</f>
        <v>-119.719077</v>
      </c>
      <c r="G619" s="2" t="n">
        <f aca="false">INDEX(FieldSites!H:H, MATCH(Ch2_FieldSurvey!B619,FieldSites!C:C,0))</f>
        <v>37.723593</v>
      </c>
      <c r="H619" s="18" t="n">
        <v>11</v>
      </c>
      <c r="I619" s="21" t="str">
        <f aca="false">CONCATENATE(B619,"_",C619,H619)</f>
        <v>WCFB_M. guttatus11</v>
      </c>
      <c r="J619" s="22" t="n">
        <v>44693</v>
      </c>
      <c r="K619" s="23" t="n">
        <v>0.652777777777778</v>
      </c>
      <c r="L619" s="22" t="n">
        <v>44694</v>
      </c>
      <c r="M619" s="23" t="n">
        <v>0.621527777777778</v>
      </c>
      <c r="O619" s="1" t="s">
        <v>556</v>
      </c>
      <c r="P619" s="16" t="s">
        <v>451</v>
      </c>
      <c r="Q619" s="16" t="s">
        <v>514</v>
      </c>
      <c r="R619" s="16" t="s">
        <v>453</v>
      </c>
      <c r="S619" s="4" t="s">
        <v>557</v>
      </c>
      <c r="T619" s="24" t="n">
        <v>284</v>
      </c>
      <c r="U619" s="18" t="n">
        <v>3.7</v>
      </c>
      <c r="V619" s="24" t="n">
        <v>0.27</v>
      </c>
      <c r="W619" s="2" t="n">
        <v>0.6</v>
      </c>
      <c r="Z619" s="18" t="s">
        <v>536</v>
      </c>
      <c r="AA619" s="20"/>
      <c r="AB619" s="20"/>
      <c r="AC619" s="19" t="e">
        <f aca="false">(AB619-AA619)/AB619</f>
        <v>#DIV/0!</v>
      </c>
    </row>
    <row r="620" customFormat="false" ht="14.25" hidden="false" customHeight="true" outlineLevel="0" collapsed="false">
      <c r="A620" s="18" t="s">
        <v>512</v>
      </c>
      <c r="B620" s="18" t="s">
        <v>512</v>
      </c>
      <c r="C620" s="18" t="s">
        <v>40</v>
      </c>
      <c r="E620" s="2" t="n">
        <f aca="false">INDEX(FieldSites!F:F, MATCH(Ch2_FieldSurvey!B620,FieldSites!C:C,0))</f>
        <v>1380</v>
      </c>
      <c r="F620" s="2" t="n">
        <f aca="false">INDEX(FieldSites!G:G, MATCH(Ch2_FieldSurvey!B620,FieldSites!C:C,0))</f>
        <v>-119.719077</v>
      </c>
      <c r="G620" s="2" t="n">
        <f aca="false">INDEX(FieldSites!H:H, MATCH(Ch2_FieldSurvey!B620,FieldSites!C:C,0))</f>
        <v>37.723593</v>
      </c>
      <c r="H620" s="18" t="n">
        <v>11</v>
      </c>
      <c r="I620" s="21" t="str">
        <f aca="false">CONCATENATE(B620,"_",C620,H620)</f>
        <v>WCFB_M. guttatus11</v>
      </c>
      <c r="J620" s="22" t="n">
        <v>44693</v>
      </c>
      <c r="K620" s="23" t="n">
        <v>0.652777777777778</v>
      </c>
      <c r="L620" s="22" t="n">
        <v>44694</v>
      </c>
      <c r="M620" s="23" t="n">
        <v>0.621527777777778</v>
      </c>
      <c r="O620" s="1" t="s">
        <v>556</v>
      </c>
      <c r="P620" s="16" t="s">
        <v>451</v>
      </c>
      <c r="Q620" s="16" t="s">
        <v>514</v>
      </c>
      <c r="R620" s="16" t="s">
        <v>453</v>
      </c>
      <c r="S620" s="4" t="s">
        <v>557</v>
      </c>
      <c r="T620" s="24" t="n">
        <v>339</v>
      </c>
      <c r="U620" s="18" t="n">
        <v>4.4</v>
      </c>
      <c r="V620" s="24" t="n">
        <v>0.29</v>
      </c>
      <c r="W620" s="2" t="n">
        <v>0.5</v>
      </c>
      <c r="Z620" s="18" t="s">
        <v>536</v>
      </c>
      <c r="AA620" s="20"/>
      <c r="AB620" s="20"/>
      <c r="AC620" s="19" t="e">
        <f aca="false">(AB620-AA620)/AB620</f>
        <v>#DIV/0!</v>
      </c>
    </row>
    <row r="621" customFormat="false" ht="14.25" hidden="false" customHeight="true" outlineLevel="0" collapsed="false">
      <c r="A621" s="18" t="s">
        <v>512</v>
      </c>
      <c r="B621" s="18" t="s">
        <v>512</v>
      </c>
      <c r="C621" s="18" t="s">
        <v>40</v>
      </c>
      <c r="E621" s="2" t="n">
        <f aca="false">INDEX(FieldSites!F:F, MATCH(Ch2_FieldSurvey!B621,FieldSites!C:C,0))</f>
        <v>1380</v>
      </c>
      <c r="F621" s="2" t="n">
        <f aca="false">INDEX(FieldSites!G:G, MATCH(Ch2_FieldSurvey!B621,FieldSites!C:C,0))</f>
        <v>-119.719077</v>
      </c>
      <c r="G621" s="2" t="n">
        <f aca="false">INDEX(FieldSites!H:H, MATCH(Ch2_FieldSurvey!B621,FieldSites!C:C,0))</f>
        <v>37.723593</v>
      </c>
      <c r="H621" s="18" t="n">
        <v>12</v>
      </c>
      <c r="I621" s="21" t="str">
        <f aca="false">CONCATENATE(B621,"_",C621,H621)</f>
        <v>WCFB_M. guttatus12</v>
      </c>
      <c r="J621" s="22" t="n">
        <v>44693</v>
      </c>
      <c r="K621" s="23" t="n">
        <v>0.652777777777778</v>
      </c>
      <c r="L621" s="22" t="n">
        <v>44694</v>
      </c>
      <c r="M621" s="23" t="n">
        <v>0.623611111111111</v>
      </c>
      <c r="O621" s="1" t="s">
        <v>558</v>
      </c>
      <c r="P621" s="16" t="s">
        <v>451</v>
      </c>
      <c r="Q621" s="16" t="s">
        <v>514</v>
      </c>
      <c r="R621" s="16" t="s">
        <v>453</v>
      </c>
      <c r="S621" s="4" t="s">
        <v>349</v>
      </c>
      <c r="T621" s="24" t="n">
        <v>344</v>
      </c>
      <c r="U621" s="18" t="n">
        <v>3.8</v>
      </c>
      <c r="V621" s="24" t="n">
        <v>0.27</v>
      </c>
      <c r="W621" s="2" t="n">
        <v>0.3</v>
      </c>
      <c r="Z621" s="18" t="s">
        <v>536</v>
      </c>
      <c r="AA621" s="20" t="n">
        <v>174381</v>
      </c>
      <c r="AB621" s="20" t="n">
        <v>201823</v>
      </c>
      <c r="AC621" s="19" t="n">
        <f aca="false">(AB621-AA621)/AB621</f>
        <v>0.135970627728257</v>
      </c>
    </row>
    <row r="622" customFormat="false" ht="14.25" hidden="false" customHeight="true" outlineLevel="0" collapsed="false">
      <c r="A622" s="18" t="s">
        <v>512</v>
      </c>
      <c r="B622" s="18" t="s">
        <v>512</v>
      </c>
      <c r="C622" s="18" t="s">
        <v>40</v>
      </c>
      <c r="E622" s="2" t="n">
        <f aca="false">INDEX(FieldSites!F:F, MATCH(Ch2_FieldSurvey!B622,FieldSites!C:C,0))</f>
        <v>1380</v>
      </c>
      <c r="F622" s="2" t="n">
        <f aca="false">INDEX(FieldSites!G:G, MATCH(Ch2_FieldSurvey!B622,FieldSites!C:C,0))</f>
        <v>-119.719077</v>
      </c>
      <c r="G622" s="2" t="n">
        <f aca="false">INDEX(FieldSites!H:H, MATCH(Ch2_FieldSurvey!B622,FieldSites!C:C,0))</f>
        <v>37.723593</v>
      </c>
      <c r="H622" s="18" t="n">
        <v>12</v>
      </c>
      <c r="I622" s="21" t="str">
        <f aca="false">CONCATENATE(B622,"_",C622,H622)</f>
        <v>WCFB_M. guttatus12</v>
      </c>
      <c r="J622" s="22" t="n">
        <v>44693</v>
      </c>
      <c r="K622" s="23" t="n">
        <v>0.652777777777778</v>
      </c>
      <c r="L622" s="22" t="n">
        <v>44694</v>
      </c>
      <c r="M622" s="23" t="n">
        <v>0.623611111111111</v>
      </c>
      <c r="O622" s="1" t="s">
        <v>558</v>
      </c>
      <c r="P622" s="16" t="s">
        <v>451</v>
      </c>
      <c r="Q622" s="16" t="s">
        <v>514</v>
      </c>
      <c r="R622" s="16" t="s">
        <v>453</v>
      </c>
      <c r="S622" s="4" t="s">
        <v>349</v>
      </c>
      <c r="T622" s="24" t="n">
        <v>315</v>
      </c>
      <c r="U622" s="18" t="n">
        <v>4.2</v>
      </c>
      <c r="V622" s="24" t="n">
        <v>0.28</v>
      </c>
      <c r="W622" s="2" t="n">
        <v>0.3</v>
      </c>
      <c r="Z622" s="18" t="s">
        <v>536</v>
      </c>
      <c r="AA622" s="20"/>
      <c r="AB622" s="20"/>
      <c r="AC622" s="19" t="e">
        <f aca="false">(AB622-AA622)/AB622</f>
        <v>#DIV/0!</v>
      </c>
    </row>
    <row r="623" customFormat="false" ht="14.25" hidden="false" customHeight="true" outlineLevel="0" collapsed="false">
      <c r="A623" s="18" t="s">
        <v>512</v>
      </c>
      <c r="B623" s="18" t="s">
        <v>512</v>
      </c>
      <c r="C623" s="18" t="s">
        <v>40</v>
      </c>
      <c r="E623" s="2" t="n">
        <f aca="false">INDEX(FieldSites!F:F, MATCH(Ch2_FieldSurvey!B623,FieldSites!C:C,0))</f>
        <v>1380</v>
      </c>
      <c r="F623" s="2" t="n">
        <f aca="false">INDEX(FieldSites!G:G, MATCH(Ch2_FieldSurvey!B623,FieldSites!C:C,0))</f>
        <v>-119.719077</v>
      </c>
      <c r="G623" s="2" t="n">
        <f aca="false">INDEX(FieldSites!H:H, MATCH(Ch2_FieldSurvey!B623,FieldSites!C:C,0))</f>
        <v>37.723593</v>
      </c>
      <c r="H623" s="18" t="n">
        <v>12</v>
      </c>
      <c r="I623" s="21" t="str">
        <f aca="false">CONCATENATE(B623,"_",C623,H623)</f>
        <v>WCFB_M. guttatus12</v>
      </c>
      <c r="J623" s="22" t="n">
        <v>44693</v>
      </c>
      <c r="K623" s="23" t="n">
        <v>0.652777777777778</v>
      </c>
      <c r="L623" s="22" t="n">
        <v>44694</v>
      </c>
      <c r="M623" s="23" t="n">
        <v>0.623611111111111</v>
      </c>
      <c r="O623" s="1" t="s">
        <v>558</v>
      </c>
      <c r="P623" s="16" t="s">
        <v>451</v>
      </c>
      <c r="Q623" s="16" t="s">
        <v>514</v>
      </c>
      <c r="R623" s="16" t="s">
        <v>453</v>
      </c>
      <c r="S623" s="4" t="s">
        <v>349</v>
      </c>
      <c r="T623" s="24" t="n">
        <v>321</v>
      </c>
      <c r="U623" s="18" t="n">
        <v>3.3</v>
      </c>
      <c r="V623" s="24" t="n">
        <v>0.25</v>
      </c>
      <c r="W623" s="2" t="n">
        <v>0.4</v>
      </c>
      <c r="Z623" s="18" t="s">
        <v>536</v>
      </c>
      <c r="AA623" s="20"/>
      <c r="AB623" s="20"/>
      <c r="AC623" s="19" t="e">
        <f aca="false">(AB623-AA623)/AB623</f>
        <v>#DIV/0!</v>
      </c>
    </row>
    <row r="624" customFormat="false" ht="14.25" hidden="false" customHeight="true" outlineLevel="0" collapsed="false">
      <c r="A624" s="18" t="s">
        <v>559</v>
      </c>
      <c r="B624" s="18" t="s">
        <v>559</v>
      </c>
      <c r="C624" s="18" t="s">
        <v>40</v>
      </c>
      <c r="E624" s="2" t="n">
        <f aca="false">INDEX(FieldSites!F:F, MATCH(Ch2_FieldSurvey!B624,FieldSites!C:C,0))</f>
        <v>1679</v>
      </c>
      <c r="F624" s="2" t="n">
        <f aca="false">INDEX(FieldSites!G:G, MATCH(Ch2_FieldSurvey!B624,FieldSites!C:C,0))</f>
        <v>-120.094614</v>
      </c>
      <c r="G624" s="2" t="n">
        <f aca="false">INDEX(FieldSites!H:H, MATCH(Ch2_FieldSurvey!B624,FieldSites!C:C,0))</f>
        <v>38.136194</v>
      </c>
      <c r="H624" s="18" t="n">
        <v>1</v>
      </c>
      <c r="I624" s="21" t="str">
        <f aca="false">CONCATENATE(B624,"_",C624,H624)</f>
        <v>SDSB_M. guttatus1</v>
      </c>
      <c r="J624" s="22" t="n">
        <v>44702</v>
      </c>
      <c r="K624" s="23" t="n">
        <v>0.622222222222222</v>
      </c>
      <c r="L624" s="22" t="n">
        <v>44703</v>
      </c>
      <c r="M624" s="23" t="n">
        <v>0.430555555555556</v>
      </c>
      <c r="O624" s="1" t="s">
        <v>560</v>
      </c>
      <c r="P624" s="16" t="s">
        <v>561</v>
      </c>
      <c r="Q624" s="16" t="s">
        <v>562</v>
      </c>
      <c r="R624" s="16" t="s">
        <v>563</v>
      </c>
      <c r="S624" s="4" t="s">
        <v>403</v>
      </c>
      <c r="T624" s="24" t="n">
        <v>352</v>
      </c>
      <c r="U624" s="18" t="n">
        <v>4</v>
      </c>
      <c r="V624" s="24" t="n">
        <v>0.41</v>
      </c>
      <c r="W624" s="2" t="n">
        <v>0.8</v>
      </c>
      <c r="Z624" s="18"/>
      <c r="AA624" s="20" t="n">
        <v>250117</v>
      </c>
      <c r="AB624" s="20" t="n">
        <v>285527</v>
      </c>
      <c r="AC624" s="19" t="n">
        <f aca="false">(AB624-AA624)/AB624</f>
        <v>0.124016292679852</v>
      </c>
    </row>
    <row r="625" customFormat="false" ht="14.25" hidden="false" customHeight="true" outlineLevel="0" collapsed="false">
      <c r="A625" s="18" t="s">
        <v>559</v>
      </c>
      <c r="B625" s="18" t="s">
        <v>559</v>
      </c>
      <c r="C625" s="18" t="s">
        <v>40</v>
      </c>
      <c r="E625" s="2" t="n">
        <f aca="false">INDEX(FieldSites!F:F, MATCH(Ch2_FieldSurvey!B625,FieldSites!C:C,0))</f>
        <v>1679</v>
      </c>
      <c r="F625" s="2" t="n">
        <f aca="false">INDEX(FieldSites!G:G, MATCH(Ch2_FieldSurvey!B625,FieldSites!C:C,0))</f>
        <v>-120.094614</v>
      </c>
      <c r="G625" s="2" t="n">
        <f aca="false">INDEX(FieldSites!H:H, MATCH(Ch2_FieldSurvey!B625,FieldSites!C:C,0))</f>
        <v>38.136194</v>
      </c>
      <c r="H625" s="18" t="n">
        <v>1</v>
      </c>
      <c r="I625" s="21" t="str">
        <f aca="false">CONCATENATE(B625,"_",C625,H625)</f>
        <v>SDSB_M. guttatus1</v>
      </c>
      <c r="J625" s="22" t="n">
        <v>44702</v>
      </c>
      <c r="K625" s="23" t="n">
        <v>0.622222222222222</v>
      </c>
      <c r="L625" s="22" t="n">
        <v>44703</v>
      </c>
      <c r="M625" s="23" t="n">
        <v>0.430555555555556</v>
      </c>
      <c r="O625" s="1" t="s">
        <v>560</v>
      </c>
      <c r="P625" s="16" t="s">
        <v>561</v>
      </c>
      <c r="Q625" s="16" t="s">
        <v>562</v>
      </c>
      <c r="R625" s="16" t="s">
        <v>563</v>
      </c>
      <c r="S625" s="4" t="s">
        <v>403</v>
      </c>
      <c r="T625" s="24" t="n">
        <v>325</v>
      </c>
      <c r="U625" s="18" t="n">
        <v>3.3</v>
      </c>
      <c r="V625" s="24" t="n">
        <v>0.5</v>
      </c>
      <c r="W625" s="2" t="n">
        <v>0.6</v>
      </c>
      <c r="Z625" s="18"/>
      <c r="AA625" s="20"/>
      <c r="AB625" s="20"/>
      <c r="AC625" s="19" t="e">
        <f aca="false">(AB625-AA625)/AB625</f>
        <v>#DIV/0!</v>
      </c>
    </row>
    <row r="626" customFormat="false" ht="14.25" hidden="false" customHeight="true" outlineLevel="0" collapsed="false">
      <c r="A626" s="18" t="s">
        <v>559</v>
      </c>
      <c r="B626" s="18" t="s">
        <v>559</v>
      </c>
      <c r="C626" s="18" t="s">
        <v>40</v>
      </c>
      <c r="E626" s="2" t="n">
        <f aca="false">INDEX(FieldSites!F:F, MATCH(Ch2_FieldSurvey!B626,FieldSites!C:C,0))</f>
        <v>1679</v>
      </c>
      <c r="F626" s="2" t="n">
        <f aca="false">INDEX(FieldSites!G:G, MATCH(Ch2_FieldSurvey!B626,FieldSites!C:C,0))</f>
        <v>-120.094614</v>
      </c>
      <c r="G626" s="2" t="n">
        <f aca="false">INDEX(FieldSites!H:H, MATCH(Ch2_FieldSurvey!B626,FieldSites!C:C,0))</f>
        <v>38.136194</v>
      </c>
      <c r="H626" s="18" t="n">
        <v>1</v>
      </c>
      <c r="I626" s="21" t="str">
        <f aca="false">CONCATENATE(B626,"_",C626,H626)</f>
        <v>SDSB_M. guttatus1</v>
      </c>
      <c r="J626" s="22" t="n">
        <v>44702</v>
      </c>
      <c r="K626" s="23" t="n">
        <v>0.622222222222222</v>
      </c>
      <c r="L626" s="22" t="n">
        <v>44703</v>
      </c>
      <c r="M626" s="23" t="n">
        <v>0.430555555555556</v>
      </c>
      <c r="O626" s="1" t="s">
        <v>560</v>
      </c>
      <c r="P626" s="16" t="s">
        <v>561</v>
      </c>
      <c r="Q626" s="16" t="s">
        <v>562</v>
      </c>
      <c r="R626" s="16" t="s">
        <v>563</v>
      </c>
      <c r="S626" s="4" t="s">
        <v>403</v>
      </c>
      <c r="T626" s="24" t="n">
        <v>300</v>
      </c>
      <c r="U626" s="18" t="n">
        <v>4</v>
      </c>
      <c r="V626" s="24" t="n">
        <v>0.3</v>
      </c>
      <c r="W626" s="2" t="n">
        <v>0.5</v>
      </c>
      <c r="Z626" s="18"/>
      <c r="AA626" s="20"/>
      <c r="AB626" s="20"/>
      <c r="AC626" s="19" t="e">
        <f aca="false">(AB626-AA626)/AB626</f>
        <v>#DIV/0!</v>
      </c>
    </row>
    <row r="627" customFormat="false" ht="14.25" hidden="false" customHeight="true" outlineLevel="0" collapsed="false">
      <c r="A627" s="18" t="s">
        <v>559</v>
      </c>
      <c r="B627" s="18" t="s">
        <v>559</v>
      </c>
      <c r="C627" s="18" t="s">
        <v>40</v>
      </c>
      <c r="E627" s="2" t="n">
        <f aca="false">INDEX(FieldSites!F:F, MATCH(Ch2_FieldSurvey!B627,FieldSites!C:C,0))</f>
        <v>1679</v>
      </c>
      <c r="F627" s="2" t="n">
        <f aca="false">INDEX(FieldSites!G:G, MATCH(Ch2_FieldSurvey!B627,FieldSites!C:C,0))</f>
        <v>-120.094614</v>
      </c>
      <c r="G627" s="2" t="n">
        <f aca="false">INDEX(FieldSites!H:H, MATCH(Ch2_FieldSurvey!B627,FieldSites!C:C,0))</f>
        <v>38.136194</v>
      </c>
      <c r="H627" s="18" t="n">
        <v>2</v>
      </c>
      <c r="I627" s="21" t="str">
        <f aca="false">CONCATENATE(B627,"_",C627,H627)</f>
        <v>SDSB_M. guttatus2</v>
      </c>
      <c r="J627" s="22" t="n">
        <v>44702</v>
      </c>
      <c r="K627" s="23" t="n">
        <v>0.622222222222222</v>
      </c>
      <c r="L627" s="22" t="n">
        <v>44703</v>
      </c>
      <c r="M627" s="23" t="n">
        <v>0.438194444444445</v>
      </c>
      <c r="O627" s="1" t="s">
        <v>564</v>
      </c>
      <c r="P627" s="16" t="s">
        <v>561</v>
      </c>
      <c r="Q627" s="16" t="s">
        <v>562</v>
      </c>
      <c r="R627" s="16" t="s">
        <v>563</v>
      </c>
      <c r="S627" s="4" t="s">
        <v>565</v>
      </c>
      <c r="T627" s="24" t="n">
        <v>420</v>
      </c>
      <c r="U627" s="18" t="n">
        <v>4.7</v>
      </c>
      <c r="V627" s="24" t="n">
        <v>0.64</v>
      </c>
      <c r="W627" s="2" t="n">
        <v>0.7</v>
      </c>
      <c r="Z627" s="18"/>
      <c r="AA627" s="20" t="n">
        <v>275247</v>
      </c>
      <c r="AB627" s="20" t="n">
        <v>313067</v>
      </c>
      <c r="AC627" s="19" t="n">
        <f aca="false">(AB627-AA627)/AB627</f>
        <v>0.120804811749562</v>
      </c>
    </row>
    <row r="628" customFormat="false" ht="14.25" hidden="false" customHeight="true" outlineLevel="0" collapsed="false">
      <c r="A628" s="18" t="s">
        <v>559</v>
      </c>
      <c r="B628" s="18" t="s">
        <v>559</v>
      </c>
      <c r="C628" s="18" t="s">
        <v>40</v>
      </c>
      <c r="E628" s="2" t="n">
        <f aca="false">INDEX(FieldSites!F:F, MATCH(Ch2_FieldSurvey!B628,FieldSites!C:C,0))</f>
        <v>1679</v>
      </c>
      <c r="F628" s="2" t="n">
        <f aca="false">INDEX(FieldSites!G:G, MATCH(Ch2_FieldSurvey!B628,FieldSites!C:C,0))</f>
        <v>-120.094614</v>
      </c>
      <c r="G628" s="2" t="n">
        <f aca="false">INDEX(FieldSites!H:H, MATCH(Ch2_FieldSurvey!B628,FieldSites!C:C,0))</f>
        <v>38.136194</v>
      </c>
      <c r="H628" s="18" t="n">
        <v>2</v>
      </c>
      <c r="I628" s="21" t="str">
        <f aca="false">CONCATENATE(B628,"_",C628,H628)</f>
        <v>SDSB_M. guttatus2</v>
      </c>
      <c r="J628" s="22" t="n">
        <v>44702</v>
      </c>
      <c r="K628" s="23" t="n">
        <v>0.622222222222222</v>
      </c>
      <c r="L628" s="22" t="n">
        <v>44703</v>
      </c>
      <c r="M628" s="23" t="n">
        <v>0.438194444444445</v>
      </c>
      <c r="O628" s="1" t="s">
        <v>564</v>
      </c>
      <c r="P628" s="16" t="s">
        <v>561</v>
      </c>
      <c r="Q628" s="16" t="s">
        <v>562</v>
      </c>
      <c r="R628" s="16" t="s">
        <v>563</v>
      </c>
      <c r="S628" s="4" t="s">
        <v>565</v>
      </c>
      <c r="T628" s="24" t="n">
        <v>369</v>
      </c>
      <c r="U628" s="18" t="n">
        <v>4.3</v>
      </c>
      <c r="V628" s="24" t="n">
        <v>0.62</v>
      </c>
      <c r="W628" s="2" t="n">
        <v>0.8</v>
      </c>
      <c r="Z628" s="18"/>
      <c r="AA628" s="20"/>
      <c r="AB628" s="20"/>
      <c r="AC628" s="19" t="e">
        <f aca="false">(AB628-AA628)/AB628</f>
        <v>#DIV/0!</v>
      </c>
    </row>
    <row r="629" customFormat="false" ht="14.25" hidden="false" customHeight="true" outlineLevel="0" collapsed="false">
      <c r="A629" s="18" t="s">
        <v>559</v>
      </c>
      <c r="B629" s="18" t="s">
        <v>559</v>
      </c>
      <c r="C629" s="18" t="s">
        <v>40</v>
      </c>
      <c r="E629" s="2" t="n">
        <f aca="false">INDEX(FieldSites!F:F, MATCH(Ch2_FieldSurvey!B629,FieldSites!C:C,0))</f>
        <v>1679</v>
      </c>
      <c r="F629" s="2" t="n">
        <f aca="false">INDEX(FieldSites!G:G, MATCH(Ch2_FieldSurvey!B629,FieldSites!C:C,0))</f>
        <v>-120.094614</v>
      </c>
      <c r="G629" s="2" t="n">
        <f aca="false">INDEX(FieldSites!H:H, MATCH(Ch2_FieldSurvey!B629,FieldSites!C:C,0))</f>
        <v>38.136194</v>
      </c>
      <c r="H629" s="18" t="n">
        <v>2</v>
      </c>
      <c r="I629" s="21" t="str">
        <f aca="false">CONCATENATE(B629,"_",C629,H629)</f>
        <v>SDSB_M. guttatus2</v>
      </c>
      <c r="J629" s="22" t="n">
        <v>44702</v>
      </c>
      <c r="K629" s="23" t="n">
        <v>0.622222222222222</v>
      </c>
      <c r="L629" s="22" t="n">
        <v>44703</v>
      </c>
      <c r="M629" s="23" t="n">
        <v>0.438194444444445</v>
      </c>
      <c r="O629" s="1" t="s">
        <v>564</v>
      </c>
      <c r="P629" s="16" t="s">
        <v>561</v>
      </c>
      <c r="Q629" s="16" t="s">
        <v>562</v>
      </c>
      <c r="R629" s="16" t="s">
        <v>563</v>
      </c>
      <c r="S629" s="4" t="s">
        <v>565</v>
      </c>
      <c r="T629" s="24" t="n">
        <v>320</v>
      </c>
      <c r="U629" s="18" t="n">
        <v>4.2</v>
      </c>
      <c r="V629" s="24" t="n">
        <v>0.49</v>
      </c>
      <c r="W629" s="2" t="n">
        <v>0.7</v>
      </c>
      <c r="Z629" s="18"/>
      <c r="AA629" s="20"/>
      <c r="AB629" s="20"/>
      <c r="AC629" s="19" t="e">
        <f aca="false">(AB629-AA629)/AB629</f>
        <v>#DIV/0!</v>
      </c>
    </row>
    <row r="630" customFormat="false" ht="14.25" hidden="false" customHeight="true" outlineLevel="0" collapsed="false">
      <c r="A630" s="18" t="s">
        <v>559</v>
      </c>
      <c r="B630" s="18" t="s">
        <v>559</v>
      </c>
      <c r="C630" s="18" t="s">
        <v>40</v>
      </c>
      <c r="E630" s="2" t="n">
        <f aca="false">INDEX(FieldSites!F:F, MATCH(Ch2_FieldSurvey!B630,FieldSites!C:C,0))</f>
        <v>1679</v>
      </c>
      <c r="F630" s="2" t="n">
        <f aca="false">INDEX(FieldSites!G:G, MATCH(Ch2_FieldSurvey!B630,FieldSites!C:C,0))</f>
        <v>-120.094614</v>
      </c>
      <c r="G630" s="2" t="n">
        <f aca="false">INDEX(FieldSites!H:H, MATCH(Ch2_FieldSurvey!B630,FieldSites!C:C,0))</f>
        <v>38.136194</v>
      </c>
      <c r="H630" s="18" t="n">
        <v>3</v>
      </c>
      <c r="I630" s="21" t="str">
        <f aca="false">CONCATENATE(B630,"_",C630,H630)</f>
        <v>SDSB_M. guttatus3</v>
      </c>
      <c r="J630" s="22" t="n">
        <v>44702</v>
      </c>
      <c r="K630" s="23" t="n">
        <v>0.622222222222222</v>
      </c>
      <c r="L630" s="22" t="n">
        <v>44703</v>
      </c>
      <c r="M630" s="23" t="n">
        <v>0.442361111111111</v>
      </c>
      <c r="O630" s="1" t="s">
        <v>566</v>
      </c>
      <c r="P630" s="16" t="s">
        <v>561</v>
      </c>
      <c r="Q630" s="16" t="s">
        <v>562</v>
      </c>
      <c r="R630" s="16" t="s">
        <v>563</v>
      </c>
      <c r="S630" s="4" t="s">
        <v>409</v>
      </c>
      <c r="T630" s="24" t="n">
        <v>305</v>
      </c>
      <c r="U630" s="18" t="n">
        <v>3.2</v>
      </c>
      <c r="V630" s="24" t="n">
        <v>0.29</v>
      </c>
      <c r="W630" s="2" t="n">
        <v>0.6</v>
      </c>
      <c r="Z630" s="18"/>
      <c r="AA630" s="20" t="n">
        <v>165270</v>
      </c>
      <c r="AB630" s="20" t="n">
        <v>184688</v>
      </c>
      <c r="AC630" s="19" t="n">
        <f aca="false">(AB630-AA630)/AB630</f>
        <v>0.105139478471801</v>
      </c>
    </row>
    <row r="631" customFormat="false" ht="14.25" hidden="false" customHeight="true" outlineLevel="0" collapsed="false">
      <c r="A631" s="18" t="s">
        <v>559</v>
      </c>
      <c r="B631" s="18" t="s">
        <v>559</v>
      </c>
      <c r="C631" s="18" t="s">
        <v>40</v>
      </c>
      <c r="E631" s="2" t="n">
        <f aca="false">INDEX(FieldSites!F:F, MATCH(Ch2_FieldSurvey!B631,FieldSites!C:C,0))</f>
        <v>1679</v>
      </c>
      <c r="F631" s="2" t="n">
        <f aca="false">INDEX(FieldSites!G:G, MATCH(Ch2_FieldSurvey!B631,FieldSites!C:C,0))</f>
        <v>-120.094614</v>
      </c>
      <c r="G631" s="2" t="n">
        <f aca="false">INDEX(FieldSites!H:H, MATCH(Ch2_FieldSurvey!B631,FieldSites!C:C,0))</f>
        <v>38.136194</v>
      </c>
      <c r="H631" s="18" t="n">
        <v>3</v>
      </c>
      <c r="I631" s="21" t="str">
        <f aca="false">CONCATENATE(B631,"_",C631,H631)</f>
        <v>SDSB_M. guttatus3</v>
      </c>
      <c r="J631" s="22" t="n">
        <v>44702</v>
      </c>
      <c r="K631" s="23" t="n">
        <v>0.622222222222222</v>
      </c>
      <c r="L631" s="22" t="n">
        <v>44703</v>
      </c>
      <c r="M631" s="23" t="n">
        <v>0.442361111111111</v>
      </c>
      <c r="O631" s="1" t="s">
        <v>566</v>
      </c>
      <c r="P631" s="16" t="s">
        <v>561</v>
      </c>
      <c r="Q631" s="16" t="s">
        <v>562</v>
      </c>
      <c r="R631" s="16" t="s">
        <v>563</v>
      </c>
      <c r="S631" s="4" t="s">
        <v>409</v>
      </c>
      <c r="T631" s="24" t="n">
        <v>256</v>
      </c>
      <c r="U631" s="18" t="n">
        <v>4</v>
      </c>
      <c r="V631" s="24" t="n">
        <v>0.44</v>
      </c>
      <c r="W631" s="2" t="n">
        <v>0.5</v>
      </c>
      <c r="Z631" s="18"/>
      <c r="AA631" s="20"/>
      <c r="AB631" s="20"/>
      <c r="AC631" s="19" t="e">
        <f aca="false">(AB631-AA631)/AB631</f>
        <v>#DIV/0!</v>
      </c>
    </row>
    <row r="632" customFormat="false" ht="14.25" hidden="false" customHeight="true" outlineLevel="0" collapsed="false">
      <c r="A632" s="18" t="s">
        <v>559</v>
      </c>
      <c r="B632" s="18" t="s">
        <v>559</v>
      </c>
      <c r="C632" s="18" t="s">
        <v>40</v>
      </c>
      <c r="E632" s="2" t="n">
        <f aca="false">INDEX(FieldSites!F:F, MATCH(Ch2_FieldSurvey!B632,FieldSites!C:C,0))</f>
        <v>1679</v>
      </c>
      <c r="F632" s="2" t="n">
        <f aca="false">INDEX(FieldSites!G:G, MATCH(Ch2_FieldSurvey!B632,FieldSites!C:C,0))</f>
        <v>-120.094614</v>
      </c>
      <c r="G632" s="2" t="n">
        <f aca="false">INDEX(FieldSites!H:H, MATCH(Ch2_FieldSurvey!B632,FieldSites!C:C,0))</f>
        <v>38.136194</v>
      </c>
      <c r="H632" s="18" t="n">
        <v>3</v>
      </c>
      <c r="I632" s="21" t="str">
        <f aca="false">CONCATENATE(B632,"_",C632,H632)</f>
        <v>SDSB_M. guttatus3</v>
      </c>
      <c r="J632" s="22" t="n">
        <v>44702</v>
      </c>
      <c r="K632" s="23" t="n">
        <v>0.622222222222222</v>
      </c>
      <c r="L632" s="22" t="n">
        <v>44703</v>
      </c>
      <c r="M632" s="23" t="n">
        <v>0.442361111111111</v>
      </c>
      <c r="O632" s="1" t="s">
        <v>566</v>
      </c>
      <c r="P632" s="16" t="s">
        <v>561</v>
      </c>
      <c r="Q632" s="16" t="s">
        <v>562</v>
      </c>
      <c r="R632" s="16" t="s">
        <v>563</v>
      </c>
      <c r="S632" s="4" t="s">
        <v>409</v>
      </c>
      <c r="T632" s="24" t="n">
        <v>365</v>
      </c>
      <c r="U632" s="18" t="n">
        <v>3.3</v>
      </c>
      <c r="V632" s="24" t="n">
        <v>0.34</v>
      </c>
      <c r="W632" s="2" t="n">
        <v>0.6</v>
      </c>
      <c r="Z632" s="18"/>
      <c r="AA632" s="20"/>
      <c r="AB632" s="20"/>
      <c r="AC632" s="19" t="e">
        <f aca="false">(AB632-AA632)/AB632</f>
        <v>#DIV/0!</v>
      </c>
    </row>
    <row r="633" customFormat="false" ht="14.25" hidden="false" customHeight="true" outlineLevel="0" collapsed="false">
      <c r="A633" s="18" t="s">
        <v>559</v>
      </c>
      <c r="B633" s="18" t="s">
        <v>559</v>
      </c>
      <c r="C633" s="18" t="s">
        <v>40</v>
      </c>
      <c r="E633" s="2" t="n">
        <f aca="false">INDEX(FieldSites!F:F, MATCH(Ch2_FieldSurvey!B633,FieldSites!C:C,0))</f>
        <v>1679</v>
      </c>
      <c r="F633" s="2" t="n">
        <f aca="false">INDEX(FieldSites!G:G, MATCH(Ch2_FieldSurvey!B633,FieldSites!C:C,0))</f>
        <v>-120.094614</v>
      </c>
      <c r="G633" s="2" t="n">
        <f aca="false">INDEX(FieldSites!H:H, MATCH(Ch2_FieldSurvey!B633,FieldSites!C:C,0))</f>
        <v>38.136194</v>
      </c>
      <c r="H633" s="18" t="n">
        <v>4</v>
      </c>
      <c r="I633" s="21" t="str">
        <f aca="false">CONCATENATE(B633,"_",C633,H633)</f>
        <v>SDSB_M. guttatus4</v>
      </c>
      <c r="J633" s="22" t="n">
        <v>44702</v>
      </c>
      <c r="K633" s="23" t="n">
        <v>0.622222222222222</v>
      </c>
      <c r="L633" s="22" t="n">
        <v>44703</v>
      </c>
      <c r="M633" s="23" t="n">
        <v>0.447916666666667</v>
      </c>
      <c r="O633" s="1" t="s">
        <v>567</v>
      </c>
      <c r="P633" s="16" t="s">
        <v>561</v>
      </c>
      <c r="Q633" s="16" t="s">
        <v>562</v>
      </c>
      <c r="R633" s="16" t="s">
        <v>563</v>
      </c>
      <c r="S633" s="4" t="s">
        <v>568</v>
      </c>
      <c r="T633" s="24" t="n">
        <v>301</v>
      </c>
      <c r="U633" s="18" t="n">
        <v>5.1</v>
      </c>
      <c r="V633" s="24" t="n">
        <v>0.35</v>
      </c>
      <c r="W633" s="2" t="n">
        <v>0.4</v>
      </c>
      <c r="Z633" s="18"/>
      <c r="AA633" s="20" t="n">
        <v>358443</v>
      </c>
      <c r="AB633" s="20" t="n">
        <v>434375</v>
      </c>
      <c r="AC633" s="19" t="n">
        <f aca="false">(AB633-AA633)/AB633</f>
        <v>0.174807482014388</v>
      </c>
    </row>
    <row r="634" customFormat="false" ht="14.25" hidden="false" customHeight="true" outlineLevel="0" collapsed="false">
      <c r="A634" s="18" t="s">
        <v>559</v>
      </c>
      <c r="B634" s="18" t="s">
        <v>559</v>
      </c>
      <c r="C634" s="18" t="s">
        <v>40</v>
      </c>
      <c r="E634" s="2" t="n">
        <f aca="false">INDEX(FieldSites!F:F, MATCH(Ch2_FieldSurvey!B634,FieldSites!C:C,0))</f>
        <v>1679</v>
      </c>
      <c r="F634" s="2" t="n">
        <f aca="false">INDEX(FieldSites!G:G, MATCH(Ch2_FieldSurvey!B634,FieldSites!C:C,0))</f>
        <v>-120.094614</v>
      </c>
      <c r="G634" s="2" t="n">
        <f aca="false">INDEX(FieldSites!H:H, MATCH(Ch2_FieldSurvey!B634,FieldSites!C:C,0))</f>
        <v>38.136194</v>
      </c>
      <c r="H634" s="18" t="n">
        <v>4</v>
      </c>
      <c r="I634" s="21" t="str">
        <f aca="false">CONCATENATE(B634,"_",C634,H634)</f>
        <v>SDSB_M. guttatus4</v>
      </c>
      <c r="J634" s="22" t="n">
        <v>44702</v>
      </c>
      <c r="K634" s="23" t="n">
        <v>0.622222222222222</v>
      </c>
      <c r="L634" s="22" t="n">
        <v>44703</v>
      </c>
      <c r="M634" s="23" t="n">
        <v>0.447916666666667</v>
      </c>
      <c r="O634" s="1" t="s">
        <v>567</v>
      </c>
      <c r="P634" s="16" t="s">
        <v>561</v>
      </c>
      <c r="Q634" s="16" t="s">
        <v>562</v>
      </c>
      <c r="R634" s="16" t="s">
        <v>563</v>
      </c>
      <c r="S634" s="4" t="s">
        <v>568</v>
      </c>
      <c r="T634" s="24" t="n">
        <v>450</v>
      </c>
      <c r="U634" s="18" t="n">
        <v>4.7</v>
      </c>
      <c r="V634" s="24" t="n">
        <v>0.31</v>
      </c>
      <c r="W634" s="2" t="n">
        <v>0.5</v>
      </c>
      <c r="Z634" s="18"/>
      <c r="AA634" s="20"/>
      <c r="AB634" s="20"/>
      <c r="AC634" s="19" t="e">
        <f aca="false">(AB634-AA634)/AB634</f>
        <v>#DIV/0!</v>
      </c>
    </row>
    <row r="635" customFormat="false" ht="14.25" hidden="false" customHeight="true" outlineLevel="0" collapsed="false">
      <c r="A635" s="18" t="s">
        <v>559</v>
      </c>
      <c r="B635" s="18" t="s">
        <v>559</v>
      </c>
      <c r="C635" s="18" t="s">
        <v>40</v>
      </c>
      <c r="E635" s="2" t="n">
        <f aca="false">INDEX(FieldSites!F:F, MATCH(Ch2_FieldSurvey!B635,FieldSites!C:C,0))</f>
        <v>1679</v>
      </c>
      <c r="F635" s="2" t="n">
        <f aca="false">INDEX(FieldSites!G:G, MATCH(Ch2_FieldSurvey!B635,FieldSites!C:C,0))</f>
        <v>-120.094614</v>
      </c>
      <c r="G635" s="2" t="n">
        <f aca="false">INDEX(FieldSites!H:H, MATCH(Ch2_FieldSurvey!B635,FieldSites!C:C,0))</f>
        <v>38.136194</v>
      </c>
      <c r="H635" s="18" t="n">
        <v>4</v>
      </c>
      <c r="I635" s="21" t="str">
        <f aca="false">CONCATENATE(B635,"_",C635,H635)</f>
        <v>SDSB_M. guttatus4</v>
      </c>
      <c r="J635" s="22" t="n">
        <v>44702</v>
      </c>
      <c r="K635" s="23" t="n">
        <v>0.622222222222222</v>
      </c>
      <c r="L635" s="22" t="n">
        <v>44703</v>
      </c>
      <c r="M635" s="23" t="n">
        <v>0.447916666666667</v>
      </c>
      <c r="O635" s="1" t="s">
        <v>567</v>
      </c>
      <c r="P635" s="16" t="s">
        <v>561</v>
      </c>
      <c r="Q635" s="16" t="s">
        <v>562</v>
      </c>
      <c r="R635" s="16" t="s">
        <v>563</v>
      </c>
      <c r="S635" s="4" t="s">
        <v>568</v>
      </c>
      <c r="T635" s="24" t="n">
        <v>362</v>
      </c>
      <c r="U635" s="18" t="n">
        <v>4.2</v>
      </c>
      <c r="V635" s="24" t="n">
        <v>0.31</v>
      </c>
      <c r="W635" s="2" t="n">
        <v>0.4</v>
      </c>
      <c r="Z635" s="18"/>
      <c r="AA635" s="20"/>
      <c r="AB635" s="20"/>
      <c r="AC635" s="19" t="e">
        <f aca="false">(AB635-AA635)/AB635</f>
        <v>#DIV/0!</v>
      </c>
    </row>
    <row r="636" customFormat="false" ht="14.25" hidden="false" customHeight="true" outlineLevel="0" collapsed="false">
      <c r="A636" s="18" t="s">
        <v>559</v>
      </c>
      <c r="B636" s="18" t="s">
        <v>559</v>
      </c>
      <c r="C636" s="18" t="s">
        <v>40</v>
      </c>
      <c r="E636" s="2" t="n">
        <f aca="false">INDEX(FieldSites!F:F, MATCH(Ch2_FieldSurvey!B636,FieldSites!C:C,0))</f>
        <v>1679</v>
      </c>
      <c r="F636" s="2" t="n">
        <f aca="false">INDEX(FieldSites!G:G, MATCH(Ch2_FieldSurvey!B636,FieldSites!C:C,0))</f>
        <v>-120.094614</v>
      </c>
      <c r="G636" s="2" t="n">
        <f aca="false">INDEX(FieldSites!H:H, MATCH(Ch2_FieldSurvey!B636,FieldSites!C:C,0))</f>
        <v>38.136194</v>
      </c>
      <c r="H636" s="18" t="n">
        <v>5</v>
      </c>
      <c r="I636" s="21" t="str">
        <f aca="false">CONCATENATE(B636,"_",C636,H636)</f>
        <v>SDSB_M. guttatus5</v>
      </c>
      <c r="J636" s="22" t="n">
        <v>44702</v>
      </c>
      <c r="K636" s="23" t="n">
        <v>0.622222222222222</v>
      </c>
      <c r="L636" s="22" t="n">
        <v>44703</v>
      </c>
      <c r="M636" s="23" t="n">
        <v>0.453472222222222</v>
      </c>
      <c r="O636" s="1" t="s">
        <v>569</v>
      </c>
      <c r="P636" s="16" t="s">
        <v>561</v>
      </c>
      <c r="Q636" s="16" t="s">
        <v>562</v>
      </c>
      <c r="R636" s="16" t="s">
        <v>563</v>
      </c>
      <c r="S636" s="4" t="s">
        <v>570</v>
      </c>
      <c r="T636" s="24" t="n">
        <v>309</v>
      </c>
      <c r="U636" s="18" t="n">
        <v>3.9</v>
      </c>
      <c r="V636" s="24" t="n">
        <v>0.29</v>
      </c>
      <c r="W636" s="2" t="n">
        <v>0.5</v>
      </c>
      <c r="Z636" s="18"/>
      <c r="AA636" s="20" t="n">
        <v>162096</v>
      </c>
      <c r="AB636" s="20" t="n">
        <v>194052</v>
      </c>
      <c r="AC636" s="19" t="n">
        <f aca="false">(AB636-AA636)/AB636</f>
        <v>0.164677509121266</v>
      </c>
    </row>
    <row r="637" customFormat="false" ht="14.25" hidden="false" customHeight="true" outlineLevel="0" collapsed="false">
      <c r="A637" s="18" t="s">
        <v>559</v>
      </c>
      <c r="B637" s="18" t="s">
        <v>559</v>
      </c>
      <c r="C637" s="18" t="s">
        <v>40</v>
      </c>
      <c r="E637" s="2" t="n">
        <f aca="false">INDEX(FieldSites!F:F, MATCH(Ch2_FieldSurvey!B637,FieldSites!C:C,0))</f>
        <v>1679</v>
      </c>
      <c r="F637" s="2" t="n">
        <f aca="false">INDEX(FieldSites!G:G, MATCH(Ch2_FieldSurvey!B637,FieldSites!C:C,0))</f>
        <v>-120.094614</v>
      </c>
      <c r="G637" s="2" t="n">
        <f aca="false">INDEX(FieldSites!H:H, MATCH(Ch2_FieldSurvey!B637,FieldSites!C:C,0))</f>
        <v>38.136194</v>
      </c>
      <c r="H637" s="18" t="n">
        <v>5</v>
      </c>
      <c r="I637" s="21" t="str">
        <f aca="false">CONCATENATE(B637,"_",C637,H637)</f>
        <v>SDSB_M. guttatus5</v>
      </c>
      <c r="J637" s="22" t="n">
        <v>44702</v>
      </c>
      <c r="K637" s="23" t="n">
        <v>0.622222222222222</v>
      </c>
      <c r="L637" s="22" t="n">
        <v>44703</v>
      </c>
      <c r="M637" s="23" t="n">
        <v>0.453472222222222</v>
      </c>
      <c r="O637" s="1" t="s">
        <v>569</v>
      </c>
      <c r="P637" s="16" t="s">
        <v>561</v>
      </c>
      <c r="Q637" s="16" t="s">
        <v>562</v>
      </c>
      <c r="R637" s="16" t="s">
        <v>563</v>
      </c>
      <c r="S637" s="4" t="s">
        <v>570</v>
      </c>
      <c r="T637" s="24" t="n">
        <v>307</v>
      </c>
      <c r="U637" s="18" t="n">
        <v>3.4</v>
      </c>
      <c r="V637" s="24" t="n">
        <v>0.23</v>
      </c>
      <c r="W637" s="2" t="n">
        <v>0.6</v>
      </c>
      <c r="Z637" s="18"/>
      <c r="AA637" s="20"/>
      <c r="AB637" s="20"/>
      <c r="AC637" s="19" t="e">
        <f aca="false">(AB637-AA637)/AB637</f>
        <v>#DIV/0!</v>
      </c>
    </row>
    <row r="638" customFormat="false" ht="14.25" hidden="false" customHeight="true" outlineLevel="0" collapsed="false">
      <c r="A638" s="18" t="s">
        <v>559</v>
      </c>
      <c r="B638" s="18" t="s">
        <v>559</v>
      </c>
      <c r="C638" s="18" t="s">
        <v>40</v>
      </c>
      <c r="E638" s="2" t="n">
        <f aca="false">INDEX(FieldSites!F:F, MATCH(Ch2_FieldSurvey!B638,FieldSites!C:C,0))</f>
        <v>1679</v>
      </c>
      <c r="F638" s="2" t="n">
        <f aca="false">INDEX(FieldSites!G:G, MATCH(Ch2_FieldSurvey!B638,FieldSites!C:C,0))</f>
        <v>-120.094614</v>
      </c>
      <c r="G638" s="2" t="n">
        <f aca="false">INDEX(FieldSites!H:H, MATCH(Ch2_FieldSurvey!B638,FieldSites!C:C,0))</f>
        <v>38.136194</v>
      </c>
      <c r="H638" s="18" t="n">
        <v>5</v>
      </c>
      <c r="I638" s="21" t="str">
        <f aca="false">CONCATENATE(B638,"_",C638,H638)</f>
        <v>SDSB_M. guttatus5</v>
      </c>
      <c r="J638" s="22" t="n">
        <v>44702</v>
      </c>
      <c r="K638" s="23" t="n">
        <v>0.622222222222222</v>
      </c>
      <c r="L638" s="22" t="n">
        <v>44703</v>
      </c>
      <c r="M638" s="23" t="n">
        <v>0.453472222222222</v>
      </c>
      <c r="O638" s="1" t="s">
        <v>569</v>
      </c>
      <c r="P638" s="16" t="s">
        <v>561</v>
      </c>
      <c r="Q638" s="16" t="s">
        <v>562</v>
      </c>
      <c r="R638" s="16" t="s">
        <v>563</v>
      </c>
      <c r="S638" s="4" t="s">
        <v>570</v>
      </c>
      <c r="T638" s="24" t="n">
        <v>230</v>
      </c>
      <c r="U638" s="18" t="n">
        <v>3.8</v>
      </c>
      <c r="V638" s="24" t="n">
        <v>0.31</v>
      </c>
      <c r="W638" s="2" t="n">
        <v>0.4</v>
      </c>
      <c r="Z638" s="18"/>
      <c r="AA638" s="20"/>
      <c r="AB638" s="20"/>
      <c r="AC638" s="19" t="e">
        <f aca="false">(AB638-AA638)/AB638</f>
        <v>#DIV/0!</v>
      </c>
    </row>
    <row r="639" customFormat="false" ht="14.25" hidden="false" customHeight="true" outlineLevel="0" collapsed="false">
      <c r="A639" s="18" t="s">
        <v>559</v>
      </c>
      <c r="B639" s="18" t="s">
        <v>559</v>
      </c>
      <c r="C639" s="18" t="s">
        <v>40</v>
      </c>
      <c r="E639" s="2" t="n">
        <f aca="false">INDEX(FieldSites!F:F, MATCH(Ch2_FieldSurvey!B639,FieldSites!C:C,0))</f>
        <v>1679</v>
      </c>
      <c r="F639" s="2" t="n">
        <f aca="false">INDEX(FieldSites!G:G, MATCH(Ch2_FieldSurvey!B639,FieldSites!C:C,0))</f>
        <v>-120.094614</v>
      </c>
      <c r="G639" s="2" t="n">
        <f aca="false">INDEX(FieldSites!H:H, MATCH(Ch2_FieldSurvey!B639,FieldSites!C:C,0))</f>
        <v>38.136194</v>
      </c>
      <c r="H639" s="18" t="n">
        <v>6</v>
      </c>
      <c r="I639" s="21" t="str">
        <f aca="false">CONCATENATE(B639,"_",C639,H639)</f>
        <v>SDSB_M. guttatus6</v>
      </c>
      <c r="J639" s="22" t="n">
        <v>44702</v>
      </c>
      <c r="K639" s="23" t="n">
        <v>0.622222222222222</v>
      </c>
      <c r="L639" s="22" t="n">
        <v>44703</v>
      </c>
      <c r="M639" s="23" t="n">
        <v>0.457638888888889</v>
      </c>
      <c r="O639" s="1" t="s">
        <v>571</v>
      </c>
      <c r="P639" s="16" t="s">
        <v>561</v>
      </c>
      <c r="Q639" s="16" t="s">
        <v>562</v>
      </c>
      <c r="R639" s="16" t="s">
        <v>563</v>
      </c>
      <c r="S639" s="4" t="s">
        <v>572</v>
      </c>
      <c r="T639" s="24" t="n">
        <v>285</v>
      </c>
      <c r="U639" s="18" t="n">
        <v>3.8</v>
      </c>
      <c r="V639" s="24" t="n">
        <v>0.29</v>
      </c>
      <c r="W639" s="2" t="n">
        <v>0.4</v>
      </c>
      <c r="Z639" s="18"/>
      <c r="AA639" s="20" t="n">
        <v>162680</v>
      </c>
      <c r="AB639" s="20" t="n">
        <v>184438</v>
      </c>
      <c r="AC639" s="19" t="n">
        <f aca="false">(AB639-AA639)/AB639</f>
        <v>0.117969182055759</v>
      </c>
    </row>
    <row r="640" customFormat="false" ht="14.25" hidden="false" customHeight="true" outlineLevel="0" collapsed="false">
      <c r="A640" s="18" t="s">
        <v>559</v>
      </c>
      <c r="B640" s="18" t="s">
        <v>559</v>
      </c>
      <c r="C640" s="18" t="s">
        <v>40</v>
      </c>
      <c r="E640" s="2" t="n">
        <f aca="false">INDEX(FieldSites!F:F, MATCH(Ch2_FieldSurvey!B640,FieldSites!C:C,0))</f>
        <v>1679</v>
      </c>
      <c r="F640" s="2" t="n">
        <f aca="false">INDEX(FieldSites!G:G, MATCH(Ch2_FieldSurvey!B640,FieldSites!C:C,0))</f>
        <v>-120.094614</v>
      </c>
      <c r="G640" s="2" t="n">
        <f aca="false">INDEX(FieldSites!H:H, MATCH(Ch2_FieldSurvey!B640,FieldSites!C:C,0))</f>
        <v>38.136194</v>
      </c>
      <c r="H640" s="18" t="n">
        <v>6</v>
      </c>
      <c r="I640" s="21" t="str">
        <f aca="false">CONCATENATE(B640,"_",C640,H640)</f>
        <v>SDSB_M. guttatus6</v>
      </c>
      <c r="J640" s="22" t="n">
        <v>44702</v>
      </c>
      <c r="K640" s="23" t="n">
        <v>0.622222222222222</v>
      </c>
      <c r="L640" s="22" t="n">
        <v>44703</v>
      </c>
      <c r="M640" s="23" t="n">
        <v>0.457638888888889</v>
      </c>
      <c r="O640" s="1" t="s">
        <v>571</v>
      </c>
      <c r="P640" s="16" t="s">
        <v>561</v>
      </c>
      <c r="Q640" s="16" t="s">
        <v>562</v>
      </c>
      <c r="R640" s="16" t="s">
        <v>563</v>
      </c>
      <c r="S640" s="4" t="s">
        <v>572</v>
      </c>
      <c r="T640" s="24" t="n">
        <v>255</v>
      </c>
      <c r="U640" s="18" t="n">
        <v>4.7</v>
      </c>
      <c r="V640" s="24" t="n">
        <v>0.32</v>
      </c>
      <c r="W640" s="2" t="n">
        <v>0.3</v>
      </c>
      <c r="Z640" s="18"/>
      <c r="AA640" s="20"/>
      <c r="AB640" s="20"/>
      <c r="AC640" s="19" t="e">
        <f aca="false">(AB640-AA640)/AB640</f>
        <v>#DIV/0!</v>
      </c>
    </row>
    <row r="641" customFormat="false" ht="14.25" hidden="false" customHeight="true" outlineLevel="0" collapsed="false">
      <c r="A641" s="18" t="s">
        <v>559</v>
      </c>
      <c r="B641" s="18" t="s">
        <v>559</v>
      </c>
      <c r="C641" s="18" t="s">
        <v>40</v>
      </c>
      <c r="E641" s="2" t="n">
        <f aca="false">INDEX(FieldSites!F:F, MATCH(Ch2_FieldSurvey!B641,FieldSites!C:C,0))</f>
        <v>1679</v>
      </c>
      <c r="F641" s="2" t="n">
        <f aca="false">INDEX(FieldSites!G:G, MATCH(Ch2_FieldSurvey!B641,FieldSites!C:C,0))</f>
        <v>-120.094614</v>
      </c>
      <c r="G641" s="2" t="n">
        <f aca="false">INDEX(FieldSites!H:H, MATCH(Ch2_FieldSurvey!B641,FieldSites!C:C,0))</f>
        <v>38.136194</v>
      </c>
      <c r="H641" s="18" t="n">
        <v>6</v>
      </c>
      <c r="I641" s="21" t="str">
        <f aca="false">CONCATENATE(B641,"_",C641,H641)</f>
        <v>SDSB_M. guttatus6</v>
      </c>
      <c r="J641" s="22" t="n">
        <v>44702</v>
      </c>
      <c r="K641" s="23" t="n">
        <v>0.622222222222222</v>
      </c>
      <c r="L641" s="22" t="n">
        <v>44703</v>
      </c>
      <c r="M641" s="23" t="n">
        <v>0.457638888888889</v>
      </c>
      <c r="O641" s="1" t="s">
        <v>571</v>
      </c>
      <c r="P641" s="16" t="s">
        <v>561</v>
      </c>
      <c r="Q641" s="16" t="s">
        <v>562</v>
      </c>
      <c r="R641" s="16" t="s">
        <v>563</v>
      </c>
      <c r="S641" s="4" t="s">
        <v>572</v>
      </c>
      <c r="T641" s="24" t="n">
        <v>275</v>
      </c>
      <c r="U641" s="18" t="n">
        <v>3.3</v>
      </c>
      <c r="V641" s="24" t="n">
        <v>0.29</v>
      </c>
      <c r="W641" s="2" t="n">
        <v>0.3</v>
      </c>
      <c r="Z641" s="18"/>
      <c r="AA641" s="20"/>
      <c r="AB641" s="20"/>
      <c r="AC641" s="19" t="e">
        <f aca="false">(AB641-AA641)/AB641</f>
        <v>#DIV/0!</v>
      </c>
    </row>
    <row r="642" customFormat="false" ht="14.25" hidden="false" customHeight="true" outlineLevel="0" collapsed="false">
      <c r="A642" s="18" t="s">
        <v>559</v>
      </c>
      <c r="B642" s="18" t="s">
        <v>559</v>
      </c>
      <c r="C642" s="18" t="s">
        <v>40</v>
      </c>
      <c r="E642" s="2" t="n">
        <f aca="false">INDEX(FieldSites!F:F, MATCH(Ch2_FieldSurvey!B642,FieldSites!C:C,0))</f>
        <v>1679</v>
      </c>
      <c r="F642" s="2" t="n">
        <f aca="false">INDEX(FieldSites!G:G, MATCH(Ch2_FieldSurvey!B642,FieldSites!C:C,0))</f>
        <v>-120.094614</v>
      </c>
      <c r="G642" s="2" t="n">
        <f aca="false">INDEX(FieldSites!H:H, MATCH(Ch2_FieldSurvey!B642,FieldSites!C:C,0))</f>
        <v>38.136194</v>
      </c>
      <c r="H642" s="18" t="n">
        <v>7</v>
      </c>
      <c r="I642" s="21" t="str">
        <f aca="false">CONCATENATE(B642,"_",C642,H642)</f>
        <v>SDSB_M. guttatus7</v>
      </c>
      <c r="J642" s="22" t="n">
        <v>44702</v>
      </c>
      <c r="K642" s="23" t="n">
        <v>0.622222222222222</v>
      </c>
      <c r="L642" s="22" t="n">
        <v>44703</v>
      </c>
      <c r="M642" s="23" t="n">
        <v>0.4625</v>
      </c>
      <c r="O642" s="1" t="s">
        <v>573</v>
      </c>
      <c r="P642" s="16" t="s">
        <v>561</v>
      </c>
      <c r="Q642" s="16" t="s">
        <v>562</v>
      </c>
      <c r="R642" s="16" t="s">
        <v>563</v>
      </c>
      <c r="S642" s="4" t="s">
        <v>574</v>
      </c>
      <c r="T642" s="24" t="n">
        <v>289</v>
      </c>
      <c r="U642" s="18" t="n">
        <v>2.8</v>
      </c>
      <c r="V642" s="24" t="n">
        <v>0.39</v>
      </c>
      <c r="W642" s="2" t="n">
        <v>0.6</v>
      </c>
      <c r="Z642" s="18"/>
      <c r="AA642" s="20" t="n">
        <v>168951</v>
      </c>
      <c r="AB642" s="20" t="n">
        <v>201403</v>
      </c>
      <c r="AC642" s="19" t="n">
        <f aca="false">(AB642-AA642)/AB642</f>
        <v>0.161129675327577</v>
      </c>
    </row>
    <row r="643" customFormat="false" ht="14.25" hidden="false" customHeight="true" outlineLevel="0" collapsed="false">
      <c r="A643" s="18" t="s">
        <v>559</v>
      </c>
      <c r="B643" s="18" t="s">
        <v>559</v>
      </c>
      <c r="C643" s="18" t="s">
        <v>40</v>
      </c>
      <c r="E643" s="2" t="n">
        <f aca="false">INDEX(FieldSites!F:F, MATCH(Ch2_FieldSurvey!B643,FieldSites!C:C,0))</f>
        <v>1679</v>
      </c>
      <c r="F643" s="2" t="n">
        <f aca="false">INDEX(FieldSites!G:G, MATCH(Ch2_FieldSurvey!B643,FieldSites!C:C,0))</f>
        <v>-120.094614</v>
      </c>
      <c r="G643" s="2" t="n">
        <f aca="false">INDEX(FieldSites!H:H, MATCH(Ch2_FieldSurvey!B643,FieldSites!C:C,0))</f>
        <v>38.136194</v>
      </c>
      <c r="H643" s="18" t="n">
        <v>7</v>
      </c>
      <c r="I643" s="21" t="str">
        <f aca="false">CONCATENATE(B643,"_",C643,H643)</f>
        <v>SDSB_M. guttatus7</v>
      </c>
      <c r="J643" s="22" t="n">
        <v>44702</v>
      </c>
      <c r="K643" s="23" t="n">
        <v>0.622222222222222</v>
      </c>
      <c r="L643" s="22" t="n">
        <v>44703</v>
      </c>
      <c r="M643" s="23" t="n">
        <v>0.4625</v>
      </c>
      <c r="O643" s="1" t="s">
        <v>573</v>
      </c>
      <c r="P643" s="16" t="s">
        <v>561</v>
      </c>
      <c r="Q643" s="16" t="s">
        <v>562</v>
      </c>
      <c r="R643" s="16" t="s">
        <v>563</v>
      </c>
      <c r="S643" s="4" t="s">
        <v>574</v>
      </c>
      <c r="T643" s="24" t="n">
        <v>284</v>
      </c>
      <c r="U643" s="18" t="n">
        <v>2.5</v>
      </c>
      <c r="V643" s="24" t="n">
        <v>0.38</v>
      </c>
      <c r="W643" s="2" t="n">
        <v>0.6</v>
      </c>
      <c r="Z643" s="18"/>
      <c r="AA643" s="20"/>
      <c r="AB643" s="20"/>
      <c r="AC643" s="19" t="e">
        <f aca="false">(AB643-AA643)/AB643</f>
        <v>#DIV/0!</v>
      </c>
    </row>
    <row r="644" customFormat="false" ht="14.25" hidden="false" customHeight="true" outlineLevel="0" collapsed="false">
      <c r="A644" s="18" t="s">
        <v>559</v>
      </c>
      <c r="B644" s="18" t="s">
        <v>559</v>
      </c>
      <c r="C644" s="18" t="s">
        <v>40</v>
      </c>
      <c r="E644" s="2" t="n">
        <f aca="false">INDEX(FieldSites!F:F, MATCH(Ch2_FieldSurvey!B644,FieldSites!C:C,0))</f>
        <v>1679</v>
      </c>
      <c r="F644" s="2" t="n">
        <f aca="false">INDEX(FieldSites!G:G, MATCH(Ch2_FieldSurvey!B644,FieldSites!C:C,0))</f>
        <v>-120.094614</v>
      </c>
      <c r="G644" s="2" t="n">
        <f aca="false">INDEX(FieldSites!H:H, MATCH(Ch2_FieldSurvey!B644,FieldSites!C:C,0))</f>
        <v>38.136194</v>
      </c>
      <c r="H644" s="18" t="n">
        <v>7</v>
      </c>
      <c r="I644" s="21" t="str">
        <f aca="false">CONCATENATE(B644,"_",C644,H644)</f>
        <v>SDSB_M. guttatus7</v>
      </c>
      <c r="J644" s="22" t="n">
        <v>44702</v>
      </c>
      <c r="K644" s="23" t="n">
        <v>0.622222222222222</v>
      </c>
      <c r="L644" s="22" t="n">
        <v>44703</v>
      </c>
      <c r="M644" s="23" t="n">
        <v>0.4625</v>
      </c>
      <c r="O644" s="1" t="s">
        <v>573</v>
      </c>
      <c r="P644" s="16" t="s">
        <v>561</v>
      </c>
      <c r="Q644" s="16" t="s">
        <v>562</v>
      </c>
      <c r="R644" s="16" t="s">
        <v>563</v>
      </c>
      <c r="S644" s="4" t="s">
        <v>574</v>
      </c>
      <c r="T644" s="24" t="n">
        <v>243</v>
      </c>
      <c r="U644" s="18" t="n">
        <v>2.9</v>
      </c>
      <c r="V644" s="24" t="n">
        <v>0.43</v>
      </c>
      <c r="W644" s="2" t="n">
        <v>0.5</v>
      </c>
      <c r="Z644" s="18"/>
      <c r="AA644" s="20"/>
      <c r="AB644" s="20"/>
      <c r="AC644" s="19" t="e">
        <f aca="false">(AB644-AA644)/AB644</f>
        <v>#DIV/0!</v>
      </c>
    </row>
    <row r="645" customFormat="false" ht="14.25" hidden="false" customHeight="true" outlineLevel="0" collapsed="false">
      <c r="A645" s="18" t="s">
        <v>559</v>
      </c>
      <c r="B645" s="18" t="s">
        <v>559</v>
      </c>
      <c r="C645" s="18" t="s">
        <v>40</v>
      </c>
      <c r="E645" s="2" t="n">
        <f aca="false">INDEX(FieldSites!F:F, MATCH(Ch2_FieldSurvey!B645,FieldSites!C:C,0))</f>
        <v>1679</v>
      </c>
      <c r="F645" s="2" t="n">
        <f aca="false">INDEX(FieldSites!G:G, MATCH(Ch2_FieldSurvey!B645,FieldSites!C:C,0))</f>
        <v>-120.094614</v>
      </c>
      <c r="G645" s="2" t="n">
        <f aca="false">INDEX(FieldSites!H:H, MATCH(Ch2_FieldSurvey!B645,FieldSites!C:C,0))</f>
        <v>38.136194</v>
      </c>
      <c r="H645" s="18" t="n">
        <v>8</v>
      </c>
      <c r="I645" s="21" t="str">
        <f aca="false">CONCATENATE(B645,"_",C645,H645)</f>
        <v>SDSB_M. guttatus8</v>
      </c>
      <c r="J645" s="22" t="n">
        <v>44702</v>
      </c>
      <c r="K645" s="23" t="n">
        <v>0.622222222222222</v>
      </c>
      <c r="L645" s="22" t="n">
        <v>44703</v>
      </c>
      <c r="M645" s="23" t="n">
        <v>0.466666666666667</v>
      </c>
      <c r="O645" s="1" t="s">
        <v>575</v>
      </c>
      <c r="P645" s="16" t="s">
        <v>561</v>
      </c>
      <c r="Q645" s="16" t="s">
        <v>562</v>
      </c>
      <c r="R645" s="16" t="s">
        <v>563</v>
      </c>
      <c r="S645" s="4" t="s">
        <v>475</v>
      </c>
      <c r="T645" s="24" t="n">
        <v>350</v>
      </c>
      <c r="U645" s="18" t="n">
        <v>3.7</v>
      </c>
      <c r="V645" s="24" t="n">
        <v>0.43</v>
      </c>
      <c r="W645" s="2" t="n">
        <v>0.4</v>
      </c>
      <c r="Z645" s="18"/>
      <c r="AA645" s="20" t="n">
        <v>198621</v>
      </c>
      <c r="AB645" s="20" t="n">
        <v>236385</v>
      </c>
      <c r="AC645" s="19" t="n">
        <f aca="false">(AB645-AA645)/AB645</f>
        <v>0.159756329716353</v>
      </c>
    </row>
    <row r="646" customFormat="false" ht="14.25" hidden="false" customHeight="true" outlineLevel="0" collapsed="false">
      <c r="A646" s="18" t="s">
        <v>559</v>
      </c>
      <c r="B646" s="18" t="s">
        <v>559</v>
      </c>
      <c r="C646" s="18" t="s">
        <v>40</v>
      </c>
      <c r="E646" s="2" t="n">
        <f aca="false">INDEX(FieldSites!F:F, MATCH(Ch2_FieldSurvey!B646,FieldSites!C:C,0))</f>
        <v>1679</v>
      </c>
      <c r="F646" s="2" t="n">
        <f aca="false">INDEX(FieldSites!G:G, MATCH(Ch2_FieldSurvey!B646,FieldSites!C:C,0))</f>
        <v>-120.094614</v>
      </c>
      <c r="G646" s="2" t="n">
        <f aca="false">INDEX(FieldSites!H:H, MATCH(Ch2_FieldSurvey!B646,FieldSites!C:C,0))</f>
        <v>38.136194</v>
      </c>
      <c r="H646" s="18" t="n">
        <v>8</v>
      </c>
      <c r="I646" s="21" t="str">
        <f aca="false">CONCATENATE(B646,"_",C646,H646)</f>
        <v>SDSB_M. guttatus8</v>
      </c>
      <c r="J646" s="22" t="n">
        <v>44702</v>
      </c>
      <c r="K646" s="23" t="n">
        <v>0.622222222222222</v>
      </c>
      <c r="L646" s="22" t="n">
        <v>44703</v>
      </c>
      <c r="M646" s="23" t="n">
        <v>0.466666666666667</v>
      </c>
      <c r="O646" s="1" t="s">
        <v>575</v>
      </c>
      <c r="P646" s="16" t="s">
        <v>561</v>
      </c>
      <c r="Q646" s="16" t="s">
        <v>562</v>
      </c>
      <c r="R646" s="16" t="s">
        <v>563</v>
      </c>
      <c r="S646" s="4" t="s">
        <v>475</v>
      </c>
      <c r="T646" s="24" t="n">
        <v>272</v>
      </c>
      <c r="U646" s="18" t="n">
        <v>3.4</v>
      </c>
      <c r="V646" s="24" t="n">
        <v>0.37</v>
      </c>
      <c r="W646" s="2" t="n">
        <v>0.5</v>
      </c>
      <c r="Z646" s="18"/>
      <c r="AA646" s="20"/>
      <c r="AB646" s="20"/>
      <c r="AC646" s="19" t="e">
        <f aca="false">(AB646-AA646)/AB646</f>
        <v>#DIV/0!</v>
      </c>
    </row>
    <row r="647" customFormat="false" ht="14.25" hidden="false" customHeight="true" outlineLevel="0" collapsed="false">
      <c r="A647" s="18" t="s">
        <v>559</v>
      </c>
      <c r="B647" s="18" t="s">
        <v>559</v>
      </c>
      <c r="C647" s="18" t="s">
        <v>40</v>
      </c>
      <c r="E647" s="2" t="n">
        <f aca="false">INDEX(FieldSites!F:F, MATCH(Ch2_FieldSurvey!B647,FieldSites!C:C,0))</f>
        <v>1679</v>
      </c>
      <c r="F647" s="2" t="n">
        <f aca="false">INDEX(FieldSites!G:G, MATCH(Ch2_FieldSurvey!B647,FieldSites!C:C,0))</f>
        <v>-120.094614</v>
      </c>
      <c r="G647" s="2" t="n">
        <f aca="false">INDEX(FieldSites!H:H, MATCH(Ch2_FieldSurvey!B647,FieldSites!C:C,0))</f>
        <v>38.136194</v>
      </c>
      <c r="H647" s="18" t="n">
        <v>8</v>
      </c>
      <c r="I647" s="21" t="str">
        <f aca="false">CONCATENATE(B647,"_",C647,H647)</f>
        <v>SDSB_M. guttatus8</v>
      </c>
      <c r="J647" s="22" t="n">
        <v>44702</v>
      </c>
      <c r="K647" s="23" t="n">
        <v>0.622222222222222</v>
      </c>
      <c r="L647" s="22" t="n">
        <v>44703</v>
      </c>
      <c r="M647" s="23" t="n">
        <v>0.466666666666667</v>
      </c>
      <c r="O647" s="1" t="s">
        <v>575</v>
      </c>
      <c r="P647" s="16" t="s">
        <v>561</v>
      </c>
      <c r="Q647" s="16" t="s">
        <v>562</v>
      </c>
      <c r="R647" s="16" t="s">
        <v>563</v>
      </c>
      <c r="S647" s="4" t="s">
        <v>475</v>
      </c>
      <c r="T647" s="24" t="n">
        <v>335</v>
      </c>
      <c r="U647" s="18" t="n">
        <v>3.2</v>
      </c>
      <c r="V647" s="24" t="n">
        <v>0.4</v>
      </c>
      <c r="W647" s="2" t="n">
        <v>0.6</v>
      </c>
      <c r="Z647" s="18"/>
      <c r="AA647" s="20"/>
      <c r="AB647" s="20"/>
      <c r="AC647" s="19" t="e">
        <f aca="false">(AB647-AA647)/AB647</f>
        <v>#DIV/0!</v>
      </c>
    </row>
    <row r="648" customFormat="false" ht="14.25" hidden="false" customHeight="true" outlineLevel="0" collapsed="false">
      <c r="A648" s="18" t="s">
        <v>559</v>
      </c>
      <c r="B648" s="18" t="s">
        <v>559</v>
      </c>
      <c r="C648" s="18" t="s">
        <v>40</v>
      </c>
      <c r="E648" s="2" t="n">
        <f aca="false">INDEX(FieldSites!F:F, MATCH(Ch2_FieldSurvey!B648,FieldSites!C:C,0))</f>
        <v>1679</v>
      </c>
      <c r="F648" s="2" t="n">
        <f aca="false">INDEX(FieldSites!G:G, MATCH(Ch2_FieldSurvey!B648,FieldSites!C:C,0))</f>
        <v>-120.094614</v>
      </c>
      <c r="G648" s="2" t="n">
        <f aca="false">INDEX(FieldSites!H:H, MATCH(Ch2_FieldSurvey!B648,FieldSites!C:C,0))</f>
        <v>38.136194</v>
      </c>
      <c r="H648" s="18" t="n">
        <v>9</v>
      </c>
      <c r="I648" s="21" t="str">
        <f aca="false">CONCATENATE(B648,"_",C648,H648)</f>
        <v>SDSB_M. guttatus9</v>
      </c>
      <c r="J648" s="22" t="n">
        <v>44702</v>
      </c>
      <c r="K648" s="23" t="n">
        <v>0.622222222222222</v>
      </c>
      <c r="L648" s="22" t="n">
        <v>44703</v>
      </c>
      <c r="M648" s="23" t="n">
        <v>0.470833333333333</v>
      </c>
      <c r="O648" s="1" t="s">
        <v>576</v>
      </c>
      <c r="P648" s="16" t="s">
        <v>561</v>
      </c>
      <c r="Q648" s="16" t="s">
        <v>562</v>
      </c>
      <c r="R648" s="16" t="s">
        <v>563</v>
      </c>
      <c r="S648" s="4" t="s">
        <v>153</v>
      </c>
      <c r="T648" s="24" t="n">
        <v>316</v>
      </c>
      <c r="U648" s="18" t="n">
        <v>4.2</v>
      </c>
      <c r="V648" s="24" t="n">
        <v>0.36</v>
      </c>
      <c r="W648" s="2" t="n">
        <v>0.6</v>
      </c>
      <c r="Z648" s="18"/>
      <c r="AA648" s="20" t="n">
        <v>207327</v>
      </c>
      <c r="AB648" s="20" t="n">
        <v>239750</v>
      </c>
      <c r="AC648" s="19" t="n">
        <f aca="false">(AB648-AA648)/AB648</f>
        <v>0.135236704900938</v>
      </c>
    </row>
    <row r="649" customFormat="false" ht="14.25" hidden="false" customHeight="true" outlineLevel="0" collapsed="false">
      <c r="A649" s="18" t="s">
        <v>559</v>
      </c>
      <c r="B649" s="18" t="s">
        <v>559</v>
      </c>
      <c r="C649" s="18" t="s">
        <v>40</v>
      </c>
      <c r="E649" s="2" t="n">
        <f aca="false">INDEX(FieldSites!F:F, MATCH(Ch2_FieldSurvey!B649,FieldSites!C:C,0))</f>
        <v>1679</v>
      </c>
      <c r="F649" s="2" t="n">
        <f aca="false">INDEX(FieldSites!G:G, MATCH(Ch2_FieldSurvey!B649,FieldSites!C:C,0))</f>
        <v>-120.094614</v>
      </c>
      <c r="G649" s="2" t="n">
        <f aca="false">INDEX(FieldSites!H:H, MATCH(Ch2_FieldSurvey!B649,FieldSites!C:C,0))</f>
        <v>38.136194</v>
      </c>
      <c r="H649" s="18" t="n">
        <v>9</v>
      </c>
      <c r="I649" s="21" t="str">
        <f aca="false">CONCATENATE(B649,"_",C649,H649)</f>
        <v>SDSB_M. guttatus9</v>
      </c>
      <c r="J649" s="22" t="n">
        <v>44702</v>
      </c>
      <c r="K649" s="23" t="n">
        <v>0.622222222222222</v>
      </c>
      <c r="L649" s="22" t="n">
        <v>44703</v>
      </c>
      <c r="M649" s="23" t="n">
        <v>0.470833333333333</v>
      </c>
      <c r="O649" s="1" t="s">
        <v>576</v>
      </c>
      <c r="P649" s="16" t="s">
        <v>561</v>
      </c>
      <c r="Q649" s="16" t="s">
        <v>562</v>
      </c>
      <c r="R649" s="16" t="s">
        <v>563</v>
      </c>
      <c r="S649" s="4" t="s">
        <v>153</v>
      </c>
      <c r="T649" s="24" t="n">
        <v>269</v>
      </c>
      <c r="U649" s="18" t="n">
        <v>3.4</v>
      </c>
      <c r="V649" s="24" t="n">
        <v>0.47</v>
      </c>
      <c r="W649" s="2" t="n">
        <v>0.5</v>
      </c>
      <c r="Z649" s="18"/>
      <c r="AA649" s="20"/>
      <c r="AB649" s="20"/>
      <c r="AC649" s="19" t="e">
        <f aca="false">(AB649-AA649)/AB649</f>
        <v>#DIV/0!</v>
      </c>
    </row>
    <row r="650" customFormat="false" ht="14.25" hidden="false" customHeight="true" outlineLevel="0" collapsed="false">
      <c r="A650" s="18" t="s">
        <v>559</v>
      </c>
      <c r="B650" s="18" t="s">
        <v>559</v>
      </c>
      <c r="C650" s="18" t="s">
        <v>40</v>
      </c>
      <c r="E650" s="2" t="n">
        <f aca="false">INDEX(FieldSites!F:F, MATCH(Ch2_FieldSurvey!B650,FieldSites!C:C,0))</f>
        <v>1679</v>
      </c>
      <c r="F650" s="2" t="n">
        <f aca="false">INDEX(FieldSites!G:G, MATCH(Ch2_FieldSurvey!B650,FieldSites!C:C,0))</f>
        <v>-120.094614</v>
      </c>
      <c r="G650" s="2" t="n">
        <f aca="false">INDEX(FieldSites!H:H, MATCH(Ch2_FieldSurvey!B650,FieldSites!C:C,0))</f>
        <v>38.136194</v>
      </c>
      <c r="H650" s="18" t="n">
        <v>9</v>
      </c>
      <c r="I650" s="21" t="str">
        <f aca="false">CONCATENATE(B650,"_",C650,H650)</f>
        <v>SDSB_M. guttatus9</v>
      </c>
      <c r="J650" s="22" t="n">
        <v>44702</v>
      </c>
      <c r="K650" s="23" t="n">
        <v>0.622222222222222</v>
      </c>
      <c r="L650" s="22" t="n">
        <v>44703</v>
      </c>
      <c r="M650" s="23" t="n">
        <v>0.470833333333333</v>
      </c>
      <c r="O650" s="1" t="s">
        <v>576</v>
      </c>
      <c r="P650" s="16" t="s">
        <v>561</v>
      </c>
      <c r="Q650" s="16" t="s">
        <v>562</v>
      </c>
      <c r="R650" s="16" t="s">
        <v>563</v>
      </c>
      <c r="S650" s="4" t="s">
        <v>153</v>
      </c>
      <c r="T650" s="24" t="n">
        <v>315</v>
      </c>
      <c r="U650" s="18" t="n">
        <v>4.8</v>
      </c>
      <c r="V650" s="24" t="n">
        <v>0.3</v>
      </c>
      <c r="W650" s="2" t="n">
        <v>0.6</v>
      </c>
      <c r="Z650" s="18"/>
      <c r="AA650" s="20"/>
      <c r="AB650" s="20"/>
      <c r="AC650" s="19" t="e">
        <f aca="false">(AB650-AA650)/AB650</f>
        <v>#DIV/0!</v>
      </c>
    </row>
    <row r="651" customFormat="false" ht="14.25" hidden="false" customHeight="true" outlineLevel="0" collapsed="false">
      <c r="A651" s="18" t="s">
        <v>559</v>
      </c>
      <c r="B651" s="18" t="s">
        <v>559</v>
      </c>
      <c r="C651" s="18" t="s">
        <v>40</v>
      </c>
      <c r="E651" s="2" t="n">
        <f aca="false">INDEX(FieldSites!F:F, MATCH(Ch2_FieldSurvey!B651,FieldSites!C:C,0))</f>
        <v>1679</v>
      </c>
      <c r="F651" s="2" t="n">
        <f aca="false">INDEX(FieldSites!G:G, MATCH(Ch2_FieldSurvey!B651,FieldSites!C:C,0))</f>
        <v>-120.094614</v>
      </c>
      <c r="G651" s="2" t="n">
        <f aca="false">INDEX(FieldSites!H:H, MATCH(Ch2_FieldSurvey!B651,FieldSites!C:C,0))</f>
        <v>38.136194</v>
      </c>
      <c r="H651" s="18" t="n">
        <v>10</v>
      </c>
      <c r="I651" s="21" t="str">
        <f aca="false">CONCATENATE(B651,"_",C651,H651)</f>
        <v>SDSB_M. guttatus10</v>
      </c>
      <c r="J651" s="22" t="n">
        <v>44702</v>
      </c>
      <c r="K651" s="23" t="n">
        <v>0.622222222222222</v>
      </c>
      <c r="L651" s="22" t="n">
        <v>44703</v>
      </c>
      <c r="M651" s="23" t="n">
        <v>0.475</v>
      </c>
      <c r="O651" s="1" t="s">
        <v>577</v>
      </c>
      <c r="P651" s="16" t="s">
        <v>561</v>
      </c>
      <c r="Q651" s="16" t="s">
        <v>562</v>
      </c>
      <c r="R651" s="16" t="s">
        <v>563</v>
      </c>
      <c r="S651" s="4" t="s">
        <v>424</v>
      </c>
      <c r="T651" s="24" t="n">
        <v>271</v>
      </c>
      <c r="U651" s="18" t="n">
        <v>3.6</v>
      </c>
      <c r="V651" s="24" t="n">
        <v>0.48</v>
      </c>
      <c r="W651" s="2" t="n">
        <v>0.8</v>
      </c>
      <c r="Z651" s="18"/>
      <c r="AA651" s="20" t="n">
        <v>207573</v>
      </c>
      <c r="AB651" s="20" t="n">
        <v>237841</v>
      </c>
      <c r="AC651" s="19" t="n">
        <f aca="false">(AB651-AA651)/AB651</f>
        <v>0.127261489818829</v>
      </c>
    </row>
    <row r="652" customFormat="false" ht="14.25" hidden="false" customHeight="true" outlineLevel="0" collapsed="false">
      <c r="A652" s="18" t="s">
        <v>559</v>
      </c>
      <c r="B652" s="18" t="s">
        <v>559</v>
      </c>
      <c r="C652" s="18" t="s">
        <v>40</v>
      </c>
      <c r="E652" s="2" t="n">
        <f aca="false">INDEX(FieldSites!F:F, MATCH(Ch2_FieldSurvey!B652,FieldSites!C:C,0))</f>
        <v>1679</v>
      </c>
      <c r="F652" s="2" t="n">
        <f aca="false">INDEX(FieldSites!G:G, MATCH(Ch2_FieldSurvey!B652,FieldSites!C:C,0))</f>
        <v>-120.094614</v>
      </c>
      <c r="G652" s="2" t="n">
        <f aca="false">INDEX(FieldSites!H:H, MATCH(Ch2_FieldSurvey!B652,FieldSites!C:C,0))</f>
        <v>38.136194</v>
      </c>
      <c r="H652" s="18" t="n">
        <v>10</v>
      </c>
      <c r="I652" s="21" t="str">
        <f aca="false">CONCATENATE(B652,"_",C652,H652)</f>
        <v>SDSB_M. guttatus10</v>
      </c>
      <c r="J652" s="22" t="n">
        <v>44702</v>
      </c>
      <c r="K652" s="23" t="n">
        <v>0.622222222222222</v>
      </c>
      <c r="L652" s="22" t="n">
        <v>44703</v>
      </c>
      <c r="M652" s="23" t="n">
        <v>0.475</v>
      </c>
      <c r="O652" s="1" t="s">
        <v>577</v>
      </c>
      <c r="P652" s="16" t="s">
        <v>561</v>
      </c>
      <c r="Q652" s="16" t="s">
        <v>562</v>
      </c>
      <c r="R652" s="16" t="s">
        <v>563</v>
      </c>
      <c r="S652" s="4" t="s">
        <v>424</v>
      </c>
      <c r="T652" s="24" t="n">
        <v>287</v>
      </c>
      <c r="U652" s="18" t="n">
        <v>3.1</v>
      </c>
      <c r="V652" s="24" t="n">
        <v>0.38</v>
      </c>
      <c r="W652" s="2" t="n">
        <v>0.6</v>
      </c>
      <c r="Z652" s="18"/>
      <c r="AA652" s="20"/>
      <c r="AB652" s="20"/>
      <c r="AC652" s="19" t="e">
        <f aca="false">(AB652-AA652)/AB652</f>
        <v>#DIV/0!</v>
      </c>
    </row>
    <row r="653" customFormat="false" ht="14.25" hidden="false" customHeight="true" outlineLevel="0" collapsed="false">
      <c r="A653" s="18" t="s">
        <v>559</v>
      </c>
      <c r="B653" s="18" t="s">
        <v>559</v>
      </c>
      <c r="C653" s="18" t="s">
        <v>40</v>
      </c>
      <c r="E653" s="2" t="n">
        <f aca="false">INDEX(FieldSites!F:F, MATCH(Ch2_FieldSurvey!B653,FieldSites!C:C,0))</f>
        <v>1679</v>
      </c>
      <c r="F653" s="2" t="n">
        <f aca="false">INDEX(FieldSites!G:G, MATCH(Ch2_FieldSurvey!B653,FieldSites!C:C,0))</f>
        <v>-120.094614</v>
      </c>
      <c r="G653" s="2" t="n">
        <f aca="false">INDEX(FieldSites!H:H, MATCH(Ch2_FieldSurvey!B653,FieldSites!C:C,0))</f>
        <v>38.136194</v>
      </c>
      <c r="H653" s="18" t="n">
        <v>10</v>
      </c>
      <c r="I653" s="21" t="str">
        <f aca="false">CONCATENATE(B653,"_",C653,H653)</f>
        <v>SDSB_M. guttatus10</v>
      </c>
      <c r="J653" s="22" t="n">
        <v>44702</v>
      </c>
      <c r="K653" s="23" t="n">
        <v>0.622222222222222</v>
      </c>
      <c r="L653" s="22" t="n">
        <v>44703</v>
      </c>
      <c r="M653" s="23" t="n">
        <v>0.475</v>
      </c>
      <c r="O653" s="1" t="s">
        <v>577</v>
      </c>
      <c r="P653" s="16" t="s">
        <v>561</v>
      </c>
      <c r="Q653" s="16" t="s">
        <v>562</v>
      </c>
      <c r="R653" s="16" t="s">
        <v>563</v>
      </c>
      <c r="S653" s="4" t="s">
        <v>424</v>
      </c>
      <c r="T653" s="24" t="n">
        <v>261</v>
      </c>
      <c r="U653" s="18" t="n">
        <v>3.6</v>
      </c>
      <c r="V653" s="24" t="n">
        <v>0.59</v>
      </c>
      <c r="W653" s="2" t="n">
        <v>0.6</v>
      </c>
      <c r="Z653" s="18"/>
      <c r="AA653" s="20"/>
      <c r="AB653" s="20"/>
      <c r="AC653" s="19" t="e">
        <f aca="false">(AB653-AA653)/AB653</f>
        <v>#DIV/0!</v>
      </c>
    </row>
    <row r="654" customFormat="false" ht="14.25" hidden="false" customHeight="true" outlineLevel="0" collapsed="false">
      <c r="A654" s="18" t="s">
        <v>559</v>
      </c>
      <c r="B654" s="18" t="s">
        <v>559</v>
      </c>
      <c r="C654" s="18" t="s">
        <v>578</v>
      </c>
      <c r="E654" s="2" t="n">
        <f aca="false">INDEX(FieldSites!F:F, MATCH(Ch2_FieldSurvey!B654,FieldSites!C:C,0))</f>
        <v>1679</v>
      </c>
      <c r="F654" s="2" t="n">
        <f aca="false">INDEX(FieldSites!G:G, MATCH(Ch2_FieldSurvey!B654,FieldSites!C:C,0))</f>
        <v>-120.094614</v>
      </c>
      <c r="G654" s="2" t="n">
        <f aca="false">INDEX(FieldSites!H:H, MATCH(Ch2_FieldSurvey!B654,FieldSites!C:C,0))</f>
        <v>38.136194</v>
      </c>
      <c r="H654" s="18" t="n">
        <v>1</v>
      </c>
      <c r="I654" s="21" t="str">
        <f aca="false">CONCATENATE(B654,"_",C654,H654)</f>
        <v>SDSB_M. bicolor1</v>
      </c>
      <c r="J654" s="22" t="n">
        <v>44702</v>
      </c>
      <c r="K654" s="23" t="n">
        <v>0.622222222222222</v>
      </c>
      <c r="L654" s="22" t="n">
        <v>44703</v>
      </c>
      <c r="M654" s="23" t="n">
        <v>0.484722222222222</v>
      </c>
      <c r="O654" s="1" t="s">
        <v>579</v>
      </c>
      <c r="P654" s="16" t="s">
        <v>561</v>
      </c>
      <c r="Q654" s="16" t="s">
        <v>562</v>
      </c>
      <c r="R654" s="16" t="s">
        <v>563</v>
      </c>
      <c r="S654" s="4" t="s">
        <v>147</v>
      </c>
      <c r="T654" s="24" t="n">
        <v>321</v>
      </c>
      <c r="U654" s="18" t="n">
        <v>11</v>
      </c>
      <c r="V654" s="24" t="n">
        <v>0.26</v>
      </c>
      <c r="W654" s="2" t="n">
        <v>1.1</v>
      </c>
      <c r="Z654" s="18"/>
      <c r="AA654" s="20" t="n">
        <v>92037</v>
      </c>
      <c r="AB654" s="20" t="n">
        <v>102703</v>
      </c>
      <c r="AC654" s="19" t="n">
        <f aca="false">(AB654-AA654)/AB654</f>
        <v>0.103852857268045</v>
      </c>
    </row>
    <row r="655" customFormat="false" ht="14.25" hidden="false" customHeight="true" outlineLevel="0" collapsed="false">
      <c r="A655" s="18" t="s">
        <v>559</v>
      </c>
      <c r="B655" s="18" t="s">
        <v>559</v>
      </c>
      <c r="C655" s="18" t="s">
        <v>578</v>
      </c>
      <c r="E655" s="2" t="n">
        <f aca="false">INDEX(FieldSites!F:F, MATCH(Ch2_FieldSurvey!B655,FieldSites!C:C,0))</f>
        <v>1679</v>
      </c>
      <c r="F655" s="2" t="n">
        <f aca="false">INDEX(FieldSites!G:G, MATCH(Ch2_FieldSurvey!B655,FieldSites!C:C,0))</f>
        <v>-120.094614</v>
      </c>
      <c r="G655" s="2" t="n">
        <f aca="false">INDEX(FieldSites!H:H, MATCH(Ch2_FieldSurvey!B655,FieldSites!C:C,0))</f>
        <v>38.136194</v>
      </c>
      <c r="H655" s="18" t="n">
        <v>1</v>
      </c>
      <c r="I655" s="21" t="str">
        <f aca="false">CONCATENATE(B655,"_",C655,H655)</f>
        <v>SDSB_M. bicolor1</v>
      </c>
      <c r="J655" s="22" t="n">
        <v>44702</v>
      </c>
      <c r="K655" s="23" t="n">
        <v>0.622222222222222</v>
      </c>
      <c r="L655" s="22" t="n">
        <v>44703</v>
      </c>
      <c r="M655" s="23" t="n">
        <v>0.484722222222222</v>
      </c>
      <c r="O655" s="1" t="s">
        <v>579</v>
      </c>
      <c r="P655" s="16" t="s">
        <v>561</v>
      </c>
      <c r="Q655" s="16" t="s">
        <v>562</v>
      </c>
      <c r="R655" s="16" t="s">
        <v>563</v>
      </c>
      <c r="S655" s="4" t="s">
        <v>147</v>
      </c>
      <c r="T655" s="24" t="n">
        <v>403</v>
      </c>
      <c r="U655" s="18" t="n">
        <v>20.8</v>
      </c>
      <c r="V655" s="24" t="n">
        <v>0.3</v>
      </c>
      <c r="Z655" s="18"/>
      <c r="AA655" s="20"/>
      <c r="AB655" s="20"/>
      <c r="AC655" s="19" t="e">
        <f aca="false">(AB655-AA655)/AB655</f>
        <v>#DIV/0!</v>
      </c>
    </row>
    <row r="656" customFormat="false" ht="14.25" hidden="false" customHeight="true" outlineLevel="0" collapsed="false">
      <c r="A656" s="18" t="s">
        <v>559</v>
      </c>
      <c r="B656" s="18" t="s">
        <v>559</v>
      </c>
      <c r="C656" s="18" t="s">
        <v>578</v>
      </c>
      <c r="E656" s="2" t="n">
        <f aca="false">INDEX(FieldSites!F:F, MATCH(Ch2_FieldSurvey!B656,FieldSites!C:C,0))</f>
        <v>1679</v>
      </c>
      <c r="F656" s="2" t="n">
        <f aca="false">INDEX(FieldSites!G:G, MATCH(Ch2_FieldSurvey!B656,FieldSites!C:C,0))</f>
        <v>-120.094614</v>
      </c>
      <c r="G656" s="2" t="n">
        <f aca="false">INDEX(FieldSites!H:H, MATCH(Ch2_FieldSurvey!B656,FieldSites!C:C,0))</f>
        <v>38.136194</v>
      </c>
      <c r="H656" s="18" t="n">
        <v>1</v>
      </c>
      <c r="I656" s="21" t="str">
        <f aca="false">CONCATENATE(B656,"_",C656,H656)</f>
        <v>SDSB_M. bicolor1</v>
      </c>
      <c r="J656" s="22" t="n">
        <v>44702</v>
      </c>
      <c r="K656" s="23" t="n">
        <v>0.622222222222222</v>
      </c>
      <c r="L656" s="22" t="n">
        <v>44703</v>
      </c>
      <c r="M656" s="23" t="n">
        <v>0.484722222222222</v>
      </c>
      <c r="O656" s="1" t="s">
        <v>579</v>
      </c>
      <c r="P656" s="16" t="s">
        <v>561</v>
      </c>
      <c r="Q656" s="16" t="s">
        <v>562</v>
      </c>
      <c r="R656" s="16" t="s">
        <v>563</v>
      </c>
      <c r="S656" s="4" t="s">
        <v>147</v>
      </c>
      <c r="T656" s="24" t="n">
        <v>271</v>
      </c>
      <c r="U656" s="18"/>
      <c r="V656" s="24" t="n">
        <v>0.27</v>
      </c>
      <c r="Z656" s="18"/>
      <c r="AA656" s="20"/>
      <c r="AB656" s="20"/>
      <c r="AC656" s="19" t="e">
        <f aca="false">(AB656-AA656)/AB656</f>
        <v>#DIV/0!</v>
      </c>
    </row>
    <row r="657" customFormat="false" ht="14.25" hidden="false" customHeight="true" outlineLevel="0" collapsed="false">
      <c r="A657" s="18" t="s">
        <v>559</v>
      </c>
      <c r="B657" s="18" t="s">
        <v>559</v>
      </c>
      <c r="C657" s="18" t="s">
        <v>578</v>
      </c>
      <c r="E657" s="2" t="n">
        <f aca="false">INDEX(FieldSites!F:F, MATCH(Ch2_FieldSurvey!B657,FieldSites!C:C,0))</f>
        <v>1679</v>
      </c>
      <c r="F657" s="2" t="n">
        <f aca="false">INDEX(FieldSites!G:G, MATCH(Ch2_FieldSurvey!B657,FieldSites!C:C,0))</f>
        <v>-120.094614</v>
      </c>
      <c r="G657" s="2" t="n">
        <f aca="false">INDEX(FieldSites!H:H, MATCH(Ch2_FieldSurvey!B657,FieldSites!C:C,0))</f>
        <v>38.136194</v>
      </c>
      <c r="H657" s="18" t="n">
        <v>2</v>
      </c>
      <c r="I657" s="21" t="str">
        <f aca="false">CONCATENATE(B657,"_",C657,H657)</f>
        <v>SDSB_M. bicolor2</v>
      </c>
      <c r="J657" s="22" t="n">
        <v>44702</v>
      </c>
      <c r="K657" s="23" t="n">
        <v>0.622222222222222</v>
      </c>
      <c r="L657" s="22" t="n">
        <v>44703</v>
      </c>
      <c r="M657" s="23" t="n">
        <v>0.489583333333333</v>
      </c>
      <c r="O657" s="1" t="s">
        <v>580</v>
      </c>
      <c r="P657" s="16" t="s">
        <v>561</v>
      </c>
      <c r="Q657" s="16" t="s">
        <v>562</v>
      </c>
      <c r="R657" s="16" t="s">
        <v>563</v>
      </c>
      <c r="S657" s="4" t="s">
        <v>70</v>
      </c>
      <c r="T657" s="24" t="n">
        <v>300</v>
      </c>
      <c r="U657" s="18" t="n">
        <v>4.7</v>
      </c>
      <c r="V657" s="24" t="n">
        <v>0.24</v>
      </c>
      <c r="Z657" s="18" t="s">
        <v>581</v>
      </c>
      <c r="AA657" s="20" t="n">
        <v>45423</v>
      </c>
      <c r="AB657" s="20" t="n">
        <v>49838</v>
      </c>
      <c r="AC657" s="19" t="n">
        <f aca="false">(AB657-AA657)/AB657</f>
        <v>0.0885870219511216</v>
      </c>
    </row>
    <row r="658" customFormat="false" ht="14.25" hidden="false" customHeight="true" outlineLevel="0" collapsed="false">
      <c r="A658" s="18" t="s">
        <v>559</v>
      </c>
      <c r="B658" s="18" t="s">
        <v>559</v>
      </c>
      <c r="C658" s="18" t="s">
        <v>578</v>
      </c>
      <c r="E658" s="2" t="n">
        <f aca="false">INDEX(FieldSites!F:F, MATCH(Ch2_FieldSurvey!B658,FieldSites!C:C,0))</f>
        <v>1679</v>
      </c>
      <c r="F658" s="2" t="n">
        <f aca="false">INDEX(FieldSites!G:G, MATCH(Ch2_FieldSurvey!B658,FieldSites!C:C,0))</f>
        <v>-120.094614</v>
      </c>
      <c r="G658" s="2" t="n">
        <f aca="false">INDEX(FieldSites!H:H, MATCH(Ch2_FieldSurvey!B658,FieldSites!C:C,0))</f>
        <v>38.136194</v>
      </c>
      <c r="H658" s="18" t="n">
        <v>2</v>
      </c>
      <c r="I658" s="21" t="str">
        <f aca="false">CONCATENATE(B658,"_",C658,H658)</f>
        <v>SDSB_M. bicolor2</v>
      </c>
      <c r="J658" s="22" t="n">
        <v>44702</v>
      </c>
      <c r="K658" s="23" t="n">
        <v>0.622222222222222</v>
      </c>
      <c r="L658" s="22" t="n">
        <v>44703</v>
      </c>
      <c r="M658" s="23" t="n">
        <v>0.489583333333333</v>
      </c>
      <c r="O658" s="1" t="s">
        <v>580</v>
      </c>
      <c r="P658" s="16" t="s">
        <v>561</v>
      </c>
      <c r="Q658" s="16" t="s">
        <v>562</v>
      </c>
      <c r="R658" s="16" t="s">
        <v>563</v>
      </c>
      <c r="S658" s="4" t="s">
        <v>70</v>
      </c>
      <c r="T658" s="24" t="n">
        <v>299</v>
      </c>
      <c r="U658" s="18" t="n">
        <v>5.3</v>
      </c>
      <c r="V658" s="24" t="n">
        <v>0.21</v>
      </c>
      <c r="Z658" s="18" t="s">
        <v>581</v>
      </c>
      <c r="AA658" s="20"/>
      <c r="AB658" s="20"/>
      <c r="AC658" s="19" t="e">
        <f aca="false">(AB658-AA658)/AB658</f>
        <v>#DIV/0!</v>
      </c>
    </row>
    <row r="659" customFormat="false" ht="14.25" hidden="false" customHeight="true" outlineLevel="0" collapsed="false">
      <c r="A659" s="18" t="s">
        <v>559</v>
      </c>
      <c r="B659" s="18" t="s">
        <v>559</v>
      </c>
      <c r="C659" s="18" t="s">
        <v>578</v>
      </c>
      <c r="E659" s="2" t="n">
        <f aca="false">INDEX(FieldSites!F:F, MATCH(Ch2_FieldSurvey!B659,FieldSites!C:C,0))</f>
        <v>1679</v>
      </c>
      <c r="F659" s="2" t="n">
        <f aca="false">INDEX(FieldSites!G:G, MATCH(Ch2_FieldSurvey!B659,FieldSites!C:C,0))</f>
        <v>-120.094614</v>
      </c>
      <c r="G659" s="2" t="n">
        <f aca="false">INDEX(FieldSites!H:H, MATCH(Ch2_FieldSurvey!B659,FieldSites!C:C,0))</f>
        <v>38.136194</v>
      </c>
      <c r="H659" s="18" t="n">
        <v>2</v>
      </c>
      <c r="I659" s="21" t="str">
        <f aca="false">CONCATENATE(B659,"_",C659,H659)</f>
        <v>SDSB_M. bicolor2</v>
      </c>
      <c r="J659" s="22" t="n">
        <v>44702</v>
      </c>
      <c r="K659" s="23" t="n">
        <v>0.622222222222222</v>
      </c>
      <c r="L659" s="22" t="n">
        <v>44703</v>
      </c>
      <c r="M659" s="23" t="n">
        <v>0.489583333333333</v>
      </c>
      <c r="O659" s="1" t="s">
        <v>580</v>
      </c>
      <c r="P659" s="16" t="s">
        <v>561</v>
      </c>
      <c r="Q659" s="16" t="s">
        <v>562</v>
      </c>
      <c r="R659" s="16" t="s">
        <v>563</v>
      </c>
      <c r="S659" s="4" t="s">
        <v>70</v>
      </c>
      <c r="T659" s="24" t="n">
        <v>344</v>
      </c>
      <c r="U659" s="18" t="n">
        <v>10.7</v>
      </c>
      <c r="V659" s="24" t="n">
        <v>0.29</v>
      </c>
      <c r="Z659" s="18" t="s">
        <v>581</v>
      </c>
      <c r="AA659" s="20"/>
      <c r="AB659" s="20"/>
      <c r="AC659" s="19" t="e">
        <f aca="false">(AB659-AA659)/AB659</f>
        <v>#DIV/0!</v>
      </c>
    </row>
    <row r="660" customFormat="false" ht="14.25" hidden="false" customHeight="true" outlineLevel="0" collapsed="false">
      <c r="A660" s="18" t="s">
        <v>559</v>
      </c>
      <c r="B660" s="18" t="s">
        <v>559</v>
      </c>
      <c r="C660" s="18" t="s">
        <v>578</v>
      </c>
      <c r="E660" s="2" t="n">
        <f aca="false">INDEX(FieldSites!F:F, MATCH(Ch2_FieldSurvey!B660,FieldSites!C:C,0))</f>
        <v>1679</v>
      </c>
      <c r="F660" s="2" t="n">
        <f aca="false">INDEX(FieldSites!G:G, MATCH(Ch2_FieldSurvey!B660,FieldSites!C:C,0))</f>
        <v>-120.094614</v>
      </c>
      <c r="G660" s="2" t="n">
        <f aca="false">INDEX(FieldSites!H:H, MATCH(Ch2_FieldSurvey!B660,FieldSites!C:C,0))</f>
        <v>38.136194</v>
      </c>
      <c r="H660" s="18" t="n">
        <v>3</v>
      </c>
      <c r="I660" s="21" t="str">
        <f aca="false">CONCATENATE(B660,"_",C660,H660)</f>
        <v>SDSB_M. bicolor3</v>
      </c>
      <c r="J660" s="22" t="n">
        <v>44702</v>
      </c>
      <c r="K660" s="23" t="n">
        <v>0.622222222222222</v>
      </c>
      <c r="L660" s="22" t="n">
        <v>44703</v>
      </c>
      <c r="M660" s="23" t="n">
        <v>0.535416666666667</v>
      </c>
      <c r="O660" s="1" t="s">
        <v>582</v>
      </c>
      <c r="P660" s="16" t="s">
        <v>561</v>
      </c>
      <c r="Q660" s="16" t="s">
        <v>562</v>
      </c>
      <c r="R660" s="16" t="s">
        <v>563</v>
      </c>
      <c r="S660" s="4" t="s">
        <v>583</v>
      </c>
      <c r="T660" s="24" t="n">
        <v>230</v>
      </c>
      <c r="U660" s="18" t="n">
        <v>3.3</v>
      </c>
      <c r="V660" s="24" t="n">
        <v>0.22</v>
      </c>
      <c r="Z660" s="18" t="s">
        <v>581</v>
      </c>
      <c r="AA660" s="20" t="n">
        <v>51012</v>
      </c>
      <c r="AB660" s="20" t="n">
        <v>55539</v>
      </c>
      <c r="AC660" s="19" t="n">
        <f aca="false">(AB660-AA660)/AB660</f>
        <v>0.0815102900664398</v>
      </c>
    </row>
    <row r="661" customFormat="false" ht="14.25" hidden="false" customHeight="true" outlineLevel="0" collapsed="false">
      <c r="A661" s="18" t="s">
        <v>559</v>
      </c>
      <c r="B661" s="18" t="s">
        <v>559</v>
      </c>
      <c r="C661" s="18" t="s">
        <v>578</v>
      </c>
      <c r="E661" s="2" t="n">
        <f aca="false">INDEX(FieldSites!F:F, MATCH(Ch2_FieldSurvey!B661,FieldSites!C:C,0))</f>
        <v>1679</v>
      </c>
      <c r="F661" s="2" t="n">
        <f aca="false">INDEX(FieldSites!G:G, MATCH(Ch2_FieldSurvey!B661,FieldSites!C:C,0))</f>
        <v>-120.094614</v>
      </c>
      <c r="G661" s="2" t="n">
        <f aca="false">INDEX(FieldSites!H:H, MATCH(Ch2_FieldSurvey!B661,FieldSites!C:C,0))</f>
        <v>38.136194</v>
      </c>
      <c r="H661" s="18" t="n">
        <v>3</v>
      </c>
      <c r="I661" s="21" t="str">
        <f aca="false">CONCATENATE(B661,"_",C661,H661)</f>
        <v>SDSB_M. bicolor3</v>
      </c>
      <c r="J661" s="22" t="n">
        <v>44702</v>
      </c>
      <c r="K661" s="23" t="n">
        <v>0.622222222222222</v>
      </c>
      <c r="L661" s="22" t="n">
        <v>44703</v>
      </c>
      <c r="M661" s="23" t="n">
        <v>0.535416666666667</v>
      </c>
      <c r="O661" s="1" t="s">
        <v>582</v>
      </c>
      <c r="P661" s="16" t="s">
        <v>561</v>
      </c>
      <c r="Q661" s="16" t="s">
        <v>562</v>
      </c>
      <c r="R661" s="16" t="s">
        <v>563</v>
      </c>
      <c r="S661" s="4" t="s">
        <v>583</v>
      </c>
      <c r="T661" s="24" t="n">
        <v>306</v>
      </c>
      <c r="U661" s="18" t="n">
        <v>4.6</v>
      </c>
      <c r="V661" s="24" t="n">
        <v>0.3</v>
      </c>
      <c r="Z661" s="18" t="s">
        <v>581</v>
      </c>
      <c r="AA661" s="20"/>
      <c r="AB661" s="20"/>
      <c r="AC661" s="19" t="e">
        <f aca="false">(AB661-AA661)/AB661</f>
        <v>#DIV/0!</v>
      </c>
    </row>
    <row r="662" customFormat="false" ht="14.25" hidden="false" customHeight="true" outlineLevel="0" collapsed="false">
      <c r="A662" s="18" t="s">
        <v>559</v>
      </c>
      <c r="B662" s="18" t="s">
        <v>559</v>
      </c>
      <c r="C662" s="18" t="s">
        <v>578</v>
      </c>
      <c r="E662" s="2" t="n">
        <f aca="false">INDEX(FieldSites!F:F, MATCH(Ch2_FieldSurvey!B662,FieldSites!C:C,0))</f>
        <v>1679</v>
      </c>
      <c r="F662" s="2" t="n">
        <f aca="false">INDEX(FieldSites!G:G, MATCH(Ch2_FieldSurvey!B662,FieldSites!C:C,0))</f>
        <v>-120.094614</v>
      </c>
      <c r="G662" s="2" t="n">
        <f aca="false">INDEX(FieldSites!H:H, MATCH(Ch2_FieldSurvey!B662,FieldSites!C:C,0))</f>
        <v>38.136194</v>
      </c>
      <c r="H662" s="18" t="n">
        <v>3</v>
      </c>
      <c r="I662" s="21" t="str">
        <f aca="false">CONCATENATE(B662,"_",C662,H662)</f>
        <v>SDSB_M. bicolor3</v>
      </c>
      <c r="J662" s="22" t="n">
        <v>44702</v>
      </c>
      <c r="K662" s="23" t="n">
        <v>0.622222222222222</v>
      </c>
      <c r="L662" s="22" t="n">
        <v>44703</v>
      </c>
      <c r="M662" s="23" t="n">
        <v>0.535416666666667</v>
      </c>
      <c r="O662" s="1" t="s">
        <v>582</v>
      </c>
      <c r="P662" s="16" t="s">
        <v>561</v>
      </c>
      <c r="Q662" s="16" t="s">
        <v>562</v>
      </c>
      <c r="R662" s="16" t="s">
        <v>563</v>
      </c>
      <c r="S662" s="4" t="s">
        <v>583</v>
      </c>
      <c r="T662" s="24" t="n">
        <v>312</v>
      </c>
      <c r="U662" s="18" t="n">
        <v>2.8</v>
      </c>
      <c r="V662" s="24" t="n">
        <v>0.34</v>
      </c>
      <c r="Z662" s="18" t="s">
        <v>581</v>
      </c>
      <c r="AA662" s="20"/>
      <c r="AB662" s="20"/>
      <c r="AC662" s="19" t="e">
        <f aca="false">(AB662-AA662)/AB662</f>
        <v>#DIV/0!</v>
      </c>
    </row>
    <row r="663" customFormat="false" ht="14.25" hidden="false" customHeight="true" outlineLevel="0" collapsed="false">
      <c r="A663" s="18" t="s">
        <v>559</v>
      </c>
      <c r="B663" s="18" t="s">
        <v>559</v>
      </c>
      <c r="C663" s="18" t="s">
        <v>578</v>
      </c>
      <c r="E663" s="2" t="n">
        <f aca="false">INDEX(FieldSites!F:F, MATCH(Ch2_FieldSurvey!B663,FieldSites!C:C,0))</f>
        <v>1679</v>
      </c>
      <c r="F663" s="2" t="n">
        <f aca="false">INDEX(FieldSites!G:G, MATCH(Ch2_FieldSurvey!B663,FieldSites!C:C,0))</f>
        <v>-120.094614</v>
      </c>
      <c r="G663" s="2" t="n">
        <f aca="false">INDEX(FieldSites!H:H, MATCH(Ch2_FieldSurvey!B663,FieldSites!C:C,0))</f>
        <v>38.136194</v>
      </c>
      <c r="H663" s="18" t="n">
        <v>4</v>
      </c>
      <c r="I663" s="21" t="str">
        <f aca="false">CONCATENATE(B663,"_",C663,H663)</f>
        <v>SDSB_M. bicolor4</v>
      </c>
      <c r="J663" s="22" t="n">
        <v>44702</v>
      </c>
      <c r="K663" s="23" t="n">
        <v>0.622222222222222</v>
      </c>
      <c r="L663" s="22" t="n">
        <v>44703</v>
      </c>
      <c r="M663" s="23" t="n">
        <v>0.542361111111111</v>
      </c>
      <c r="O663" s="1" t="s">
        <v>584</v>
      </c>
      <c r="P663" s="16" t="s">
        <v>561</v>
      </c>
      <c r="Q663" s="16" t="s">
        <v>562</v>
      </c>
      <c r="R663" s="16" t="s">
        <v>563</v>
      </c>
      <c r="S663" s="4" t="s">
        <v>313</v>
      </c>
      <c r="T663" s="24" t="n">
        <v>319</v>
      </c>
      <c r="U663" s="18" t="n">
        <v>1.4</v>
      </c>
      <c r="V663" s="24" t="n">
        <v>0.21</v>
      </c>
      <c r="W663" s="2" t="n">
        <v>0.5</v>
      </c>
      <c r="Z663" s="18"/>
      <c r="AA663" s="20" t="n">
        <v>106770</v>
      </c>
      <c r="AB663" s="20" t="n">
        <v>121691</v>
      </c>
      <c r="AC663" s="19" t="n">
        <f aca="false">(AB663-AA663)/AB663</f>
        <v>0.122613833397704</v>
      </c>
    </row>
    <row r="664" customFormat="false" ht="14.25" hidden="false" customHeight="true" outlineLevel="0" collapsed="false">
      <c r="A664" s="18" t="s">
        <v>559</v>
      </c>
      <c r="B664" s="18" t="s">
        <v>559</v>
      </c>
      <c r="C664" s="18" t="s">
        <v>578</v>
      </c>
      <c r="E664" s="2" t="n">
        <f aca="false">INDEX(FieldSites!F:F, MATCH(Ch2_FieldSurvey!B664,FieldSites!C:C,0))</f>
        <v>1679</v>
      </c>
      <c r="F664" s="2" t="n">
        <f aca="false">INDEX(FieldSites!G:G, MATCH(Ch2_FieldSurvey!B664,FieldSites!C:C,0))</f>
        <v>-120.094614</v>
      </c>
      <c r="G664" s="2" t="n">
        <f aca="false">INDEX(FieldSites!H:H, MATCH(Ch2_FieldSurvey!B664,FieldSites!C:C,0))</f>
        <v>38.136194</v>
      </c>
      <c r="H664" s="18" t="n">
        <v>4</v>
      </c>
      <c r="I664" s="21" t="str">
        <f aca="false">CONCATENATE(B664,"_",C664,H664)</f>
        <v>SDSB_M. bicolor4</v>
      </c>
      <c r="J664" s="22" t="n">
        <v>44702</v>
      </c>
      <c r="K664" s="23" t="n">
        <v>0.622222222222222</v>
      </c>
      <c r="L664" s="22" t="n">
        <v>44703</v>
      </c>
      <c r="M664" s="23" t="n">
        <v>0.542361111111111</v>
      </c>
      <c r="O664" s="1" t="s">
        <v>584</v>
      </c>
      <c r="P664" s="16" t="s">
        <v>561</v>
      </c>
      <c r="Q664" s="16" t="s">
        <v>562</v>
      </c>
      <c r="R664" s="16" t="s">
        <v>563</v>
      </c>
      <c r="S664" s="4" t="s">
        <v>313</v>
      </c>
      <c r="T664" s="24" t="n">
        <v>270</v>
      </c>
      <c r="U664" s="18" t="n">
        <v>8.4</v>
      </c>
      <c r="V664" s="24" t="n">
        <v>0.26</v>
      </c>
      <c r="Z664" s="18"/>
      <c r="AA664" s="20"/>
      <c r="AB664" s="20"/>
      <c r="AC664" s="19" t="e">
        <f aca="false">(AB664-AA664)/AB664</f>
        <v>#DIV/0!</v>
      </c>
    </row>
    <row r="665" customFormat="false" ht="14.25" hidden="false" customHeight="true" outlineLevel="0" collapsed="false">
      <c r="A665" s="18" t="s">
        <v>559</v>
      </c>
      <c r="B665" s="18" t="s">
        <v>559</v>
      </c>
      <c r="C665" s="18" t="s">
        <v>578</v>
      </c>
      <c r="E665" s="2" t="n">
        <f aca="false">INDEX(FieldSites!F:F, MATCH(Ch2_FieldSurvey!B665,FieldSites!C:C,0))</f>
        <v>1679</v>
      </c>
      <c r="F665" s="2" t="n">
        <f aca="false">INDEX(FieldSites!G:G, MATCH(Ch2_FieldSurvey!B665,FieldSites!C:C,0))</f>
        <v>-120.094614</v>
      </c>
      <c r="G665" s="2" t="n">
        <f aca="false">INDEX(FieldSites!H:H, MATCH(Ch2_FieldSurvey!B665,FieldSites!C:C,0))</f>
        <v>38.136194</v>
      </c>
      <c r="H665" s="18" t="n">
        <v>4</v>
      </c>
      <c r="I665" s="21" t="str">
        <f aca="false">CONCATENATE(B665,"_",C665,H665)</f>
        <v>SDSB_M. bicolor4</v>
      </c>
      <c r="J665" s="22" t="n">
        <v>44702</v>
      </c>
      <c r="K665" s="23" t="n">
        <v>0.622222222222222</v>
      </c>
      <c r="L665" s="22" t="n">
        <v>44703</v>
      </c>
      <c r="M665" s="23" t="n">
        <v>0.542361111111111</v>
      </c>
      <c r="O665" s="1" t="s">
        <v>584</v>
      </c>
      <c r="P665" s="16" t="s">
        <v>561</v>
      </c>
      <c r="Q665" s="16" t="s">
        <v>562</v>
      </c>
      <c r="R665" s="16" t="s">
        <v>563</v>
      </c>
      <c r="S665" s="4" t="s">
        <v>313</v>
      </c>
      <c r="T665" s="24" t="n">
        <v>300</v>
      </c>
      <c r="U665" s="18" t="n">
        <v>9.8</v>
      </c>
      <c r="V665" s="24" t="n">
        <v>0.22</v>
      </c>
      <c r="Z665" s="18"/>
      <c r="AA665" s="20"/>
      <c r="AB665" s="20"/>
      <c r="AC665" s="19" t="e">
        <f aca="false">(AB665-AA665)/AB665</f>
        <v>#DIV/0!</v>
      </c>
    </row>
    <row r="666" customFormat="false" ht="14.25" hidden="false" customHeight="true" outlineLevel="0" collapsed="false">
      <c r="A666" s="18" t="s">
        <v>559</v>
      </c>
      <c r="B666" s="18" t="s">
        <v>559</v>
      </c>
      <c r="C666" s="18" t="s">
        <v>578</v>
      </c>
      <c r="E666" s="2" t="n">
        <f aca="false">INDEX(FieldSites!F:F, MATCH(Ch2_FieldSurvey!B666,FieldSites!C:C,0))</f>
        <v>1679</v>
      </c>
      <c r="F666" s="2" t="n">
        <f aca="false">INDEX(FieldSites!G:G, MATCH(Ch2_FieldSurvey!B666,FieldSites!C:C,0))</f>
        <v>-120.094614</v>
      </c>
      <c r="G666" s="2" t="n">
        <f aca="false">INDEX(FieldSites!H:H, MATCH(Ch2_FieldSurvey!B666,FieldSites!C:C,0))</f>
        <v>38.136194</v>
      </c>
      <c r="H666" s="18" t="n">
        <v>5</v>
      </c>
      <c r="I666" s="21" t="str">
        <f aca="false">CONCATENATE(B666,"_",C666,H666)</f>
        <v>SDSB_M. bicolor5</v>
      </c>
      <c r="J666" s="22" t="n">
        <v>44702</v>
      </c>
      <c r="K666" s="23" t="n">
        <v>0.622222222222222</v>
      </c>
      <c r="L666" s="22" t="n">
        <v>44703</v>
      </c>
      <c r="M666" s="23" t="n">
        <v>0.552083333333333</v>
      </c>
      <c r="O666" s="1" t="s">
        <v>585</v>
      </c>
      <c r="P666" s="16" t="s">
        <v>561</v>
      </c>
      <c r="Q666" s="16" t="s">
        <v>562</v>
      </c>
      <c r="R666" s="16" t="s">
        <v>563</v>
      </c>
      <c r="S666" s="4" t="s">
        <v>110</v>
      </c>
      <c r="T666" s="24" t="n">
        <v>300</v>
      </c>
      <c r="U666" s="18" t="n">
        <v>6.3</v>
      </c>
      <c r="V666" s="24" t="n">
        <v>0.24</v>
      </c>
      <c r="Z666" s="18" t="s">
        <v>581</v>
      </c>
      <c r="AA666" s="20" t="n">
        <v>61698</v>
      </c>
      <c r="AB666" s="20" t="n">
        <v>66651</v>
      </c>
      <c r="AC666" s="19" t="n">
        <f aca="false">(AB666-AA666)/AB666</f>
        <v>0.0743124634289058</v>
      </c>
    </row>
    <row r="667" customFormat="false" ht="14.25" hidden="false" customHeight="true" outlineLevel="0" collapsed="false">
      <c r="A667" s="18" t="s">
        <v>559</v>
      </c>
      <c r="B667" s="18" t="s">
        <v>559</v>
      </c>
      <c r="C667" s="18" t="s">
        <v>578</v>
      </c>
      <c r="E667" s="2" t="n">
        <f aca="false">INDEX(FieldSites!F:F, MATCH(Ch2_FieldSurvey!B667,FieldSites!C:C,0))</f>
        <v>1679</v>
      </c>
      <c r="F667" s="2" t="n">
        <f aca="false">INDEX(FieldSites!G:G, MATCH(Ch2_FieldSurvey!B667,FieldSites!C:C,0))</f>
        <v>-120.094614</v>
      </c>
      <c r="G667" s="2" t="n">
        <f aca="false">INDEX(FieldSites!H:H, MATCH(Ch2_FieldSurvey!B667,FieldSites!C:C,0))</f>
        <v>38.136194</v>
      </c>
      <c r="H667" s="18" t="n">
        <v>5</v>
      </c>
      <c r="I667" s="21" t="str">
        <f aca="false">CONCATENATE(B667,"_",C667,H667)</f>
        <v>SDSB_M. bicolor5</v>
      </c>
      <c r="J667" s="22" t="n">
        <v>44702</v>
      </c>
      <c r="K667" s="23" t="n">
        <v>0.622222222222222</v>
      </c>
      <c r="L667" s="22" t="n">
        <v>44703</v>
      </c>
      <c r="M667" s="23" t="n">
        <v>0.552083333333333</v>
      </c>
      <c r="O667" s="1" t="s">
        <v>585</v>
      </c>
      <c r="P667" s="16" t="s">
        <v>561</v>
      </c>
      <c r="Q667" s="16" t="s">
        <v>562</v>
      </c>
      <c r="R667" s="16" t="s">
        <v>563</v>
      </c>
      <c r="S667" s="4" t="s">
        <v>110</v>
      </c>
      <c r="T667" s="24" t="n">
        <v>304</v>
      </c>
      <c r="U667" s="18" t="n">
        <v>3.9</v>
      </c>
      <c r="V667" s="24" t="n">
        <v>0.18</v>
      </c>
      <c r="Z667" s="18" t="s">
        <v>581</v>
      </c>
      <c r="AA667" s="20"/>
      <c r="AB667" s="20"/>
      <c r="AC667" s="19" t="e">
        <f aca="false">(AB667-AA667)/AB667</f>
        <v>#DIV/0!</v>
      </c>
    </row>
    <row r="668" customFormat="false" ht="14.25" hidden="false" customHeight="true" outlineLevel="0" collapsed="false">
      <c r="A668" s="18" t="s">
        <v>559</v>
      </c>
      <c r="B668" s="18" t="s">
        <v>559</v>
      </c>
      <c r="C668" s="18" t="s">
        <v>578</v>
      </c>
      <c r="E668" s="2" t="n">
        <f aca="false">INDEX(FieldSites!F:F, MATCH(Ch2_FieldSurvey!B668,FieldSites!C:C,0))</f>
        <v>1679</v>
      </c>
      <c r="F668" s="2" t="n">
        <f aca="false">INDEX(FieldSites!G:G, MATCH(Ch2_FieldSurvey!B668,FieldSites!C:C,0))</f>
        <v>-120.094614</v>
      </c>
      <c r="G668" s="2" t="n">
        <f aca="false">INDEX(FieldSites!H:H, MATCH(Ch2_FieldSurvey!B668,FieldSites!C:C,0))</f>
        <v>38.136194</v>
      </c>
      <c r="H668" s="18" t="n">
        <v>5</v>
      </c>
      <c r="I668" s="21" t="str">
        <f aca="false">CONCATENATE(B668,"_",C668,H668)</f>
        <v>SDSB_M. bicolor5</v>
      </c>
      <c r="J668" s="22" t="n">
        <v>44702</v>
      </c>
      <c r="K668" s="23" t="n">
        <v>0.622222222222222</v>
      </c>
      <c r="L668" s="22" t="n">
        <v>44703</v>
      </c>
      <c r="M668" s="23" t="n">
        <v>0.552083333333333</v>
      </c>
      <c r="O668" s="1" t="s">
        <v>585</v>
      </c>
      <c r="P668" s="16" t="s">
        <v>561</v>
      </c>
      <c r="Q668" s="16" t="s">
        <v>562</v>
      </c>
      <c r="R668" s="16" t="s">
        <v>563</v>
      </c>
      <c r="S668" s="4" t="s">
        <v>110</v>
      </c>
      <c r="T668" s="24" t="n">
        <v>300</v>
      </c>
      <c r="U668" s="18" t="n">
        <v>3.6</v>
      </c>
      <c r="V668" s="24" t="n">
        <v>0.24</v>
      </c>
      <c r="Z668" s="18" t="s">
        <v>581</v>
      </c>
      <c r="AA668" s="20"/>
      <c r="AB668" s="20"/>
      <c r="AC668" s="19" t="e">
        <f aca="false">(AB668-AA668)/AB668</f>
        <v>#DIV/0!</v>
      </c>
    </row>
    <row r="669" customFormat="false" ht="14.25" hidden="false" customHeight="true" outlineLevel="0" collapsed="false">
      <c r="A669" s="18" t="s">
        <v>586</v>
      </c>
      <c r="B669" s="18" t="s">
        <v>586</v>
      </c>
      <c r="C669" s="18" t="s">
        <v>40</v>
      </c>
      <c r="E669" s="2" t="n">
        <f aca="false">INDEX(FieldSites!F:F, MATCH(Ch2_FieldSurvey!B669,FieldSites!C:C,0))</f>
        <v>1997</v>
      </c>
      <c r="F669" s="2" t="n">
        <f aca="false">INDEX(FieldSites!G:G, MATCH(Ch2_FieldSurvey!B669,FieldSites!C:C,0))</f>
        <v>-119.963252</v>
      </c>
      <c r="G669" s="2" t="n">
        <f aca="false">INDEX(FieldSites!H:H, MATCH(Ch2_FieldSurvey!B669,FieldSites!C:C,0))</f>
        <v>38.183927</v>
      </c>
      <c r="H669" s="18" t="n">
        <v>1</v>
      </c>
      <c r="I669" s="21" t="str">
        <f aca="false">CONCATENATE(B669,"_",C669,H669)</f>
        <v>CCNB_M. guttatus1</v>
      </c>
      <c r="J669" s="22" t="n">
        <v>44702</v>
      </c>
      <c r="K669" s="23" t="n">
        <v>0.622222222222222</v>
      </c>
      <c r="L669" s="22" t="n">
        <v>44703</v>
      </c>
      <c r="M669" s="23" t="n">
        <v>0.596527777777778</v>
      </c>
      <c r="O669" s="1" t="s">
        <v>587</v>
      </c>
      <c r="P669" s="16" t="s">
        <v>561</v>
      </c>
      <c r="Q669" s="16" t="s">
        <v>562</v>
      </c>
      <c r="R669" s="16" t="s">
        <v>563</v>
      </c>
      <c r="S669" s="4" t="s">
        <v>588</v>
      </c>
      <c r="T669" s="24" t="n">
        <v>235</v>
      </c>
      <c r="U669" s="18" t="n">
        <v>4.2</v>
      </c>
      <c r="V669" s="24" t="n">
        <v>0.28</v>
      </c>
      <c r="W669" s="2" t="n">
        <v>0.4</v>
      </c>
      <c r="Z669" s="18"/>
      <c r="AA669" s="20" t="n">
        <v>109885</v>
      </c>
      <c r="AB669" s="20" t="n">
        <v>133997</v>
      </c>
      <c r="AC669" s="19" t="n">
        <f aca="false">(AB669-AA669)/AB669</f>
        <v>0.179944327111801</v>
      </c>
    </row>
    <row r="670" customFormat="false" ht="14.25" hidden="false" customHeight="true" outlineLevel="0" collapsed="false">
      <c r="A670" s="18" t="s">
        <v>586</v>
      </c>
      <c r="B670" s="18" t="s">
        <v>586</v>
      </c>
      <c r="C670" s="18" t="s">
        <v>40</v>
      </c>
      <c r="E670" s="2" t="n">
        <f aca="false">INDEX(FieldSites!F:F, MATCH(Ch2_FieldSurvey!B670,FieldSites!C:C,0))</f>
        <v>1997</v>
      </c>
      <c r="F670" s="2" t="n">
        <f aca="false">INDEX(FieldSites!G:G, MATCH(Ch2_FieldSurvey!B670,FieldSites!C:C,0))</f>
        <v>-119.963252</v>
      </c>
      <c r="G670" s="2" t="n">
        <f aca="false">INDEX(FieldSites!H:H, MATCH(Ch2_FieldSurvey!B670,FieldSites!C:C,0))</f>
        <v>38.183927</v>
      </c>
      <c r="H670" s="18" t="n">
        <v>1</v>
      </c>
      <c r="I670" s="21" t="str">
        <f aca="false">CONCATENATE(B670,"_",C670,H670)</f>
        <v>CCNB_M. guttatus1</v>
      </c>
      <c r="J670" s="22" t="n">
        <v>44702</v>
      </c>
      <c r="K670" s="23" t="n">
        <v>0.622222222222222</v>
      </c>
      <c r="L670" s="22" t="n">
        <v>44703</v>
      </c>
      <c r="M670" s="23" t="n">
        <v>0.596527777777778</v>
      </c>
      <c r="O670" s="1" t="s">
        <v>587</v>
      </c>
      <c r="P670" s="16" t="s">
        <v>561</v>
      </c>
      <c r="Q670" s="16" t="s">
        <v>562</v>
      </c>
      <c r="R670" s="16" t="s">
        <v>563</v>
      </c>
      <c r="S670" s="4" t="s">
        <v>588</v>
      </c>
      <c r="T670" s="24" t="n">
        <v>240</v>
      </c>
      <c r="U670" s="18" t="n">
        <v>4.3</v>
      </c>
      <c r="V670" s="24" t="n">
        <v>0.27</v>
      </c>
      <c r="W670" s="2" t="n">
        <v>0.2</v>
      </c>
      <c r="Z670" s="18"/>
      <c r="AA670" s="20"/>
      <c r="AB670" s="20"/>
      <c r="AC670" s="19" t="e">
        <f aca="false">(AB670-AA670)/AB670</f>
        <v>#DIV/0!</v>
      </c>
    </row>
    <row r="671" customFormat="false" ht="14.25" hidden="false" customHeight="true" outlineLevel="0" collapsed="false">
      <c r="A671" s="18" t="s">
        <v>586</v>
      </c>
      <c r="B671" s="18" t="s">
        <v>586</v>
      </c>
      <c r="C671" s="18" t="s">
        <v>40</v>
      </c>
      <c r="E671" s="2" t="n">
        <f aca="false">INDEX(FieldSites!F:F, MATCH(Ch2_FieldSurvey!B671,FieldSites!C:C,0))</f>
        <v>1997</v>
      </c>
      <c r="F671" s="2" t="n">
        <f aca="false">INDEX(FieldSites!G:G, MATCH(Ch2_FieldSurvey!B671,FieldSites!C:C,0))</f>
        <v>-119.963252</v>
      </c>
      <c r="G671" s="2" t="n">
        <f aca="false">INDEX(FieldSites!H:H, MATCH(Ch2_FieldSurvey!B671,FieldSites!C:C,0))</f>
        <v>38.183927</v>
      </c>
      <c r="H671" s="18" t="n">
        <v>1</v>
      </c>
      <c r="I671" s="21" t="str">
        <f aca="false">CONCATENATE(B671,"_",C671,H671)</f>
        <v>CCNB_M. guttatus1</v>
      </c>
      <c r="J671" s="22" t="n">
        <v>44702</v>
      </c>
      <c r="K671" s="23" t="n">
        <v>0.622222222222222</v>
      </c>
      <c r="L671" s="22" t="n">
        <v>44703</v>
      </c>
      <c r="M671" s="23" t="n">
        <v>0.596527777777778</v>
      </c>
      <c r="O671" s="1" t="s">
        <v>587</v>
      </c>
      <c r="P671" s="16" t="s">
        <v>561</v>
      </c>
      <c r="Q671" s="16" t="s">
        <v>562</v>
      </c>
      <c r="R671" s="16" t="s">
        <v>563</v>
      </c>
      <c r="S671" s="4" t="s">
        <v>588</v>
      </c>
      <c r="T671" s="24" t="n">
        <v>238</v>
      </c>
      <c r="U671" s="18" t="n">
        <v>4.6</v>
      </c>
      <c r="V671" s="24" t="n">
        <v>0.27</v>
      </c>
      <c r="Z671" s="18" t="s">
        <v>581</v>
      </c>
      <c r="AA671" s="20"/>
      <c r="AB671" s="20"/>
      <c r="AC671" s="19" t="e">
        <f aca="false">(AB671-AA671)/AB671</f>
        <v>#DIV/0!</v>
      </c>
    </row>
    <row r="672" customFormat="false" ht="14.25" hidden="false" customHeight="true" outlineLevel="0" collapsed="false">
      <c r="A672" s="18" t="s">
        <v>586</v>
      </c>
      <c r="B672" s="18" t="s">
        <v>586</v>
      </c>
      <c r="C672" s="18" t="s">
        <v>40</v>
      </c>
      <c r="E672" s="2" t="n">
        <f aca="false">INDEX(FieldSites!F:F, MATCH(Ch2_FieldSurvey!B672,FieldSites!C:C,0))</f>
        <v>1997</v>
      </c>
      <c r="F672" s="2" t="n">
        <f aca="false">INDEX(FieldSites!G:G, MATCH(Ch2_FieldSurvey!B672,FieldSites!C:C,0))</f>
        <v>-119.963252</v>
      </c>
      <c r="G672" s="2" t="n">
        <f aca="false">INDEX(FieldSites!H:H, MATCH(Ch2_FieldSurvey!B672,FieldSites!C:C,0))</f>
        <v>38.183927</v>
      </c>
      <c r="H672" s="18" t="n">
        <v>2</v>
      </c>
      <c r="I672" s="21" t="str">
        <f aca="false">CONCATENATE(B672,"_",C672,H672)</f>
        <v>CCNB_M. guttatus2</v>
      </c>
      <c r="J672" s="22" t="n">
        <v>44702</v>
      </c>
      <c r="K672" s="23" t="n">
        <v>0.622222222222222</v>
      </c>
      <c r="L672" s="22" t="n">
        <v>44703</v>
      </c>
      <c r="M672" s="23" t="n">
        <v>0.604166666666667</v>
      </c>
      <c r="O672" s="1" t="s">
        <v>589</v>
      </c>
      <c r="P672" s="16" t="s">
        <v>561</v>
      </c>
      <c r="Q672" s="16" t="s">
        <v>562</v>
      </c>
      <c r="R672" s="16" t="s">
        <v>563</v>
      </c>
      <c r="S672" s="4" t="s">
        <v>544</v>
      </c>
      <c r="T672" s="24" t="n">
        <v>219</v>
      </c>
      <c r="U672" s="18"/>
      <c r="V672" s="24"/>
      <c r="Z672" s="18" t="s">
        <v>581</v>
      </c>
      <c r="AA672" s="20" t="n">
        <v>35412</v>
      </c>
      <c r="AB672" s="20" t="n">
        <v>41434</v>
      </c>
      <c r="AC672" s="19" t="n">
        <f aca="false">(AB672-AA672)/AB672</f>
        <v>0.145339576193464</v>
      </c>
    </row>
    <row r="673" customFormat="false" ht="14.25" hidden="false" customHeight="true" outlineLevel="0" collapsed="false">
      <c r="A673" s="18" t="s">
        <v>586</v>
      </c>
      <c r="B673" s="18" t="s">
        <v>586</v>
      </c>
      <c r="C673" s="18" t="s">
        <v>40</v>
      </c>
      <c r="E673" s="2" t="n">
        <f aca="false">INDEX(FieldSites!F:F, MATCH(Ch2_FieldSurvey!B673,FieldSites!C:C,0))</f>
        <v>1997</v>
      </c>
      <c r="F673" s="2" t="n">
        <f aca="false">INDEX(FieldSites!G:G, MATCH(Ch2_FieldSurvey!B673,FieldSites!C:C,0))</f>
        <v>-119.963252</v>
      </c>
      <c r="G673" s="2" t="n">
        <f aca="false">INDEX(FieldSites!H:H, MATCH(Ch2_FieldSurvey!B673,FieldSites!C:C,0))</f>
        <v>38.183927</v>
      </c>
      <c r="H673" s="18" t="n">
        <v>2</v>
      </c>
      <c r="I673" s="21" t="str">
        <f aca="false">CONCATENATE(B673,"_",C673,H673)</f>
        <v>CCNB_M. guttatus2</v>
      </c>
      <c r="J673" s="22" t="n">
        <v>44702</v>
      </c>
      <c r="K673" s="23" t="n">
        <v>0.622222222222222</v>
      </c>
      <c r="L673" s="22" t="n">
        <v>44703</v>
      </c>
      <c r="M673" s="23" t="n">
        <v>0.604166666666667</v>
      </c>
      <c r="O673" s="1" t="s">
        <v>589</v>
      </c>
      <c r="P673" s="16" t="s">
        <v>561</v>
      </c>
      <c r="Q673" s="16" t="s">
        <v>562</v>
      </c>
      <c r="R673" s="16" t="s">
        <v>563</v>
      </c>
      <c r="S673" s="4" t="s">
        <v>544</v>
      </c>
      <c r="T673" s="24" t="n">
        <v>215</v>
      </c>
      <c r="U673" s="18"/>
      <c r="V673" s="24"/>
      <c r="Z673" s="18" t="s">
        <v>581</v>
      </c>
      <c r="AA673" s="20"/>
      <c r="AB673" s="20"/>
      <c r="AC673" s="19" t="e">
        <f aca="false">(AB673-AA673)/AB673</f>
        <v>#DIV/0!</v>
      </c>
    </row>
    <row r="674" customFormat="false" ht="14.25" hidden="false" customHeight="true" outlineLevel="0" collapsed="false">
      <c r="A674" s="18" t="s">
        <v>586</v>
      </c>
      <c r="B674" s="18" t="s">
        <v>586</v>
      </c>
      <c r="C674" s="18" t="s">
        <v>40</v>
      </c>
      <c r="E674" s="2" t="n">
        <f aca="false">INDEX(FieldSites!F:F, MATCH(Ch2_FieldSurvey!B674,FieldSites!C:C,0))</f>
        <v>1997</v>
      </c>
      <c r="F674" s="2" t="n">
        <f aca="false">INDEX(FieldSites!G:G, MATCH(Ch2_FieldSurvey!B674,FieldSites!C:C,0))</f>
        <v>-119.963252</v>
      </c>
      <c r="G674" s="2" t="n">
        <f aca="false">INDEX(FieldSites!H:H, MATCH(Ch2_FieldSurvey!B674,FieldSites!C:C,0))</f>
        <v>38.183927</v>
      </c>
      <c r="H674" s="18" t="n">
        <v>2</v>
      </c>
      <c r="I674" s="21" t="str">
        <f aca="false">CONCATENATE(B674,"_",C674,H674)</f>
        <v>CCNB_M. guttatus2</v>
      </c>
      <c r="J674" s="22" t="n">
        <v>44702</v>
      </c>
      <c r="K674" s="23" t="n">
        <v>0.622222222222222</v>
      </c>
      <c r="L674" s="22" t="n">
        <v>44703</v>
      </c>
      <c r="M674" s="23" t="n">
        <v>0.604166666666667</v>
      </c>
      <c r="O674" s="1" t="s">
        <v>589</v>
      </c>
      <c r="P674" s="16" t="s">
        <v>561</v>
      </c>
      <c r="Q674" s="16" t="s">
        <v>562</v>
      </c>
      <c r="R674" s="16" t="s">
        <v>563</v>
      </c>
      <c r="S674" s="4" t="s">
        <v>544</v>
      </c>
      <c r="T674" s="24" t="n">
        <v>232</v>
      </c>
      <c r="U674" s="18"/>
      <c r="V674" s="24"/>
      <c r="Z674" s="18" t="s">
        <v>581</v>
      </c>
      <c r="AA674" s="20"/>
      <c r="AB674" s="20"/>
      <c r="AC674" s="19" t="e">
        <f aca="false">(AB674-AA674)/AB674</f>
        <v>#DIV/0!</v>
      </c>
    </row>
    <row r="675" customFormat="false" ht="14.25" hidden="false" customHeight="true" outlineLevel="0" collapsed="false">
      <c r="A675" s="18" t="s">
        <v>586</v>
      </c>
      <c r="B675" s="18" t="s">
        <v>586</v>
      </c>
      <c r="C675" s="18" t="s">
        <v>40</v>
      </c>
      <c r="E675" s="2" t="n">
        <f aca="false">INDEX(FieldSites!F:F, MATCH(Ch2_FieldSurvey!B675,FieldSites!C:C,0))</f>
        <v>1997</v>
      </c>
      <c r="F675" s="2" t="n">
        <f aca="false">INDEX(FieldSites!G:G, MATCH(Ch2_FieldSurvey!B675,FieldSites!C:C,0))</f>
        <v>-119.963252</v>
      </c>
      <c r="G675" s="2" t="n">
        <f aca="false">INDEX(FieldSites!H:H, MATCH(Ch2_FieldSurvey!B675,FieldSites!C:C,0))</f>
        <v>38.183927</v>
      </c>
      <c r="H675" s="18" t="n">
        <v>3</v>
      </c>
      <c r="I675" s="21" t="str">
        <f aca="false">CONCATENATE(B675,"_",C675,H675)</f>
        <v>CCNB_M. guttatus3</v>
      </c>
      <c r="J675" s="22" t="n">
        <v>44702</v>
      </c>
      <c r="K675" s="23" t="n">
        <v>0.622222222222222</v>
      </c>
      <c r="L675" s="22" t="n">
        <v>44703</v>
      </c>
      <c r="M675" s="23" t="n">
        <v>0.608333333333333</v>
      </c>
      <c r="O675" s="1" t="s">
        <v>590</v>
      </c>
      <c r="P675" s="16" t="s">
        <v>561</v>
      </c>
      <c r="Q675" s="16" t="s">
        <v>562</v>
      </c>
      <c r="R675" s="16" t="s">
        <v>563</v>
      </c>
      <c r="S675" s="4" t="s">
        <v>591</v>
      </c>
      <c r="T675" s="24" t="n">
        <v>230</v>
      </c>
      <c r="U675" s="18" t="n">
        <v>3</v>
      </c>
      <c r="V675" s="24" t="n">
        <v>0.35</v>
      </c>
      <c r="Z675" s="18" t="s">
        <v>581</v>
      </c>
      <c r="AA675" s="20" t="n">
        <v>64813</v>
      </c>
      <c r="AB675" s="20" t="n">
        <v>72923</v>
      </c>
      <c r="AC675" s="19" t="n">
        <f aca="false">(AB675-AA675)/AB675</f>
        <v>0.111213197482276</v>
      </c>
    </row>
    <row r="676" customFormat="false" ht="14.25" hidden="false" customHeight="true" outlineLevel="0" collapsed="false">
      <c r="A676" s="18" t="s">
        <v>586</v>
      </c>
      <c r="B676" s="18" t="s">
        <v>586</v>
      </c>
      <c r="C676" s="18" t="s">
        <v>40</v>
      </c>
      <c r="E676" s="2" t="n">
        <f aca="false">INDEX(FieldSites!F:F, MATCH(Ch2_FieldSurvey!B676,FieldSites!C:C,0))</f>
        <v>1997</v>
      </c>
      <c r="F676" s="2" t="n">
        <f aca="false">INDEX(FieldSites!G:G, MATCH(Ch2_FieldSurvey!B676,FieldSites!C:C,0))</f>
        <v>-119.963252</v>
      </c>
      <c r="G676" s="2" t="n">
        <f aca="false">INDEX(FieldSites!H:H, MATCH(Ch2_FieldSurvey!B676,FieldSites!C:C,0))</f>
        <v>38.183927</v>
      </c>
      <c r="H676" s="18" t="n">
        <v>3</v>
      </c>
      <c r="I676" s="21" t="str">
        <f aca="false">CONCATENATE(B676,"_",C676,H676)</f>
        <v>CCNB_M. guttatus3</v>
      </c>
      <c r="J676" s="22" t="n">
        <v>44702</v>
      </c>
      <c r="K676" s="23" t="n">
        <v>0.622222222222222</v>
      </c>
      <c r="L676" s="22" t="n">
        <v>44703</v>
      </c>
      <c r="M676" s="23" t="n">
        <v>0.608333333333333</v>
      </c>
      <c r="O676" s="1" t="s">
        <v>590</v>
      </c>
      <c r="P676" s="16" t="s">
        <v>561</v>
      </c>
      <c r="Q676" s="16" t="s">
        <v>562</v>
      </c>
      <c r="R676" s="16" t="s">
        <v>563</v>
      </c>
      <c r="S676" s="4" t="s">
        <v>591</v>
      </c>
      <c r="T676" s="24" t="n">
        <v>220</v>
      </c>
      <c r="U676" s="18" t="n">
        <v>2.8</v>
      </c>
      <c r="V676" s="24" t="n">
        <v>0.41</v>
      </c>
      <c r="Z676" s="18" t="s">
        <v>581</v>
      </c>
      <c r="AA676" s="20"/>
      <c r="AB676" s="20"/>
      <c r="AC676" s="19" t="e">
        <f aca="false">(AB676-AA676)/AB676</f>
        <v>#DIV/0!</v>
      </c>
    </row>
    <row r="677" customFormat="false" ht="14.25" hidden="false" customHeight="true" outlineLevel="0" collapsed="false">
      <c r="A677" s="18" t="s">
        <v>586</v>
      </c>
      <c r="B677" s="18" t="s">
        <v>586</v>
      </c>
      <c r="C677" s="18" t="s">
        <v>40</v>
      </c>
      <c r="E677" s="2" t="n">
        <f aca="false">INDEX(FieldSites!F:F, MATCH(Ch2_FieldSurvey!B677,FieldSites!C:C,0))</f>
        <v>1997</v>
      </c>
      <c r="F677" s="2" t="n">
        <f aca="false">INDEX(FieldSites!G:G, MATCH(Ch2_FieldSurvey!B677,FieldSites!C:C,0))</f>
        <v>-119.963252</v>
      </c>
      <c r="G677" s="2" t="n">
        <f aca="false">INDEX(FieldSites!H:H, MATCH(Ch2_FieldSurvey!B677,FieldSites!C:C,0))</f>
        <v>38.183927</v>
      </c>
      <c r="H677" s="18" t="n">
        <v>3</v>
      </c>
      <c r="I677" s="21" t="str">
        <f aca="false">CONCATENATE(B677,"_",C677,H677)</f>
        <v>CCNB_M. guttatus3</v>
      </c>
      <c r="J677" s="22" t="n">
        <v>44702</v>
      </c>
      <c r="K677" s="23" t="n">
        <v>0.622222222222222</v>
      </c>
      <c r="L677" s="22" t="n">
        <v>44703</v>
      </c>
      <c r="M677" s="23" t="n">
        <v>0.608333333333333</v>
      </c>
      <c r="O677" s="1" t="s">
        <v>590</v>
      </c>
      <c r="P677" s="16" t="s">
        <v>561</v>
      </c>
      <c r="Q677" s="16" t="s">
        <v>562</v>
      </c>
      <c r="R677" s="16" t="s">
        <v>563</v>
      </c>
      <c r="S677" s="4" t="s">
        <v>591</v>
      </c>
      <c r="T677" s="24" t="n">
        <v>270</v>
      </c>
      <c r="U677" s="18" t="n">
        <v>2.5</v>
      </c>
      <c r="V677" s="24" t="n">
        <v>0.42</v>
      </c>
      <c r="Z677" s="18" t="s">
        <v>581</v>
      </c>
      <c r="AA677" s="20"/>
      <c r="AB677" s="20"/>
      <c r="AC677" s="19" t="e">
        <f aca="false">(AB677-AA677)/AB677</f>
        <v>#DIV/0!</v>
      </c>
    </row>
    <row r="678" customFormat="false" ht="14.25" hidden="false" customHeight="true" outlineLevel="0" collapsed="false">
      <c r="A678" s="18" t="s">
        <v>586</v>
      </c>
      <c r="B678" s="18" t="s">
        <v>586</v>
      </c>
      <c r="C678" s="18" t="s">
        <v>40</v>
      </c>
      <c r="E678" s="2" t="n">
        <f aca="false">INDEX(FieldSites!F:F, MATCH(Ch2_FieldSurvey!B678,FieldSites!C:C,0))</f>
        <v>1997</v>
      </c>
      <c r="F678" s="2" t="n">
        <f aca="false">INDEX(FieldSites!G:G, MATCH(Ch2_FieldSurvey!B678,FieldSites!C:C,0))</f>
        <v>-119.963252</v>
      </c>
      <c r="G678" s="2" t="n">
        <f aca="false">INDEX(FieldSites!H:H, MATCH(Ch2_FieldSurvey!B678,FieldSites!C:C,0))</f>
        <v>38.183927</v>
      </c>
      <c r="H678" s="18" t="n">
        <v>4</v>
      </c>
      <c r="I678" s="21" t="str">
        <f aca="false">CONCATENATE(B678,"_",C678,H678)</f>
        <v>CCNB_M. guttatus4</v>
      </c>
      <c r="J678" s="22" t="n">
        <v>44702</v>
      </c>
      <c r="K678" s="23" t="n">
        <v>0.622222222222222</v>
      </c>
      <c r="L678" s="22" t="n">
        <v>44703</v>
      </c>
      <c r="M678" s="23" t="n">
        <v>0.615277777777778</v>
      </c>
      <c r="O678" s="1" t="s">
        <v>592</v>
      </c>
      <c r="P678" s="16" t="s">
        <v>561</v>
      </c>
      <c r="Q678" s="16" t="s">
        <v>562</v>
      </c>
      <c r="R678" s="16" t="s">
        <v>563</v>
      </c>
      <c r="S678" s="4" t="s">
        <v>593</v>
      </c>
      <c r="T678" s="24" t="n">
        <v>285</v>
      </c>
      <c r="U678" s="18" t="n">
        <v>4.4</v>
      </c>
      <c r="V678" s="24" t="n">
        <v>0.42</v>
      </c>
      <c r="W678" s="2" t="n">
        <v>0.4</v>
      </c>
      <c r="Z678" s="18"/>
      <c r="AA678" s="20" t="n">
        <v>164375</v>
      </c>
      <c r="AB678" s="20" t="n">
        <v>195816</v>
      </c>
      <c r="AC678" s="19" t="n">
        <f aca="false">(AB678-AA678)/AB678</f>
        <v>0.160563998856069</v>
      </c>
    </row>
    <row r="679" customFormat="false" ht="14.25" hidden="false" customHeight="true" outlineLevel="0" collapsed="false">
      <c r="A679" s="18" t="s">
        <v>586</v>
      </c>
      <c r="B679" s="18" t="s">
        <v>586</v>
      </c>
      <c r="C679" s="18" t="s">
        <v>40</v>
      </c>
      <c r="E679" s="2" t="n">
        <f aca="false">INDEX(FieldSites!F:F, MATCH(Ch2_FieldSurvey!B679,FieldSites!C:C,0))</f>
        <v>1997</v>
      </c>
      <c r="F679" s="2" t="n">
        <f aca="false">INDEX(FieldSites!G:G, MATCH(Ch2_FieldSurvey!B679,FieldSites!C:C,0))</f>
        <v>-119.963252</v>
      </c>
      <c r="G679" s="2" t="n">
        <f aca="false">INDEX(FieldSites!H:H, MATCH(Ch2_FieldSurvey!B679,FieldSites!C:C,0))</f>
        <v>38.183927</v>
      </c>
      <c r="H679" s="18" t="n">
        <v>4</v>
      </c>
      <c r="I679" s="21" t="str">
        <f aca="false">CONCATENATE(B679,"_",C679,H679)</f>
        <v>CCNB_M. guttatus4</v>
      </c>
      <c r="J679" s="22" t="n">
        <v>44702</v>
      </c>
      <c r="K679" s="23" t="n">
        <v>0.622222222222222</v>
      </c>
      <c r="L679" s="22" t="n">
        <v>44703</v>
      </c>
      <c r="M679" s="23" t="n">
        <v>0.615277777777778</v>
      </c>
      <c r="O679" s="1" t="s">
        <v>592</v>
      </c>
      <c r="P679" s="16" t="s">
        <v>561</v>
      </c>
      <c r="Q679" s="16" t="s">
        <v>562</v>
      </c>
      <c r="R679" s="16" t="s">
        <v>563</v>
      </c>
      <c r="S679" s="4" t="s">
        <v>593</v>
      </c>
      <c r="T679" s="24" t="n">
        <v>212</v>
      </c>
      <c r="U679" s="18" t="n">
        <v>2.9</v>
      </c>
      <c r="V679" s="24" t="n">
        <v>0.28</v>
      </c>
      <c r="W679" s="2" t="n">
        <v>0.2</v>
      </c>
      <c r="Z679" s="18"/>
      <c r="AA679" s="20"/>
      <c r="AB679" s="20"/>
      <c r="AC679" s="19" t="e">
        <f aca="false">(AB679-AA679)/AB679</f>
        <v>#DIV/0!</v>
      </c>
    </row>
    <row r="680" customFormat="false" ht="14.25" hidden="false" customHeight="true" outlineLevel="0" collapsed="false">
      <c r="A680" s="18" t="s">
        <v>586</v>
      </c>
      <c r="B680" s="18" t="s">
        <v>586</v>
      </c>
      <c r="C680" s="18" t="s">
        <v>40</v>
      </c>
      <c r="E680" s="2" t="n">
        <f aca="false">INDEX(FieldSites!F:F, MATCH(Ch2_FieldSurvey!B680,FieldSites!C:C,0))</f>
        <v>1997</v>
      </c>
      <c r="F680" s="2" t="n">
        <f aca="false">INDEX(FieldSites!G:G, MATCH(Ch2_FieldSurvey!B680,FieldSites!C:C,0))</f>
        <v>-119.963252</v>
      </c>
      <c r="G680" s="2" t="n">
        <f aca="false">INDEX(FieldSites!H:H, MATCH(Ch2_FieldSurvey!B680,FieldSites!C:C,0))</f>
        <v>38.183927</v>
      </c>
      <c r="H680" s="18" t="n">
        <v>4</v>
      </c>
      <c r="I680" s="21" t="str">
        <f aca="false">CONCATENATE(B680,"_",C680,H680)</f>
        <v>CCNB_M. guttatus4</v>
      </c>
      <c r="J680" s="22" t="n">
        <v>44702</v>
      </c>
      <c r="K680" s="23" t="n">
        <v>0.622222222222222</v>
      </c>
      <c r="L680" s="22" t="n">
        <v>44703</v>
      </c>
      <c r="M680" s="23" t="n">
        <v>0.615277777777778</v>
      </c>
      <c r="O680" s="1" t="s">
        <v>592</v>
      </c>
      <c r="P680" s="16" t="s">
        <v>561</v>
      </c>
      <c r="Q680" s="16" t="s">
        <v>562</v>
      </c>
      <c r="R680" s="16" t="s">
        <v>563</v>
      </c>
      <c r="S680" s="4" t="s">
        <v>593</v>
      </c>
      <c r="T680" s="24" t="n">
        <v>258</v>
      </c>
      <c r="U680" s="18" t="n">
        <v>2.9</v>
      </c>
      <c r="V680" s="24" t="n">
        <v>0.31</v>
      </c>
      <c r="Z680" s="18" t="s">
        <v>581</v>
      </c>
      <c r="AA680" s="20"/>
      <c r="AB680" s="20"/>
      <c r="AC680" s="19" t="e">
        <f aca="false">(AB680-AA680)/AB680</f>
        <v>#DIV/0!</v>
      </c>
    </row>
    <row r="681" customFormat="false" ht="14.25" hidden="false" customHeight="true" outlineLevel="0" collapsed="false">
      <c r="A681" s="18" t="s">
        <v>586</v>
      </c>
      <c r="B681" s="18" t="s">
        <v>586</v>
      </c>
      <c r="C681" s="18" t="s">
        <v>40</v>
      </c>
      <c r="E681" s="2" t="n">
        <f aca="false">INDEX(FieldSites!F:F, MATCH(Ch2_FieldSurvey!B681,FieldSites!C:C,0))</f>
        <v>1997</v>
      </c>
      <c r="F681" s="2" t="n">
        <f aca="false">INDEX(FieldSites!G:G, MATCH(Ch2_FieldSurvey!B681,FieldSites!C:C,0))</f>
        <v>-119.963252</v>
      </c>
      <c r="G681" s="2" t="n">
        <f aca="false">INDEX(FieldSites!H:H, MATCH(Ch2_FieldSurvey!B681,FieldSites!C:C,0))</f>
        <v>38.183927</v>
      </c>
      <c r="H681" s="18" t="n">
        <v>5</v>
      </c>
      <c r="I681" s="21" t="str">
        <f aca="false">CONCATENATE(B681,"_",C681,H681)</f>
        <v>CCNB_M. guttatus5</v>
      </c>
      <c r="J681" s="22" t="n">
        <v>44702</v>
      </c>
      <c r="K681" s="23" t="n">
        <v>0.622222222222222</v>
      </c>
      <c r="L681" s="22" t="n">
        <v>44703</v>
      </c>
      <c r="M681" s="23" t="n">
        <v>0.620138888888889</v>
      </c>
      <c r="O681" s="1" t="s">
        <v>594</v>
      </c>
      <c r="P681" s="16" t="s">
        <v>561</v>
      </c>
      <c r="Q681" s="16" t="s">
        <v>562</v>
      </c>
      <c r="R681" s="16" t="s">
        <v>563</v>
      </c>
      <c r="S681" s="4" t="s">
        <v>347</v>
      </c>
      <c r="T681" s="24" t="n">
        <v>249</v>
      </c>
      <c r="U681" s="18" t="n">
        <v>3.5</v>
      </c>
      <c r="V681" s="24" t="n">
        <v>0.35</v>
      </c>
      <c r="W681" s="2" t="n">
        <v>0.6</v>
      </c>
      <c r="Z681" s="18"/>
      <c r="AA681" s="20" t="n">
        <v>107411</v>
      </c>
      <c r="AB681" s="20" t="n">
        <v>119700</v>
      </c>
      <c r="AC681" s="19" t="n">
        <f aca="false">(AB681-AA681)/AB681</f>
        <v>0.102664995822891</v>
      </c>
    </row>
    <row r="682" customFormat="false" ht="14.25" hidden="false" customHeight="true" outlineLevel="0" collapsed="false">
      <c r="A682" s="18" t="s">
        <v>586</v>
      </c>
      <c r="B682" s="18" t="s">
        <v>586</v>
      </c>
      <c r="C682" s="18" t="s">
        <v>40</v>
      </c>
      <c r="E682" s="2" t="n">
        <f aca="false">INDEX(FieldSites!F:F, MATCH(Ch2_FieldSurvey!B682,FieldSites!C:C,0))</f>
        <v>1997</v>
      </c>
      <c r="F682" s="2" t="n">
        <f aca="false">INDEX(FieldSites!G:G, MATCH(Ch2_FieldSurvey!B682,FieldSites!C:C,0))</f>
        <v>-119.963252</v>
      </c>
      <c r="G682" s="2" t="n">
        <f aca="false">INDEX(FieldSites!H:H, MATCH(Ch2_FieldSurvey!B682,FieldSites!C:C,0))</f>
        <v>38.183927</v>
      </c>
      <c r="H682" s="18" t="n">
        <v>5</v>
      </c>
      <c r="I682" s="21" t="str">
        <f aca="false">CONCATENATE(B682,"_",C682,H682)</f>
        <v>CCNB_M. guttatus5</v>
      </c>
      <c r="J682" s="22" t="n">
        <v>44702</v>
      </c>
      <c r="K682" s="23" t="n">
        <v>0.622222222222222</v>
      </c>
      <c r="L682" s="22" t="n">
        <v>44703</v>
      </c>
      <c r="M682" s="23" t="n">
        <v>0.620138888888889</v>
      </c>
      <c r="O682" s="1" t="s">
        <v>594</v>
      </c>
      <c r="P682" s="16" t="s">
        <v>561</v>
      </c>
      <c r="Q682" s="16" t="s">
        <v>562</v>
      </c>
      <c r="R682" s="16" t="s">
        <v>563</v>
      </c>
      <c r="S682" s="4" t="s">
        <v>347</v>
      </c>
      <c r="T682" s="24" t="n">
        <v>265</v>
      </c>
      <c r="U682" s="18" t="n">
        <v>3.7</v>
      </c>
      <c r="V682" s="24" t="n">
        <v>0.29</v>
      </c>
      <c r="W682" s="2" t="n">
        <v>0.5</v>
      </c>
      <c r="Z682" s="18"/>
      <c r="AA682" s="20"/>
      <c r="AB682" s="20"/>
      <c r="AC682" s="19" t="e">
        <f aca="false">(AB682-AA682)/AB682</f>
        <v>#DIV/0!</v>
      </c>
    </row>
    <row r="683" customFormat="false" ht="14.25" hidden="false" customHeight="true" outlineLevel="0" collapsed="false">
      <c r="A683" s="18" t="s">
        <v>586</v>
      </c>
      <c r="B683" s="18" t="s">
        <v>586</v>
      </c>
      <c r="C683" s="18" t="s">
        <v>40</v>
      </c>
      <c r="E683" s="2" t="n">
        <f aca="false">INDEX(FieldSites!F:F, MATCH(Ch2_FieldSurvey!B683,FieldSites!C:C,0))</f>
        <v>1997</v>
      </c>
      <c r="F683" s="2" t="n">
        <f aca="false">INDEX(FieldSites!G:G, MATCH(Ch2_FieldSurvey!B683,FieldSites!C:C,0))</f>
        <v>-119.963252</v>
      </c>
      <c r="G683" s="2" t="n">
        <f aca="false">INDEX(FieldSites!H:H, MATCH(Ch2_FieldSurvey!B683,FieldSites!C:C,0))</f>
        <v>38.183927</v>
      </c>
      <c r="H683" s="18" t="n">
        <v>5</v>
      </c>
      <c r="I683" s="21" t="str">
        <f aca="false">CONCATENATE(B683,"_",C683,H683)</f>
        <v>CCNB_M. guttatus5</v>
      </c>
      <c r="J683" s="22" t="n">
        <v>44702</v>
      </c>
      <c r="K683" s="23" t="n">
        <v>0.622222222222222</v>
      </c>
      <c r="L683" s="22" t="n">
        <v>44703</v>
      </c>
      <c r="M683" s="23" t="n">
        <v>0.620138888888889</v>
      </c>
      <c r="O683" s="1" t="s">
        <v>594</v>
      </c>
      <c r="P683" s="16" t="s">
        <v>561</v>
      </c>
      <c r="Q683" s="16" t="s">
        <v>562</v>
      </c>
      <c r="R683" s="16" t="s">
        <v>563</v>
      </c>
      <c r="S683" s="4" t="s">
        <v>347</v>
      </c>
      <c r="T683" s="24" t="n">
        <v>252</v>
      </c>
      <c r="U683" s="18" t="n">
        <v>3.5</v>
      </c>
      <c r="V683" s="24" t="n">
        <v>0.27</v>
      </c>
      <c r="W683" s="2" t="n">
        <v>0.4</v>
      </c>
      <c r="Z683" s="18"/>
      <c r="AA683" s="20"/>
      <c r="AB683" s="20"/>
      <c r="AC683" s="19" t="e">
        <f aca="false">(AB683-AA683)/AB683</f>
        <v>#DIV/0!</v>
      </c>
    </row>
    <row r="684" customFormat="false" ht="14.25" hidden="false" customHeight="true" outlineLevel="0" collapsed="false">
      <c r="A684" s="18" t="s">
        <v>586</v>
      </c>
      <c r="B684" s="18" t="s">
        <v>586</v>
      </c>
      <c r="C684" s="18" t="s">
        <v>40</v>
      </c>
      <c r="E684" s="2" t="n">
        <f aca="false">INDEX(FieldSites!F:F, MATCH(Ch2_FieldSurvey!B684,FieldSites!C:C,0))</f>
        <v>1997</v>
      </c>
      <c r="F684" s="2" t="n">
        <f aca="false">INDEX(FieldSites!G:G, MATCH(Ch2_FieldSurvey!B684,FieldSites!C:C,0))</f>
        <v>-119.963252</v>
      </c>
      <c r="G684" s="2" t="n">
        <f aca="false">INDEX(FieldSites!H:H, MATCH(Ch2_FieldSurvey!B684,FieldSites!C:C,0))</f>
        <v>38.183927</v>
      </c>
      <c r="H684" s="18" t="n">
        <v>6</v>
      </c>
      <c r="I684" s="21" t="str">
        <f aca="false">CONCATENATE(B684,"_",C684,H684)</f>
        <v>CCNB_M. guttatus6</v>
      </c>
      <c r="J684" s="22" t="n">
        <v>44702</v>
      </c>
      <c r="K684" s="23" t="n">
        <v>0.622222222222222</v>
      </c>
      <c r="L684" s="22" t="n">
        <v>44703</v>
      </c>
      <c r="M684" s="23" t="n">
        <v>0.627777777777778</v>
      </c>
      <c r="O684" s="1" t="s">
        <v>595</v>
      </c>
      <c r="P684" s="16" t="s">
        <v>561</v>
      </c>
      <c r="Q684" s="16" t="s">
        <v>562</v>
      </c>
      <c r="R684" s="16" t="s">
        <v>563</v>
      </c>
      <c r="S684" s="4" t="s">
        <v>352</v>
      </c>
      <c r="T684" s="24" t="n">
        <v>245</v>
      </c>
      <c r="U684" s="18" t="n">
        <v>3.8</v>
      </c>
      <c r="V684" s="24" t="n">
        <v>0.21</v>
      </c>
      <c r="W684" s="2" t="n">
        <v>0.3</v>
      </c>
      <c r="Z684" s="18"/>
      <c r="AA684" s="20" t="n">
        <v>152721</v>
      </c>
      <c r="AB684" s="20" t="n">
        <v>185212</v>
      </c>
      <c r="AC684" s="19" t="n">
        <f aca="false">(AB684-AA684)/AB684</f>
        <v>0.175425998315444</v>
      </c>
    </row>
    <row r="685" customFormat="false" ht="14.25" hidden="false" customHeight="true" outlineLevel="0" collapsed="false">
      <c r="A685" s="18" t="s">
        <v>586</v>
      </c>
      <c r="B685" s="18" t="s">
        <v>586</v>
      </c>
      <c r="C685" s="18" t="s">
        <v>40</v>
      </c>
      <c r="E685" s="2" t="n">
        <f aca="false">INDEX(FieldSites!F:F, MATCH(Ch2_FieldSurvey!B685,FieldSites!C:C,0))</f>
        <v>1997</v>
      </c>
      <c r="F685" s="2" t="n">
        <f aca="false">INDEX(FieldSites!G:G, MATCH(Ch2_FieldSurvey!B685,FieldSites!C:C,0))</f>
        <v>-119.963252</v>
      </c>
      <c r="G685" s="2" t="n">
        <f aca="false">INDEX(FieldSites!H:H, MATCH(Ch2_FieldSurvey!B685,FieldSites!C:C,0))</f>
        <v>38.183927</v>
      </c>
      <c r="H685" s="18" t="n">
        <v>6</v>
      </c>
      <c r="I685" s="21" t="str">
        <f aca="false">CONCATENATE(B685,"_",C685,H685)</f>
        <v>CCNB_M. guttatus6</v>
      </c>
      <c r="J685" s="22" t="n">
        <v>44702</v>
      </c>
      <c r="K685" s="23" t="n">
        <v>0.622222222222222</v>
      </c>
      <c r="L685" s="22" t="n">
        <v>44703</v>
      </c>
      <c r="M685" s="23" t="n">
        <v>0.627777777777778</v>
      </c>
      <c r="O685" s="1" t="s">
        <v>595</v>
      </c>
      <c r="P685" s="16" t="s">
        <v>561</v>
      </c>
      <c r="Q685" s="16" t="s">
        <v>562</v>
      </c>
      <c r="R685" s="16" t="s">
        <v>563</v>
      </c>
      <c r="S685" s="4" t="s">
        <v>352</v>
      </c>
      <c r="T685" s="24" t="n">
        <v>255</v>
      </c>
      <c r="U685" s="18" t="n">
        <v>4.3</v>
      </c>
      <c r="V685" s="24" t="n">
        <v>0.32</v>
      </c>
      <c r="W685" s="2" t="n">
        <v>0.2</v>
      </c>
      <c r="Z685" s="18"/>
      <c r="AA685" s="20"/>
      <c r="AB685" s="20"/>
      <c r="AC685" s="19" t="e">
        <f aca="false">(AB685-AA685)/AB685</f>
        <v>#DIV/0!</v>
      </c>
    </row>
    <row r="686" customFormat="false" ht="14.25" hidden="false" customHeight="true" outlineLevel="0" collapsed="false">
      <c r="A686" s="18" t="s">
        <v>586</v>
      </c>
      <c r="B686" s="18" t="s">
        <v>586</v>
      </c>
      <c r="C686" s="18" t="s">
        <v>40</v>
      </c>
      <c r="E686" s="2" t="n">
        <f aca="false">INDEX(FieldSites!F:F, MATCH(Ch2_FieldSurvey!B686,FieldSites!C:C,0))</f>
        <v>1997</v>
      </c>
      <c r="F686" s="2" t="n">
        <f aca="false">INDEX(FieldSites!G:G, MATCH(Ch2_FieldSurvey!B686,FieldSites!C:C,0))</f>
        <v>-119.963252</v>
      </c>
      <c r="G686" s="2" t="n">
        <f aca="false">INDEX(FieldSites!H:H, MATCH(Ch2_FieldSurvey!B686,FieldSites!C:C,0))</f>
        <v>38.183927</v>
      </c>
      <c r="H686" s="18" t="n">
        <v>6</v>
      </c>
      <c r="I686" s="21" t="str">
        <f aca="false">CONCATENATE(B686,"_",C686,H686)</f>
        <v>CCNB_M. guttatus6</v>
      </c>
      <c r="J686" s="22" t="n">
        <v>44702</v>
      </c>
      <c r="K686" s="23" t="n">
        <v>0.622222222222222</v>
      </c>
      <c r="L686" s="22" t="n">
        <v>44703</v>
      </c>
      <c r="M686" s="23" t="n">
        <v>0.627777777777778</v>
      </c>
      <c r="O686" s="1" t="s">
        <v>595</v>
      </c>
      <c r="P686" s="16" t="s">
        <v>561</v>
      </c>
      <c r="Q686" s="16" t="s">
        <v>562</v>
      </c>
      <c r="R686" s="16" t="s">
        <v>563</v>
      </c>
      <c r="S686" s="4" t="s">
        <v>352</v>
      </c>
      <c r="T686" s="24" t="n">
        <v>215</v>
      </c>
      <c r="U686" s="18" t="n">
        <v>3.4</v>
      </c>
      <c r="V686" s="24" t="n">
        <v>0.27</v>
      </c>
      <c r="W686" s="2" t="n">
        <v>0.5</v>
      </c>
      <c r="Z686" s="18"/>
      <c r="AA686" s="20"/>
      <c r="AB686" s="20"/>
      <c r="AC686" s="19" t="e">
        <f aca="false">(AB686-AA686)/AB686</f>
        <v>#DIV/0!</v>
      </c>
    </row>
    <row r="687" customFormat="false" ht="14.25" hidden="false" customHeight="true" outlineLevel="0" collapsed="false">
      <c r="A687" s="18" t="s">
        <v>586</v>
      </c>
      <c r="B687" s="18" t="s">
        <v>586</v>
      </c>
      <c r="C687" s="18" t="s">
        <v>40</v>
      </c>
      <c r="E687" s="2" t="n">
        <f aca="false">INDEX(FieldSites!F:F, MATCH(Ch2_FieldSurvey!B687,FieldSites!C:C,0))</f>
        <v>1997</v>
      </c>
      <c r="F687" s="2" t="n">
        <f aca="false">INDEX(FieldSites!G:G, MATCH(Ch2_FieldSurvey!B687,FieldSites!C:C,0))</f>
        <v>-119.963252</v>
      </c>
      <c r="G687" s="2" t="n">
        <f aca="false">INDEX(FieldSites!H:H, MATCH(Ch2_FieldSurvey!B687,FieldSites!C:C,0))</f>
        <v>38.183927</v>
      </c>
      <c r="H687" s="18" t="n">
        <v>7</v>
      </c>
      <c r="I687" s="21" t="str">
        <f aca="false">CONCATENATE(B687,"_",C687,H687)</f>
        <v>CCNB_M. guttatus7</v>
      </c>
      <c r="J687" s="22" t="n">
        <v>44702</v>
      </c>
      <c r="K687" s="23" t="n">
        <v>0.622222222222222</v>
      </c>
      <c r="L687" s="22" t="n">
        <v>44703</v>
      </c>
      <c r="M687" s="23" t="n">
        <v>0.631944444444444</v>
      </c>
      <c r="O687" s="1" t="s">
        <v>596</v>
      </c>
      <c r="P687" s="16" t="s">
        <v>561</v>
      </c>
      <c r="Q687" s="16" t="s">
        <v>562</v>
      </c>
      <c r="R687" s="16" t="s">
        <v>563</v>
      </c>
      <c r="S687" s="4" t="s">
        <v>597</v>
      </c>
      <c r="T687" s="24" t="n">
        <v>270</v>
      </c>
      <c r="U687" s="18" t="n">
        <v>5.7</v>
      </c>
      <c r="V687" s="24" t="n">
        <v>0.27</v>
      </c>
      <c r="Z687" s="18" t="s">
        <v>581</v>
      </c>
      <c r="AA687" s="20" t="n">
        <v>129697</v>
      </c>
      <c r="AB687" s="20" t="n">
        <v>152763</v>
      </c>
      <c r="AC687" s="19" t="n">
        <f aca="false">(AB687-AA687)/AB687</f>
        <v>0.150992059595583</v>
      </c>
    </row>
    <row r="688" customFormat="false" ht="14.25" hidden="false" customHeight="true" outlineLevel="0" collapsed="false">
      <c r="A688" s="18" t="s">
        <v>586</v>
      </c>
      <c r="B688" s="18" t="s">
        <v>586</v>
      </c>
      <c r="C688" s="18" t="s">
        <v>40</v>
      </c>
      <c r="E688" s="2" t="n">
        <f aca="false">INDEX(FieldSites!F:F, MATCH(Ch2_FieldSurvey!B688,FieldSites!C:C,0))</f>
        <v>1997</v>
      </c>
      <c r="F688" s="2" t="n">
        <f aca="false">INDEX(FieldSites!G:G, MATCH(Ch2_FieldSurvey!B688,FieldSites!C:C,0))</f>
        <v>-119.963252</v>
      </c>
      <c r="G688" s="2" t="n">
        <f aca="false">INDEX(FieldSites!H:H, MATCH(Ch2_FieldSurvey!B688,FieldSites!C:C,0))</f>
        <v>38.183927</v>
      </c>
      <c r="H688" s="18" t="n">
        <v>7</v>
      </c>
      <c r="I688" s="21" t="str">
        <f aca="false">CONCATENATE(B688,"_",C688,H688)</f>
        <v>CCNB_M. guttatus7</v>
      </c>
      <c r="J688" s="22" t="n">
        <v>44702</v>
      </c>
      <c r="K688" s="23" t="n">
        <v>0.622222222222222</v>
      </c>
      <c r="L688" s="22" t="n">
        <v>44703</v>
      </c>
      <c r="M688" s="23" t="n">
        <v>0.631944444444444</v>
      </c>
      <c r="O688" s="1" t="s">
        <v>596</v>
      </c>
      <c r="P688" s="16" t="s">
        <v>561</v>
      </c>
      <c r="Q688" s="16" t="s">
        <v>562</v>
      </c>
      <c r="R688" s="16" t="s">
        <v>563</v>
      </c>
      <c r="S688" s="4" t="s">
        <v>597</v>
      </c>
      <c r="T688" s="24" t="n">
        <v>285</v>
      </c>
      <c r="U688" s="18" t="n">
        <v>4.9</v>
      </c>
      <c r="V688" s="24" t="n">
        <v>0.33</v>
      </c>
      <c r="Z688" s="18" t="s">
        <v>581</v>
      </c>
      <c r="AA688" s="20"/>
      <c r="AB688" s="20"/>
      <c r="AC688" s="19" t="e">
        <f aca="false">(AB688-AA688)/AB688</f>
        <v>#DIV/0!</v>
      </c>
    </row>
    <row r="689" customFormat="false" ht="14.25" hidden="false" customHeight="true" outlineLevel="0" collapsed="false">
      <c r="A689" s="18" t="s">
        <v>586</v>
      </c>
      <c r="B689" s="18" t="s">
        <v>586</v>
      </c>
      <c r="C689" s="18" t="s">
        <v>40</v>
      </c>
      <c r="E689" s="2" t="n">
        <f aca="false">INDEX(FieldSites!F:F, MATCH(Ch2_FieldSurvey!B689,FieldSites!C:C,0))</f>
        <v>1997</v>
      </c>
      <c r="F689" s="2" t="n">
        <f aca="false">INDEX(FieldSites!G:G, MATCH(Ch2_FieldSurvey!B689,FieldSites!C:C,0))</f>
        <v>-119.963252</v>
      </c>
      <c r="G689" s="2" t="n">
        <f aca="false">INDEX(FieldSites!H:H, MATCH(Ch2_FieldSurvey!B689,FieldSites!C:C,0))</f>
        <v>38.183927</v>
      </c>
      <c r="H689" s="18" t="n">
        <v>7</v>
      </c>
      <c r="I689" s="21" t="str">
        <f aca="false">CONCATENATE(B689,"_",C689,H689)</f>
        <v>CCNB_M. guttatus7</v>
      </c>
      <c r="J689" s="22" t="n">
        <v>44702</v>
      </c>
      <c r="K689" s="23" t="n">
        <v>0.622222222222222</v>
      </c>
      <c r="L689" s="22" t="n">
        <v>44703</v>
      </c>
      <c r="M689" s="23" t="n">
        <v>0.631944444444444</v>
      </c>
      <c r="O689" s="1" t="s">
        <v>596</v>
      </c>
      <c r="P689" s="16" t="s">
        <v>561</v>
      </c>
      <c r="Q689" s="16" t="s">
        <v>562</v>
      </c>
      <c r="R689" s="16" t="s">
        <v>563</v>
      </c>
      <c r="S689" s="4" t="s">
        <v>597</v>
      </c>
      <c r="T689" s="24" t="n">
        <v>265</v>
      </c>
      <c r="U689" s="18" t="n">
        <v>3.6</v>
      </c>
      <c r="V689" s="24" t="n">
        <v>0.28</v>
      </c>
      <c r="Z689" s="18" t="s">
        <v>581</v>
      </c>
      <c r="AA689" s="20"/>
      <c r="AB689" s="20"/>
      <c r="AC689" s="19" t="e">
        <f aca="false">(AB689-AA689)/AB689</f>
        <v>#DIV/0!</v>
      </c>
    </row>
    <row r="690" customFormat="false" ht="14.25" hidden="false" customHeight="true" outlineLevel="0" collapsed="false">
      <c r="A690" s="18" t="s">
        <v>586</v>
      </c>
      <c r="B690" s="18" t="s">
        <v>586</v>
      </c>
      <c r="C690" s="18" t="s">
        <v>40</v>
      </c>
      <c r="E690" s="2" t="n">
        <f aca="false">INDEX(FieldSites!F:F, MATCH(Ch2_FieldSurvey!B690,FieldSites!C:C,0))</f>
        <v>1997</v>
      </c>
      <c r="F690" s="2" t="n">
        <f aca="false">INDEX(FieldSites!G:G, MATCH(Ch2_FieldSurvey!B690,FieldSites!C:C,0))</f>
        <v>-119.963252</v>
      </c>
      <c r="G690" s="2" t="n">
        <f aca="false">INDEX(FieldSites!H:H, MATCH(Ch2_FieldSurvey!B690,FieldSites!C:C,0))</f>
        <v>38.183927</v>
      </c>
      <c r="H690" s="18" t="n">
        <v>8</v>
      </c>
      <c r="I690" s="21" t="str">
        <f aca="false">CONCATENATE(B690,"_",C690,H690)</f>
        <v>CCNB_M. guttatus8</v>
      </c>
      <c r="J690" s="22" t="n">
        <v>44702</v>
      </c>
      <c r="K690" s="23" t="n">
        <v>0.622222222222222</v>
      </c>
      <c r="L690" s="22" t="n">
        <v>44703</v>
      </c>
      <c r="M690" s="23" t="n">
        <v>0.636805555555556</v>
      </c>
      <c r="O690" s="1" t="s">
        <v>598</v>
      </c>
      <c r="P690" s="16" t="s">
        <v>561</v>
      </c>
      <c r="Q690" s="16" t="s">
        <v>562</v>
      </c>
      <c r="R690" s="16" t="s">
        <v>563</v>
      </c>
      <c r="S690" s="4" t="s">
        <v>358</v>
      </c>
      <c r="T690" s="24" t="n">
        <v>205</v>
      </c>
      <c r="U690" s="18" t="n">
        <v>3.8</v>
      </c>
      <c r="V690" s="24" t="n">
        <v>0.42</v>
      </c>
      <c r="Z690" s="18" t="s">
        <v>581</v>
      </c>
      <c r="AA690" s="20" t="n">
        <v>77630</v>
      </c>
      <c r="AB690" s="20" t="n">
        <v>88418</v>
      </c>
      <c r="AC690" s="19" t="n">
        <f aca="false">(AB690-AA690)/AB690</f>
        <v>0.122011355153928</v>
      </c>
    </row>
    <row r="691" customFormat="false" ht="14.25" hidden="false" customHeight="true" outlineLevel="0" collapsed="false">
      <c r="A691" s="18" t="s">
        <v>586</v>
      </c>
      <c r="B691" s="18" t="s">
        <v>586</v>
      </c>
      <c r="C691" s="18" t="s">
        <v>40</v>
      </c>
      <c r="E691" s="2" t="n">
        <f aca="false">INDEX(FieldSites!F:F, MATCH(Ch2_FieldSurvey!B691,FieldSites!C:C,0))</f>
        <v>1997</v>
      </c>
      <c r="F691" s="2" t="n">
        <f aca="false">INDEX(FieldSites!G:G, MATCH(Ch2_FieldSurvey!B691,FieldSites!C:C,0))</f>
        <v>-119.963252</v>
      </c>
      <c r="G691" s="2" t="n">
        <f aca="false">INDEX(FieldSites!H:H, MATCH(Ch2_FieldSurvey!B691,FieldSites!C:C,0))</f>
        <v>38.183927</v>
      </c>
      <c r="H691" s="18" t="n">
        <v>8</v>
      </c>
      <c r="I691" s="21" t="str">
        <f aca="false">CONCATENATE(B691,"_",C691,H691)</f>
        <v>CCNB_M. guttatus8</v>
      </c>
      <c r="J691" s="22" t="n">
        <v>44702</v>
      </c>
      <c r="K691" s="23" t="n">
        <v>0.622222222222222</v>
      </c>
      <c r="L691" s="22" t="n">
        <v>44703</v>
      </c>
      <c r="M691" s="23" t="n">
        <v>0.636805555555556</v>
      </c>
      <c r="O691" s="1" t="s">
        <v>598</v>
      </c>
      <c r="P691" s="16" t="s">
        <v>561</v>
      </c>
      <c r="Q691" s="16" t="s">
        <v>562</v>
      </c>
      <c r="R691" s="16" t="s">
        <v>563</v>
      </c>
      <c r="S691" s="4" t="s">
        <v>358</v>
      </c>
      <c r="T691" s="24" t="n">
        <v>237</v>
      </c>
      <c r="U691" s="18" t="n">
        <v>3.8</v>
      </c>
      <c r="V691" s="24" t="n">
        <v>0.25</v>
      </c>
      <c r="Z691" s="18" t="s">
        <v>581</v>
      </c>
      <c r="AA691" s="20"/>
      <c r="AB691" s="20"/>
      <c r="AC691" s="19" t="e">
        <f aca="false">(AB691-AA691)/AB691</f>
        <v>#DIV/0!</v>
      </c>
    </row>
    <row r="692" customFormat="false" ht="14.25" hidden="false" customHeight="true" outlineLevel="0" collapsed="false">
      <c r="A692" s="18" t="s">
        <v>586</v>
      </c>
      <c r="B692" s="18" t="s">
        <v>586</v>
      </c>
      <c r="C692" s="18" t="s">
        <v>40</v>
      </c>
      <c r="E692" s="2" t="n">
        <f aca="false">INDEX(FieldSites!F:F, MATCH(Ch2_FieldSurvey!B692,FieldSites!C:C,0))</f>
        <v>1997</v>
      </c>
      <c r="F692" s="2" t="n">
        <f aca="false">INDEX(FieldSites!G:G, MATCH(Ch2_FieldSurvey!B692,FieldSites!C:C,0))</f>
        <v>-119.963252</v>
      </c>
      <c r="G692" s="2" t="n">
        <f aca="false">INDEX(FieldSites!H:H, MATCH(Ch2_FieldSurvey!B692,FieldSites!C:C,0))</f>
        <v>38.183927</v>
      </c>
      <c r="H692" s="18" t="n">
        <v>8</v>
      </c>
      <c r="I692" s="21" t="str">
        <f aca="false">CONCATENATE(B692,"_",C692,H692)</f>
        <v>CCNB_M. guttatus8</v>
      </c>
      <c r="J692" s="22" t="n">
        <v>44702</v>
      </c>
      <c r="K692" s="23" t="n">
        <v>0.622222222222222</v>
      </c>
      <c r="L692" s="22" t="n">
        <v>44703</v>
      </c>
      <c r="M692" s="23" t="n">
        <v>0.636805555555556</v>
      </c>
      <c r="O692" s="1" t="s">
        <v>598</v>
      </c>
      <c r="P692" s="16" t="s">
        <v>561</v>
      </c>
      <c r="Q692" s="16" t="s">
        <v>562</v>
      </c>
      <c r="R692" s="16" t="s">
        <v>563</v>
      </c>
      <c r="S692" s="4" t="s">
        <v>358</v>
      </c>
      <c r="T692" s="24" t="n">
        <v>235</v>
      </c>
      <c r="U692" s="18" t="n">
        <v>3.7</v>
      </c>
      <c r="V692" s="24" t="n">
        <v>0.24</v>
      </c>
      <c r="Z692" s="18" t="s">
        <v>581</v>
      </c>
      <c r="AA692" s="20"/>
      <c r="AB692" s="20"/>
      <c r="AC692" s="19" t="e">
        <f aca="false">(AB692-AA692)/AB692</f>
        <v>#DIV/0!</v>
      </c>
    </row>
    <row r="693" customFormat="false" ht="14.25" hidden="false" customHeight="true" outlineLevel="0" collapsed="false">
      <c r="A693" s="18" t="s">
        <v>586</v>
      </c>
      <c r="B693" s="18" t="s">
        <v>586</v>
      </c>
      <c r="C693" s="18" t="s">
        <v>40</v>
      </c>
      <c r="E693" s="2" t="n">
        <f aca="false">INDEX(FieldSites!F:F, MATCH(Ch2_FieldSurvey!B693,FieldSites!C:C,0))</f>
        <v>1997</v>
      </c>
      <c r="F693" s="2" t="n">
        <f aca="false">INDEX(FieldSites!G:G, MATCH(Ch2_FieldSurvey!B693,FieldSites!C:C,0))</f>
        <v>-119.963252</v>
      </c>
      <c r="G693" s="2" t="n">
        <f aca="false">INDEX(FieldSites!H:H, MATCH(Ch2_FieldSurvey!B693,FieldSites!C:C,0))</f>
        <v>38.183927</v>
      </c>
      <c r="H693" s="18" t="n">
        <v>9</v>
      </c>
      <c r="I693" s="21" t="str">
        <f aca="false">CONCATENATE(B693,"_",C693,H693)</f>
        <v>CCNB_M. guttatus9</v>
      </c>
      <c r="J693" s="22" t="n">
        <v>44702</v>
      </c>
      <c r="K693" s="23" t="n">
        <v>0.622222222222222</v>
      </c>
      <c r="L693" s="22" t="n">
        <v>44703</v>
      </c>
      <c r="M693" s="23" t="n">
        <v>0.640972222222222</v>
      </c>
      <c r="O693" s="1" t="s">
        <v>599</v>
      </c>
      <c r="P693" s="16" t="s">
        <v>561</v>
      </c>
      <c r="Q693" s="16" t="s">
        <v>562</v>
      </c>
      <c r="R693" s="16" t="s">
        <v>563</v>
      </c>
      <c r="S693" s="4" t="s">
        <v>600</v>
      </c>
      <c r="T693" s="24" t="n">
        <v>240</v>
      </c>
      <c r="U693" s="18" t="n">
        <v>3.6</v>
      </c>
      <c r="V693" s="24" t="n">
        <v>0.22</v>
      </c>
      <c r="Z693" s="18" t="s">
        <v>581</v>
      </c>
      <c r="AA693" s="20" t="n">
        <v>83637</v>
      </c>
      <c r="AB693" s="20" t="n">
        <v>93374</v>
      </c>
      <c r="AC693" s="19" t="n">
        <f aca="false">(AB693-AA693)/AB693</f>
        <v>0.104279563904299</v>
      </c>
    </row>
    <row r="694" customFormat="false" ht="14.25" hidden="false" customHeight="true" outlineLevel="0" collapsed="false">
      <c r="A694" s="18" t="s">
        <v>586</v>
      </c>
      <c r="B694" s="18" t="s">
        <v>586</v>
      </c>
      <c r="C694" s="18" t="s">
        <v>40</v>
      </c>
      <c r="E694" s="2" t="n">
        <f aca="false">INDEX(FieldSites!F:F, MATCH(Ch2_FieldSurvey!B694,FieldSites!C:C,0))</f>
        <v>1997</v>
      </c>
      <c r="F694" s="2" t="n">
        <f aca="false">INDEX(FieldSites!G:G, MATCH(Ch2_FieldSurvey!B694,FieldSites!C:C,0))</f>
        <v>-119.963252</v>
      </c>
      <c r="G694" s="2" t="n">
        <f aca="false">INDEX(FieldSites!H:H, MATCH(Ch2_FieldSurvey!B694,FieldSites!C:C,0))</f>
        <v>38.183927</v>
      </c>
      <c r="H694" s="18" t="n">
        <v>9</v>
      </c>
      <c r="I694" s="21" t="str">
        <f aca="false">CONCATENATE(B694,"_",C694,H694)</f>
        <v>CCNB_M. guttatus9</v>
      </c>
      <c r="J694" s="22" t="n">
        <v>44702</v>
      </c>
      <c r="K694" s="23" t="n">
        <v>0.622222222222222</v>
      </c>
      <c r="L694" s="22" t="n">
        <v>44703</v>
      </c>
      <c r="M694" s="23" t="n">
        <v>0.640972222222222</v>
      </c>
      <c r="O694" s="1" t="s">
        <v>599</v>
      </c>
      <c r="P694" s="16" t="s">
        <v>561</v>
      </c>
      <c r="Q694" s="16" t="s">
        <v>562</v>
      </c>
      <c r="R694" s="16" t="s">
        <v>563</v>
      </c>
      <c r="S694" s="4" t="s">
        <v>600</v>
      </c>
      <c r="T694" s="24" t="n">
        <v>245</v>
      </c>
      <c r="U694" s="18" t="n">
        <v>2.1</v>
      </c>
      <c r="V694" s="24" t="n">
        <v>0.34</v>
      </c>
      <c r="Z694" s="18" t="s">
        <v>581</v>
      </c>
      <c r="AA694" s="20"/>
      <c r="AB694" s="20"/>
      <c r="AC694" s="19" t="e">
        <f aca="false">(AB694-AA694)/AB694</f>
        <v>#DIV/0!</v>
      </c>
    </row>
    <row r="695" customFormat="false" ht="14.25" hidden="false" customHeight="true" outlineLevel="0" collapsed="false">
      <c r="A695" s="18" t="s">
        <v>586</v>
      </c>
      <c r="B695" s="18" t="s">
        <v>586</v>
      </c>
      <c r="C695" s="18" t="s">
        <v>40</v>
      </c>
      <c r="E695" s="2" t="n">
        <f aca="false">INDEX(FieldSites!F:F, MATCH(Ch2_FieldSurvey!B695,FieldSites!C:C,0))</f>
        <v>1997</v>
      </c>
      <c r="F695" s="2" t="n">
        <f aca="false">INDEX(FieldSites!G:G, MATCH(Ch2_FieldSurvey!B695,FieldSites!C:C,0))</f>
        <v>-119.963252</v>
      </c>
      <c r="G695" s="2" t="n">
        <f aca="false">INDEX(FieldSites!H:H, MATCH(Ch2_FieldSurvey!B695,FieldSites!C:C,0))</f>
        <v>38.183927</v>
      </c>
      <c r="H695" s="18" t="n">
        <v>9</v>
      </c>
      <c r="I695" s="21" t="str">
        <f aca="false">CONCATENATE(B695,"_",C695,H695)</f>
        <v>CCNB_M. guttatus9</v>
      </c>
      <c r="J695" s="22" t="n">
        <v>44702</v>
      </c>
      <c r="K695" s="23" t="n">
        <v>0.622222222222222</v>
      </c>
      <c r="L695" s="22" t="n">
        <v>44703</v>
      </c>
      <c r="M695" s="23" t="n">
        <v>0.640972222222222</v>
      </c>
      <c r="O695" s="1" t="s">
        <v>599</v>
      </c>
      <c r="P695" s="16" t="s">
        <v>561</v>
      </c>
      <c r="Q695" s="16" t="s">
        <v>562</v>
      </c>
      <c r="R695" s="16" t="s">
        <v>563</v>
      </c>
      <c r="S695" s="4" t="s">
        <v>600</v>
      </c>
      <c r="T695" s="24" t="n">
        <v>172</v>
      </c>
      <c r="U695" s="18" t="n">
        <v>3.2</v>
      </c>
      <c r="V695" s="24" t="n">
        <v>0.25</v>
      </c>
      <c r="Z695" s="18" t="s">
        <v>581</v>
      </c>
      <c r="AA695" s="20"/>
      <c r="AB695" s="20"/>
      <c r="AC695" s="19" t="e">
        <f aca="false">(AB695-AA695)/AB695</f>
        <v>#DIV/0!</v>
      </c>
    </row>
    <row r="696" customFormat="false" ht="14.25" hidden="false" customHeight="true" outlineLevel="0" collapsed="false">
      <c r="A696" s="18" t="s">
        <v>586</v>
      </c>
      <c r="B696" s="18" t="s">
        <v>586</v>
      </c>
      <c r="C696" s="18" t="s">
        <v>40</v>
      </c>
      <c r="E696" s="2" t="n">
        <f aca="false">INDEX(FieldSites!F:F, MATCH(Ch2_FieldSurvey!B696,FieldSites!C:C,0))</f>
        <v>1997</v>
      </c>
      <c r="F696" s="2" t="n">
        <f aca="false">INDEX(FieldSites!G:G, MATCH(Ch2_FieldSurvey!B696,FieldSites!C:C,0))</f>
        <v>-119.963252</v>
      </c>
      <c r="G696" s="2" t="n">
        <f aca="false">INDEX(FieldSites!H:H, MATCH(Ch2_FieldSurvey!B696,FieldSites!C:C,0))</f>
        <v>38.183927</v>
      </c>
      <c r="H696" s="18" t="n">
        <v>10</v>
      </c>
      <c r="I696" s="21" t="str">
        <f aca="false">CONCATENATE(B696,"_",C696,H696)</f>
        <v>CCNB_M. guttatus10</v>
      </c>
      <c r="J696" s="22" t="n">
        <v>44702</v>
      </c>
      <c r="K696" s="23" t="n">
        <v>0.622222222222222</v>
      </c>
      <c r="L696" s="22" t="n">
        <v>44703</v>
      </c>
      <c r="M696" s="23" t="n">
        <v>0.645833333333333</v>
      </c>
      <c r="O696" s="1" t="s">
        <v>601</v>
      </c>
      <c r="P696" s="16" t="s">
        <v>561</v>
      </c>
      <c r="Q696" s="16" t="s">
        <v>562</v>
      </c>
      <c r="R696" s="16" t="s">
        <v>563</v>
      </c>
      <c r="S696" s="4" t="s">
        <v>602</v>
      </c>
      <c r="T696" s="24" t="n">
        <v>240</v>
      </c>
      <c r="U696" s="18" t="n">
        <v>5.6</v>
      </c>
      <c r="V696" s="24" t="n">
        <v>0.33</v>
      </c>
      <c r="W696" s="2" t="n">
        <v>0.4</v>
      </c>
      <c r="Z696" s="18"/>
      <c r="AA696" s="20" t="n">
        <v>115820</v>
      </c>
      <c r="AB696" s="20" t="n">
        <v>126550</v>
      </c>
      <c r="AC696" s="19" t="n">
        <f aca="false">(AB696-AA696)/AB696</f>
        <v>0.0847886210983801</v>
      </c>
    </row>
    <row r="697" customFormat="false" ht="14.25" hidden="false" customHeight="true" outlineLevel="0" collapsed="false">
      <c r="A697" s="18" t="s">
        <v>586</v>
      </c>
      <c r="B697" s="18" t="s">
        <v>586</v>
      </c>
      <c r="C697" s="18" t="s">
        <v>40</v>
      </c>
      <c r="E697" s="2" t="n">
        <f aca="false">INDEX(FieldSites!F:F, MATCH(Ch2_FieldSurvey!B697,FieldSites!C:C,0))</f>
        <v>1997</v>
      </c>
      <c r="F697" s="2" t="n">
        <f aca="false">INDEX(FieldSites!G:G, MATCH(Ch2_FieldSurvey!B697,FieldSites!C:C,0))</f>
        <v>-119.963252</v>
      </c>
      <c r="G697" s="2" t="n">
        <f aca="false">INDEX(FieldSites!H:H, MATCH(Ch2_FieldSurvey!B697,FieldSites!C:C,0))</f>
        <v>38.183927</v>
      </c>
      <c r="H697" s="18" t="n">
        <v>10</v>
      </c>
      <c r="I697" s="21" t="str">
        <f aca="false">CONCATENATE(B697,"_",C697,H697)</f>
        <v>CCNB_M. guttatus10</v>
      </c>
      <c r="J697" s="22" t="n">
        <v>44702</v>
      </c>
      <c r="K697" s="23" t="n">
        <v>0.622222222222222</v>
      </c>
      <c r="L697" s="22" t="n">
        <v>44703</v>
      </c>
      <c r="M697" s="23" t="n">
        <v>0.645833333333333</v>
      </c>
      <c r="O697" s="1" t="s">
        <v>601</v>
      </c>
      <c r="P697" s="16" t="s">
        <v>561</v>
      </c>
      <c r="Q697" s="16" t="s">
        <v>562</v>
      </c>
      <c r="R697" s="16" t="s">
        <v>563</v>
      </c>
      <c r="S697" s="4" t="s">
        <v>602</v>
      </c>
      <c r="T697" s="24" t="n">
        <v>195</v>
      </c>
      <c r="U697" s="18" t="n">
        <v>7.6</v>
      </c>
      <c r="V697" s="24" t="n">
        <v>0.28</v>
      </c>
      <c r="W697" s="2" t="n">
        <v>0.3</v>
      </c>
      <c r="Z697" s="18"/>
      <c r="AA697" s="20"/>
      <c r="AB697" s="20"/>
      <c r="AC697" s="19" t="e">
        <f aca="false">(AB697-AA697)/AB697</f>
        <v>#DIV/0!</v>
      </c>
    </row>
    <row r="698" customFormat="false" ht="14.25" hidden="false" customHeight="true" outlineLevel="0" collapsed="false">
      <c r="A698" s="18" t="s">
        <v>586</v>
      </c>
      <c r="B698" s="18" t="s">
        <v>586</v>
      </c>
      <c r="C698" s="18" t="s">
        <v>40</v>
      </c>
      <c r="E698" s="2" t="n">
        <f aca="false">INDEX(FieldSites!F:F, MATCH(Ch2_FieldSurvey!B698,FieldSites!C:C,0))</f>
        <v>1997</v>
      </c>
      <c r="F698" s="2" t="n">
        <f aca="false">INDEX(FieldSites!G:G, MATCH(Ch2_FieldSurvey!B698,FieldSites!C:C,0))</f>
        <v>-119.963252</v>
      </c>
      <c r="G698" s="2" t="n">
        <f aca="false">INDEX(FieldSites!H:H, MATCH(Ch2_FieldSurvey!B698,FieldSites!C:C,0))</f>
        <v>38.183927</v>
      </c>
      <c r="H698" s="18" t="n">
        <v>10</v>
      </c>
      <c r="I698" s="21" t="str">
        <f aca="false">CONCATENATE(B698,"_",C698,H698)</f>
        <v>CCNB_M. guttatus10</v>
      </c>
      <c r="J698" s="22" t="n">
        <v>44702</v>
      </c>
      <c r="K698" s="23" t="n">
        <v>0.622222222222222</v>
      </c>
      <c r="L698" s="22" t="n">
        <v>44703</v>
      </c>
      <c r="M698" s="23" t="n">
        <v>0.645833333333333</v>
      </c>
      <c r="O698" s="1" t="s">
        <v>601</v>
      </c>
      <c r="P698" s="16" t="s">
        <v>561</v>
      </c>
      <c r="Q698" s="16" t="s">
        <v>562</v>
      </c>
      <c r="R698" s="16" t="s">
        <v>563</v>
      </c>
      <c r="S698" s="4" t="s">
        <v>602</v>
      </c>
      <c r="T698" s="24" t="n">
        <v>255</v>
      </c>
      <c r="U698" s="18" t="n">
        <v>5.1</v>
      </c>
      <c r="V698" s="24" t="n">
        <v>0.28</v>
      </c>
      <c r="W698" s="2" t="n">
        <v>0.3</v>
      </c>
      <c r="Z698" s="18"/>
      <c r="AA698" s="20"/>
      <c r="AB698" s="20"/>
      <c r="AC698" s="19" t="e">
        <f aca="false">(AB698-AA698)/AB698</f>
        <v>#DIV/0!</v>
      </c>
    </row>
    <row r="699" customFormat="false" ht="14.25" hidden="false" customHeight="true" outlineLevel="0" collapsed="false">
      <c r="A699" s="18" t="s">
        <v>586</v>
      </c>
      <c r="B699" s="18" t="s">
        <v>586</v>
      </c>
      <c r="C699" s="18" t="s">
        <v>40</v>
      </c>
      <c r="E699" s="2" t="n">
        <f aca="false">INDEX(FieldSites!F:F, MATCH(Ch2_FieldSurvey!B699,FieldSites!C:C,0))</f>
        <v>1997</v>
      </c>
      <c r="F699" s="2" t="n">
        <f aca="false">INDEX(FieldSites!G:G, MATCH(Ch2_FieldSurvey!B699,FieldSites!C:C,0))</f>
        <v>-119.963252</v>
      </c>
      <c r="G699" s="2" t="n">
        <f aca="false">INDEX(FieldSites!H:H, MATCH(Ch2_FieldSurvey!B699,FieldSites!C:C,0))</f>
        <v>38.183927</v>
      </c>
      <c r="H699" s="18" t="n">
        <v>11</v>
      </c>
      <c r="I699" s="21" t="str">
        <f aca="false">CONCATENATE(B699,"_",C699,H699)</f>
        <v>CCNB_M. guttatus11</v>
      </c>
      <c r="J699" s="22" t="n">
        <v>44702</v>
      </c>
      <c r="K699" s="23" t="n">
        <v>0.622222222222222</v>
      </c>
      <c r="L699" s="22" t="n">
        <v>44703</v>
      </c>
      <c r="M699" s="23" t="n">
        <v>0.650694444444445</v>
      </c>
      <c r="O699" s="1" t="s">
        <v>603</v>
      </c>
      <c r="P699" s="16" t="s">
        <v>561</v>
      </c>
      <c r="Q699" s="16" t="s">
        <v>562</v>
      </c>
      <c r="R699" s="16" t="s">
        <v>563</v>
      </c>
      <c r="S699" s="4" t="s">
        <v>604</v>
      </c>
      <c r="T699" s="24" t="n">
        <v>202</v>
      </c>
      <c r="U699" s="18" t="n">
        <v>3.7</v>
      </c>
      <c r="V699" s="24" t="n">
        <v>0.31</v>
      </c>
      <c r="Z699" s="18" t="s">
        <v>581</v>
      </c>
      <c r="AA699" s="20" t="n">
        <v>101690</v>
      </c>
      <c r="AB699" s="20" t="n">
        <v>119469</v>
      </c>
      <c r="AC699" s="19" t="n">
        <f aca="false">(AB699-AA699)/AB699</f>
        <v>0.148816847885225</v>
      </c>
    </row>
    <row r="700" customFormat="false" ht="14.25" hidden="false" customHeight="true" outlineLevel="0" collapsed="false">
      <c r="A700" s="18" t="s">
        <v>586</v>
      </c>
      <c r="B700" s="18" t="s">
        <v>586</v>
      </c>
      <c r="C700" s="18" t="s">
        <v>40</v>
      </c>
      <c r="E700" s="2" t="n">
        <f aca="false">INDEX(FieldSites!F:F, MATCH(Ch2_FieldSurvey!B700,FieldSites!C:C,0))</f>
        <v>1997</v>
      </c>
      <c r="F700" s="2" t="n">
        <f aca="false">INDEX(FieldSites!G:G, MATCH(Ch2_FieldSurvey!B700,FieldSites!C:C,0))</f>
        <v>-119.963252</v>
      </c>
      <c r="G700" s="2" t="n">
        <f aca="false">INDEX(FieldSites!H:H, MATCH(Ch2_FieldSurvey!B700,FieldSites!C:C,0))</f>
        <v>38.183927</v>
      </c>
      <c r="H700" s="18" t="n">
        <v>11</v>
      </c>
      <c r="I700" s="21" t="str">
        <f aca="false">CONCATENATE(B700,"_",C700,H700)</f>
        <v>CCNB_M. guttatus11</v>
      </c>
      <c r="J700" s="22" t="n">
        <v>44702</v>
      </c>
      <c r="K700" s="23" t="n">
        <v>0.622222222222222</v>
      </c>
      <c r="L700" s="22" t="n">
        <v>44703</v>
      </c>
      <c r="M700" s="23" t="n">
        <v>0.650694444444445</v>
      </c>
      <c r="O700" s="1" t="s">
        <v>603</v>
      </c>
      <c r="P700" s="16" t="s">
        <v>561</v>
      </c>
      <c r="Q700" s="16" t="s">
        <v>562</v>
      </c>
      <c r="R700" s="16" t="s">
        <v>563</v>
      </c>
      <c r="S700" s="4" t="s">
        <v>604</v>
      </c>
      <c r="T700" s="24" t="n">
        <v>221</v>
      </c>
      <c r="U700" s="18" t="n">
        <v>3.1</v>
      </c>
      <c r="V700" s="24" t="n">
        <v>0.31</v>
      </c>
      <c r="Z700" s="18" t="s">
        <v>581</v>
      </c>
      <c r="AA700" s="20"/>
      <c r="AB700" s="20"/>
      <c r="AC700" s="19" t="e">
        <f aca="false">(AB700-AA700)/AB700</f>
        <v>#DIV/0!</v>
      </c>
    </row>
    <row r="701" customFormat="false" ht="14.25" hidden="false" customHeight="true" outlineLevel="0" collapsed="false">
      <c r="A701" s="18" t="s">
        <v>586</v>
      </c>
      <c r="B701" s="18" t="s">
        <v>586</v>
      </c>
      <c r="C701" s="18" t="s">
        <v>40</v>
      </c>
      <c r="E701" s="2" t="n">
        <f aca="false">INDEX(FieldSites!F:F, MATCH(Ch2_FieldSurvey!B701,FieldSites!C:C,0))</f>
        <v>1997</v>
      </c>
      <c r="F701" s="2" t="n">
        <f aca="false">INDEX(FieldSites!G:G, MATCH(Ch2_FieldSurvey!B701,FieldSites!C:C,0))</f>
        <v>-119.963252</v>
      </c>
      <c r="G701" s="2" t="n">
        <f aca="false">INDEX(FieldSites!H:H, MATCH(Ch2_FieldSurvey!B701,FieldSites!C:C,0))</f>
        <v>38.183927</v>
      </c>
      <c r="H701" s="18" t="n">
        <v>11</v>
      </c>
      <c r="I701" s="21" t="str">
        <f aca="false">CONCATENATE(B701,"_",C701,H701)</f>
        <v>CCNB_M. guttatus11</v>
      </c>
      <c r="J701" s="22" t="n">
        <v>44702</v>
      </c>
      <c r="K701" s="23" t="n">
        <v>0.622222222222222</v>
      </c>
      <c r="L701" s="22" t="n">
        <v>44703</v>
      </c>
      <c r="M701" s="23" t="n">
        <v>0.650694444444445</v>
      </c>
      <c r="O701" s="1" t="s">
        <v>603</v>
      </c>
      <c r="P701" s="16" t="s">
        <v>561</v>
      </c>
      <c r="Q701" s="16" t="s">
        <v>562</v>
      </c>
      <c r="R701" s="16" t="s">
        <v>563</v>
      </c>
      <c r="S701" s="4" t="s">
        <v>604</v>
      </c>
      <c r="T701" s="24" t="n">
        <v>240</v>
      </c>
      <c r="U701" s="18" t="n">
        <v>3.6</v>
      </c>
      <c r="V701" s="24" t="n">
        <v>0.38</v>
      </c>
      <c r="Z701" s="18" t="s">
        <v>581</v>
      </c>
      <c r="AA701" s="20"/>
      <c r="AB701" s="20"/>
      <c r="AC701" s="19" t="e">
        <f aca="false">(AB701-AA701)/AB701</f>
        <v>#DIV/0!</v>
      </c>
    </row>
    <row r="702" customFormat="false" ht="14.25" hidden="false" customHeight="true" outlineLevel="0" collapsed="false">
      <c r="A702" s="18" t="s">
        <v>586</v>
      </c>
      <c r="B702" s="18" t="s">
        <v>586</v>
      </c>
      <c r="C702" s="18" t="s">
        <v>40</v>
      </c>
      <c r="E702" s="2" t="n">
        <f aca="false">INDEX(FieldSites!F:F, MATCH(Ch2_FieldSurvey!B702,FieldSites!C:C,0))</f>
        <v>1997</v>
      </c>
      <c r="F702" s="2" t="n">
        <f aca="false">INDEX(FieldSites!G:G, MATCH(Ch2_FieldSurvey!B702,FieldSites!C:C,0))</f>
        <v>-119.963252</v>
      </c>
      <c r="G702" s="2" t="n">
        <f aca="false">INDEX(FieldSites!H:H, MATCH(Ch2_FieldSurvey!B702,FieldSites!C:C,0))</f>
        <v>38.183927</v>
      </c>
      <c r="H702" s="18" t="n">
        <v>12</v>
      </c>
      <c r="I702" s="21" t="str">
        <f aca="false">CONCATENATE(B702,"_",C702,H702)</f>
        <v>CCNB_M. guttatus12</v>
      </c>
      <c r="J702" s="22" t="n">
        <v>44702</v>
      </c>
      <c r="K702" s="23" t="n">
        <v>0.622222222222222</v>
      </c>
      <c r="L702" s="22" t="n">
        <v>44703</v>
      </c>
      <c r="M702" s="23" t="n">
        <v>0.655555555555556</v>
      </c>
      <c r="O702" s="1" t="s">
        <v>605</v>
      </c>
      <c r="P702" s="16" t="s">
        <v>561</v>
      </c>
      <c r="Q702" s="16" t="s">
        <v>562</v>
      </c>
      <c r="R702" s="16" t="s">
        <v>563</v>
      </c>
      <c r="S702" s="4" t="s">
        <v>606</v>
      </c>
      <c r="T702" s="24" t="n">
        <v>254</v>
      </c>
      <c r="U702" s="18" t="n">
        <v>3.1</v>
      </c>
      <c r="V702" s="24" t="n">
        <v>0.33</v>
      </c>
      <c r="Z702" s="18" t="s">
        <v>581</v>
      </c>
      <c r="AA702" s="20" t="n">
        <v>153620</v>
      </c>
      <c r="AB702" s="20" t="n">
        <v>172884</v>
      </c>
      <c r="AC702" s="19" t="n">
        <f aca="false">(AB702-AA702)/AB702</f>
        <v>0.111427315425372</v>
      </c>
    </row>
    <row r="703" customFormat="false" ht="14.25" hidden="false" customHeight="true" outlineLevel="0" collapsed="false">
      <c r="A703" s="18" t="s">
        <v>586</v>
      </c>
      <c r="B703" s="18" t="s">
        <v>586</v>
      </c>
      <c r="C703" s="18" t="s">
        <v>40</v>
      </c>
      <c r="E703" s="2" t="n">
        <f aca="false">INDEX(FieldSites!F:F, MATCH(Ch2_FieldSurvey!B703,FieldSites!C:C,0))</f>
        <v>1997</v>
      </c>
      <c r="F703" s="2" t="n">
        <f aca="false">INDEX(FieldSites!G:G, MATCH(Ch2_FieldSurvey!B703,FieldSites!C:C,0))</f>
        <v>-119.963252</v>
      </c>
      <c r="G703" s="2" t="n">
        <f aca="false">INDEX(FieldSites!H:H, MATCH(Ch2_FieldSurvey!B703,FieldSites!C:C,0))</f>
        <v>38.183927</v>
      </c>
      <c r="H703" s="18" t="n">
        <v>12</v>
      </c>
      <c r="I703" s="21" t="str">
        <f aca="false">CONCATENATE(B703,"_",C703,H703)</f>
        <v>CCNB_M. guttatus12</v>
      </c>
      <c r="J703" s="22" t="n">
        <v>44702</v>
      </c>
      <c r="K703" s="23" t="n">
        <v>0.622222222222222</v>
      </c>
      <c r="L703" s="22" t="n">
        <v>44703</v>
      </c>
      <c r="M703" s="23" t="n">
        <v>0.655555555555556</v>
      </c>
      <c r="O703" s="1" t="s">
        <v>605</v>
      </c>
      <c r="P703" s="16" t="s">
        <v>561</v>
      </c>
      <c r="Q703" s="16" t="s">
        <v>562</v>
      </c>
      <c r="R703" s="16" t="s">
        <v>563</v>
      </c>
      <c r="S703" s="4" t="s">
        <v>606</v>
      </c>
      <c r="T703" s="24" t="n">
        <v>212</v>
      </c>
      <c r="U703" s="18" t="n">
        <v>2.3</v>
      </c>
      <c r="V703" s="24" t="n">
        <v>0.37</v>
      </c>
      <c r="Z703" s="18" t="s">
        <v>581</v>
      </c>
      <c r="AA703" s="20"/>
      <c r="AB703" s="20"/>
      <c r="AC703" s="19" t="e">
        <f aca="false">(AB703-AA703)/AB703</f>
        <v>#DIV/0!</v>
      </c>
    </row>
    <row r="704" customFormat="false" ht="14.25" hidden="false" customHeight="true" outlineLevel="0" collapsed="false">
      <c r="A704" s="18" t="s">
        <v>586</v>
      </c>
      <c r="B704" s="18" t="s">
        <v>586</v>
      </c>
      <c r="C704" s="18" t="s">
        <v>40</v>
      </c>
      <c r="E704" s="2" t="n">
        <f aca="false">INDEX(FieldSites!F:F, MATCH(Ch2_FieldSurvey!B704,FieldSites!C:C,0))</f>
        <v>1997</v>
      </c>
      <c r="F704" s="2" t="n">
        <f aca="false">INDEX(FieldSites!G:G, MATCH(Ch2_FieldSurvey!B704,FieldSites!C:C,0))</f>
        <v>-119.963252</v>
      </c>
      <c r="G704" s="2" t="n">
        <f aca="false">INDEX(FieldSites!H:H, MATCH(Ch2_FieldSurvey!B704,FieldSites!C:C,0))</f>
        <v>38.183927</v>
      </c>
      <c r="H704" s="18" t="n">
        <v>12</v>
      </c>
      <c r="I704" s="21" t="str">
        <f aca="false">CONCATENATE(B704,"_",C704,H704)</f>
        <v>CCNB_M. guttatus12</v>
      </c>
      <c r="J704" s="22" t="n">
        <v>44702</v>
      </c>
      <c r="K704" s="23" t="n">
        <v>0.622222222222222</v>
      </c>
      <c r="L704" s="22" t="n">
        <v>44703</v>
      </c>
      <c r="M704" s="23" t="n">
        <v>0.655555555555556</v>
      </c>
      <c r="O704" s="1" t="s">
        <v>605</v>
      </c>
      <c r="P704" s="16" t="s">
        <v>561</v>
      </c>
      <c r="Q704" s="16" t="s">
        <v>562</v>
      </c>
      <c r="R704" s="16" t="s">
        <v>563</v>
      </c>
      <c r="S704" s="4" t="s">
        <v>606</v>
      </c>
      <c r="T704" s="24" t="n">
        <v>222</v>
      </c>
      <c r="U704" s="18" t="n">
        <v>3.2</v>
      </c>
      <c r="V704" s="24" t="n">
        <v>0.34</v>
      </c>
      <c r="Z704" s="18" t="s">
        <v>581</v>
      </c>
      <c r="AA704" s="20"/>
      <c r="AB704" s="20"/>
      <c r="AC704" s="19" t="e">
        <f aca="false">(AB704-AA704)/AB704</f>
        <v>#DIV/0!</v>
      </c>
    </row>
    <row r="705" customFormat="false" ht="14.25" hidden="false" customHeight="true" outlineLevel="0" collapsed="false">
      <c r="A705" s="18" t="s">
        <v>586</v>
      </c>
      <c r="B705" s="18" t="s">
        <v>586</v>
      </c>
      <c r="C705" s="18" t="s">
        <v>578</v>
      </c>
      <c r="E705" s="2" t="n">
        <f aca="false">INDEX(FieldSites!F:F, MATCH(Ch2_FieldSurvey!B705,FieldSites!C:C,0))</f>
        <v>1997</v>
      </c>
      <c r="F705" s="2" t="n">
        <f aca="false">INDEX(FieldSites!G:G, MATCH(Ch2_FieldSurvey!B705,FieldSites!C:C,0))</f>
        <v>-119.963252</v>
      </c>
      <c r="G705" s="2" t="n">
        <f aca="false">INDEX(FieldSites!H:H, MATCH(Ch2_FieldSurvey!B705,FieldSites!C:C,0))</f>
        <v>38.183927</v>
      </c>
      <c r="H705" s="18" t="n">
        <v>1</v>
      </c>
      <c r="I705" s="21" t="str">
        <f aca="false">CONCATENATE(B705,"_",C705,H705)</f>
        <v>CCNB_M. bicolor1</v>
      </c>
      <c r="J705" s="22" t="n">
        <v>44702</v>
      </c>
      <c r="K705" s="23" t="n">
        <v>0.622222222222222</v>
      </c>
      <c r="L705" s="22" t="n">
        <v>44703</v>
      </c>
      <c r="M705" s="23" t="n">
        <v>0.663194444444444</v>
      </c>
      <c r="O705" s="1" t="s">
        <v>607</v>
      </c>
      <c r="P705" s="16" t="s">
        <v>561</v>
      </c>
      <c r="Q705" s="16" t="s">
        <v>562</v>
      </c>
      <c r="R705" s="16" t="s">
        <v>563</v>
      </c>
      <c r="S705" s="4" t="s">
        <v>608</v>
      </c>
      <c r="T705" s="24" t="n">
        <v>380</v>
      </c>
      <c r="U705" s="18" t="n">
        <v>9.8</v>
      </c>
      <c r="V705" s="24" t="n">
        <v>0.19</v>
      </c>
      <c r="W705" s="2" t="n">
        <v>0.6</v>
      </c>
      <c r="Z705" s="18"/>
      <c r="AA705" s="20" t="n">
        <v>77513</v>
      </c>
      <c r="AB705" s="20" t="n">
        <v>86067</v>
      </c>
      <c r="AC705" s="19" t="n">
        <f aca="false">(AB705-AA705)/AB705</f>
        <v>0.0993876863373883</v>
      </c>
    </row>
    <row r="706" customFormat="false" ht="14.25" hidden="false" customHeight="true" outlineLevel="0" collapsed="false">
      <c r="A706" s="18" t="s">
        <v>586</v>
      </c>
      <c r="B706" s="18" t="s">
        <v>586</v>
      </c>
      <c r="C706" s="18" t="s">
        <v>578</v>
      </c>
      <c r="E706" s="2" t="n">
        <f aca="false">INDEX(FieldSites!F:F, MATCH(Ch2_FieldSurvey!B706,FieldSites!C:C,0))</f>
        <v>1997</v>
      </c>
      <c r="F706" s="2" t="n">
        <f aca="false">INDEX(FieldSites!G:G, MATCH(Ch2_FieldSurvey!B706,FieldSites!C:C,0))</f>
        <v>-119.963252</v>
      </c>
      <c r="G706" s="2" t="n">
        <f aca="false">INDEX(FieldSites!H:H, MATCH(Ch2_FieldSurvey!B706,FieldSites!C:C,0))</f>
        <v>38.183927</v>
      </c>
      <c r="H706" s="18" t="n">
        <v>1</v>
      </c>
      <c r="I706" s="21" t="str">
        <f aca="false">CONCATENATE(B706,"_",C706,H706)</f>
        <v>CCNB_M. bicolor1</v>
      </c>
      <c r="J706" s="22" t="n">
        <v>44702</v>
      </c>
      <c r="K706" s="23" t="n">
        <v>0.622222222222222</v>
      </c>
      <c r="L706" s="22" t="n">
        <v>44703</v>
      </c>
      <c r="M706" s="23" t="n">
        <v>0.663194444444444</v>
      </c>
      <c r="O706" s="1" t="s">
        <v>607</v>
      </c>
      <c r="P706" s="16" t="s">
        <v>561</v>
      </c>
      <c r="Q706" s="16" t="s">
        <v>562</v>
      </c>
      <c r="R706" s="16" t="s">
        <v>563</v>
      </c>
      <c r="S706" s="4" t="s">
        <v>608</v>
      </c>
      <c r="T706" s="24" t="n">
        <v>295</v>
      </c>
      <c r="U706" s="18" t="n">
        <v>15.7</v>
      </c>
      <c r="V706" s="24" t="n">
        <v>0.23</v>
      </c>
      <c r="Z706" s="18" t="s">
        <v>581</v>
      </c>
      <c r="AA706" s="20"/>
      <c r="AB706" s="20"/>
      <c r="AC706" s="19" t="e">
        <f aca="false">(AB706-AA706)/AB706</f>
        <v>#DIV/0!</v>
      </c>
    </row>
    <row r="707" customFormat="false" ht="14.25" hidden="false" customHeight="true" outlineLevel="0" collapsed="false">
      <c r="A707" s="18" t="s">
        <v>586</v>
      </c>
      <c r="B707" s="18" t="s">
        <v>586</v>
      </c>
      <c r="C707" s="18" t="s">
        <v>578</v>
      </c>
      <c r="E707" s="2" t="n">
        <f aca="false">INDEX(FieldSites!F:F, MATCH(Ch2_FieldSurvey!B707,FieldSites!C:C,0))</f>
        <v>1997</v>
      </c>
      <c r="F707" s="2" t="n">
        <f aca="false">INDEX(FieldSites!G:G, MATCH(Ch2_FieldSurvey!B707,FieldSites!C:C,0))</f>
        <v>-119.963252</v>
      </c>
      <c r="G707" s="2" t="n">
        <f aca="false">INDEX(FieldSites!H:H, MATCH(Ch2_FieldSurvey!B707,FieldSites!C:C,0))</f>
        <v>38.183927</v>
      </c>
      <c r="H707" s="18" t="n">
        <v>1</v>
      </c>
      <c r="I707" s="21" t="str">
        <f aca="false">CONCATENATE(B707,"_",C707,H707)</f>
        <v>CCNB_M. bicolor1</v>
      </c>
      <c r="J707" s="22" t="n">
        <v>44702</v>
      </c>
      <c r="K707" s="23" t="n">
        <v>0.622222222222222</v>
      </c>
      <c r="L707" s="22" t="n">
        <v>44703</v>
      </c>
      <c r="M707" s="23" t="n">
        <v>0.663194444444444</v>
      </c>
      <c r="O707" s="1" t="s">
        <v>607</v>
      </c>
      <c r="P707" s="16" t="s">
        <v>561</v>
      </c>
      <c r="Q707" s="16" t="s">
        <v>562</v>
      </c>
      <c r="R707" s="16" t="s">
        <v>563</v>
      </c>
      <c r="S707" s="4" t="s">
        <v>608</v>
      </c>
      <c r="T707" s="24" t="n">
        <v>399</v>
      </c>
      <c r="U707" s="18" t="n">
        <v>4.7</v>
      </c>
      <c r="V707" s="24" t="n">
        <v>0.29</v>
      </c>
      <c r="Z707" s="18" t="s">
        <v>581</v>
      </c>
      <c r="AA707" s="20"/>
      <c r="AB707" s="20"/>
      <c r="AC707" s="19" t="e">
        <f aca="false">(AB707-AA707)/AB707</f>
        <v>#DIV/0!</v>
      </c>
    </row>
    <row r="708" customFormat="false" ht="14.25" hidden="false" customHeight="true" outlineLevel="0" collapsed="false">
      <c r="A708" s="18" t="s">
        <v>586</v>
      </c>
      <c r="B708" s="18" t="s">
        <v>586</v>
      </c>
      <c r="C708" s="18" t="s">
        <v>578</v>
      </c>
      <c r="E708" s="2" t="n">
        <f aca="false">INDEX(FieldSites!F:F, MATCH(Ch2_FieldSurvey!B708,FieldSites!C:C,0))</f>
        <v>1997</v>
      </c>
      <c r="F708" s="2" t="n">
        <f aca="false">INDEX(FieldSites!G:G, MATCH(Ch2_FieldSurvey!B708,FieldSites!C:C,0))</f>
        <v>-119.963252</v>
      </c>
      <c r="G708" s="2" t="n">
        <f aca="false">INDEX(FieldSites!H:H, MATCH(Ch2_FieldSurvey!B708,FieldSites!C:C,0))</f>
        <v>38.183927</v>
      </c>
      <c r="H708" s="18" t="n">
        <v>2</v>
      </c>
      <c r="I708" s="21" t="str">
        <f aca="false">CONCATENATE(B708,"_",C708,H708)</f>
        <v>CCNB_M. bicolor2</v>
      </c>
      <c r="J708" s="22" t="n">
        <v>44702</v>
      </c>
      <c r="K708" s="23" t="n">
        <v>0.622222222222222</v>
      </c>
      <c r="L708" s="22" t="n">
        <v>44703</v>
      </c>
      <c r="M708" s="23" t="n">
        <v>0.668055555555556</v>
      </c>
      <c r="O708" s="1" t="s">
        <v>609</v>
      </c>
      <c r="P708" s="16" t="s">
        <v>561</v>
      </c>
      <c r="Q708" s="16" t="s">
        <v>562</v>
      </c>
      <c r="R708" s="16" t="s">
        <v>563</v>
      </c>
      <c r="S708" s="4" t="s">
        <v>610</v>
      </c>
      <c r="T708" s="24" t="n">
        <v>265</v>
      </c>
      <c r="U708" s="18" t="n">
        <v>14.5</v>
      </c>
      <c r="V708" s="24" t="n">
        <v>0.21</v>
      </c>
      <c r="W708" s="2" t="n">
        <v>0.3</v>
      </c>
      <c r="Z708" s="18"/>
      <c r="AA708" s="20" t="n">
        <v>64515</v>
      </c>
      <c r="AB708" s="20" t="n">
        <v>67921</v>
      </c>
      <c r="AC708" s="19" t="n">
        <f aca="false">(AB708-AA708)/AB708</f>
        <v>0.050146493720646</v>
      </c>
    </row>
    <row r="709" customFormat="false" ht="14.25" hidden="false" customHeight="true" outlineLevel="0" collapsed="false">
      <c r="A709" s="18" t="s">
        <v>586</v>
      </c>
      <c r="B709" s="18" t="s">
        <v>586</v>
      </c>
      <c r="C709" s="18" t="s">
        <v>578</v>
      </c>
      <c r="E709" s="2" t="n">
        <f aca="false">INDEX(FieldSites!F:F, MATCH(Ch2_FieldSurvey!B709,FieldSites!C:C,0))</f>
        <v>1997</v>
      </c>
      <c r="F709" s="2" t="n">
        <f aca="false">INDEX(FieldSites!G:G, MATCH(Ch2_FieldSurvey!B709,FieldSites!C:C,0))</f>
        <v>-119.963252</v>
      </c>
      <c r="G709" s="2" t="n">
        <f aca="false">INDEX(FieldSites!H:H, MATCH(Ch2_FieldSurvey!B709,FieldSites!C:C,0))</f>
        <v>38.183927</v>
      </c>
      <c r="H709" s="18" t="n">
        <v>2</v>
      </c>
      <c r="I709" s="21" t="str">
        <f aca="false">CONCATENATE(B709,"_",C709,H709)</f>
        <v>CCNB_M. bicolor2</v>
      </c>
      <c r="J709" s="22" t="n">
        <v>44702</v>
      </c>
      <c r="K709" s="23" t="n">
        <v>0.622222222222222</v>
      </c>
      <c r="L709" s="22" t="n">
        <v>44703</v>
      </c>
      <c r="M709" s="23" t="n">
        <v>0.668055555555556</v>
      </c>
      <c r="O709" s="1" t="s">
        <v>609</v>
      </c>
      <c r="P709" s="16" t="s">
        <v>561</v>
      </c>
      <c r="Q709" s="16" t="s">
        <v>562</v>
      </c>
      <c r="R709" s="16" t="s">
        <v>563</v>
      </c>
      <c r="S709" s="4" t="s">
        <v>610</v>
      </c>
      <c r="T709" s="24" t="n">
        <v>313</v>
      </c>
      <c r="U709" s="18" t="n">
        <v>16.2</v>
      </c>
      <c r="V709" s="24" t="n">
        <v>0.28</v>
      </c>
      <c r="W709" s="2" t="n">
        <v>0.4</v>
      </c>
      <c r="Z709" s="18"/>
      <c r="AA709" s="20"/>
      <c r="AB709" s="20"/>
      <c r="AC709" s="19" t="e">
        <f aca="false">(AB709-AA709)/AB709</f>
        <v>#DIV/0!</v>
      </c>
    </row>
    <row r="710" customFormat="false" ht="14.25" hidden="false" customHeight="true" outlineLevel="0" collapsed="false">
      <c r="A710" s="18" t="s">
        <v>586</v>
      </c>
      <c r="B710" s="18" t="s">
        <v>586</v>
      </c>
      <c r="C710" s="18" t="s">
        <v>578</v>
      </c>
      <c r="E710" s="2" t="n">
        <f aca="false">INDEX(FieldSites!F:F, MATCH(Ch2_FieldSurvey!B710,FieldSites!C:C,0))</f>
        <v>1997</v>
      </c>
      <c r="F710" s="2" t="n">
        <f aca="false">INDEX(FieldSites!G:G, MATCH(Ch2_FieldSurvey!B710,FieldSites!C:C,0))</f>
        <v>-119.963252</v>
      </c>
      <c r="G710" s="2" t="n">
        <f aca="false">INDEX(FieldSites!H:H, MATCH(Ch2_FieldSurvey!B710,FieldSites!C:C,0))</f>
        <v>38.183927</v>
      </c>
      <c r="H710" s="18" t="n">
        <v>2</v>
      </c>
      <c r="I710" s="21" t="str">
        <f aca="false">CONCATENATE(B710,"_",C710,H710)</f>
        <v>CCNB_M. bicolor2</v>
      </c>
      <c r="J710" s="22" t="n">
        <v>44702</v>
      </c>
      <c r="K710" s="23" t="n">
        <v>0.622222222222222</v>
      </c>
      <c r="L710" s="22" t="n">
        <v>44703</v>
      </c>
      <c r="M710" s="23" t="n">
        <v>0.668055555555556</v>
      </c>
      <c r="O710" s="1" t="s">
        <v>609</v>
      </c>
      <c r="P710" s="16" t="s">
        <v>561</v>
      </c>
      <c r="Q710" s="16" t="s">
        <v>562</v>
      </c>
      <c r="R710" s="16" t="s">
        <v>563</v>
      </c>
      <c r="S710" s="4" t="s">
        <v>610</v>
      </c>
      <c r="T710" s="24" t="n">
        <v>360</v>
      </c>
      <c r="U710" s="18" t="n">
        <v>12.5</v>
      </c>
      <c r="V710" s="24" t="n">
        <v>0.19</v>
      </c>
      <c r="Z710" s="18" t="s">
        <v>581</v>
      </c>
      <c r="AA710" s="20"/>
      <c r="AB710" s="20"/>
      <c r="AC710" s="19" t="e">
        <f aca="false">(AB710-AA710)/AB710</f>
        <v>#DIV/0!</v>
      </c>
    </row>
    <row r="711" customFormat="false" ht="14.25" hidden="false" customHeight="true" outlineLevel="0" collapsed="false">
      <c r="A711" s="18" t="s">
        <v>586</v>
      </c>
      <c r="B711" s="18" t="s">
        <v>586</v>
      </c>
      <c r="C711" s="18" t="s">
        <v>578</v>
      </c>
      <c r="E711" s="2" t="n">
        <f aca="false">INDEX(FieldSites!F:F, MATCH(Ch2_FieldSurvey!B711,FieldSites!C:C,0))</f>
        <v>1997</v>
      </c>
      <c r="F711" s="2" t="n">
        <f aca="false">INDEX(FieldSites!G:G, MATCH(Ch2_FieldSurvey!B711,FieldSites!C:C,0))</f>
        <v>-119.963252</v>
      </c>
      <c r="G711" s="2" t="n">
        <f aca="false">INDEX(FieldSites!H:H, MATCH(Ch2_FieldSurvey!B711,FieldSites!C:C,0))</f>
        <v>38.183927</v>
      </c>
      <c r="H711" s="18" t="n">
        <v>3</v>
      </c>
      <c r="I711" s="21" t="str">
        <f aca="false">CONCATENATE(B711,"_",C711,H711)</f>
        <v>CCNB_M. bicolor3</v>
      </c>
      <c r="J711" s="22" t="n">
        <v>44702</v>
      </c>
      <c r="K711" s="23" t="n">
        <v>0.622222222222222</v>
      </c>
      <c r="L711" s="22" t="n">
        <v>44703</v>
      </c>
      <c r="M711" s="23" t="n">
        <v>0.672916666666667</v>
      </c>
      <c r="O711" s="1" t="s">
        <v>611</v>
      </c>
      <c r="P711" s="16" t="s">
        <v>561</v>
      </c>
      <c r="Q711" s="16" t="s">
        <v>562</v>
      </c>
      <c r="R711" s="16" t="s">
        <v>563</v>
      </c>
      <c r="S711" s="4" t="s">
        <v>612</v>
      </c>
      <c r="T711" s="24" t="n">
        <v>340</v>
      </c>
      <c r="U711" s="18" t="n">
        <v>13.5</v>
      </c>
      <c r="V711" s="24" t="n">
        <v>0.39</v>
      </c>
      <c r="Z711" s="18" t="s">
        <v>581</v>
      </c>
      <c r="AA711" s="20" t="n">
        <v>38839</v>
      </c>
      <c r="AB711" s="20" t="n">
        <v>40749</v>
      </c>
      <c r="AC711" s="19" t="n">
        <f aca="false">(AB711-AA711)/AB711</f>
        <v>0.0468723158850524</v>
      </c>
    </row>
    <row r="712" customFormat="false" ht="14.25" hidden="false" customHeight="true" outlineLevel="0" collapsed="false">
      <c r="A712" s="18" t="s">
        <v>586</v>
      </c>
      <c r="B712" s="18" t="s">
        <v>586</v>
      </c>
      <c r="C712" s="18" t="s">
        <v>578</v>
      </c>
      <c r="E712" s="2" t="n">
        <f aca="false">INDEX(FieldSites!F:F, MATCH(Ch2_FieldSurvey!B712,FieldSites!C:C,0))</f>
        <v>1997</v>
      </c>
      <c r="F712" s="2" t="n">
        <f aca="false">INDEX(FieldSites!G:G, MATCH(Ch2_FieldSurvey!B712,FieldSites!C:C,0))</f>
        <v>-119.963252</v>
      </c>
      <c r="G712" s="2" t="n">
        <f aca="false">INDEX(FieldSites!H:H, MATCH(Ch2_FieldSurvey!B712,FieldSites!C:C,0))</f>
        <v>38.183927</v>
      </c>
      <c r="H712" s="18" t="n">
        <v>3</v>
      </c>
      <c r="I712" s="21" t="str">
        <f aca="false">CONCATENATE(B712,"_",C712,H712)</f>
        <v>CCNB_M. bicolor3</v>
      </c>
      <c r="J712" s="22" t="n">
        <v>44702</v>
      </c>
      <c r="K712" s="23" t="n">
        <v>0.622222222222222</v>
      </c>
      <c r="L712" s="22" t="n">
        <v>44703</v>
      </c>
      <c r="M712" s="23" t="n">
        <v>0.672916666666667</v>
      </c>
      <c r="O712" s="1" t="s">
        <v>611</v>
      </c>
      <c r="P712" s="16" t="s">
        <v>561</v>
      </c>
      <c r="Q712" s="16" t="s">
        <v>562</v>
      </c>
      <c r="R712" s="16" t="s">
        <v>563</v>
      </c>
      <c r="S712" s="4" t="s">
        <v>612</v>
      </c>
      <c r="T712" s="24" t="n">
        <v>336</v>
      </c>
      <c r="U712" s="18" t="n">
        <v>8.4</v>
      </c>
      <c r="V712" s="24" t="n">
        <v>0.36</v>
      </c>
      <c r="Z712" s="18" t="s">
        <v>581</v>
      </c>
      <c r="AA712" s="20"/>
      <c r="AB712" s="20"/>
      <c r="AC712" s="19" t="e">
        <f aca="false">(AB712-AA712)/AB712</f>
        <v>#DIV/0!</v>
      </c>
    </row>
    <row r="713" customFormat="false" ht="14.25" hidden="false" customHeight="true" outlineLevel="0" collapsed="false">
      <c r="A713" s="18" t="s">
        <v>586</v>
      </c>
      <c r="B713" s="18" t="s">
        <v>586</v>
      </c>
      <c r="C713" s="18" t="s">
        <v>578</v>
      </c>
      <c r="E713" s="2" t="n">
        <f aca="false">INDEX(FieldSites!F:F, MATCH(Ch2_FieldSurvey!B713,FieldSites!C:C,0))</f>
        <v>1997</v>
      </c>
      <c r="F713" s="2" t="n">
        <f aca="false">INDEX(FieldSites!G:G, MATCH(Ch2_FieldSurvey!B713,FieldSites!C:C,0))</f>
        <v>-119.963252</v>
      </c>
      <c r="G713" s="2" t="n">
        <f aca="false">INDEX(FieldSites!H:H, MATCH(Ch2_FieldSurvey!B713,FieldSites!C:C,0))</f>
        <v>38.183927</v>
      </c>
      <c r="H713" s="18" t="n">
        <v>3</v>
      </c>
      <c r="I713" s="21" t="str">
        <f aca="false">CONCATENATE(B713,"_",C713,H713)</f>
        <v>CCNB_M. bicolor3</v>
      </c>
      <c r="J713" s="22" t="n">
        <v>44702</v>
      </c>
      <c r="K713" s="23" t="n">
        <v>0.622222222222222</v>
      </c>
      <c r="L713" s="22" t="n">
        <v>44703</v>
      </c>
      <c r="M713" s="23" t="n">
        <v>0.672916666666667</v>
      </c>
      <c r="O713" s="1" t="s">
        <v>611</v>
      </c>
      <c r="P713" s="16" t="s">
        <v>561</v>
      </c>
      <c r="Q713" s="16" t="s">
        <v>562</v>
      </c>
      <c r="R713" s="16" t="s">
        <v>563</v>
      </c>
      <c r="S713" s="4" t="s">
        <v>612</v>
      </c>
      <c r="T713" s="24" t="n">
        <v>335</v>
      </c>
      <c r="U713" s="18" t="n">
        <v>5.5</v>
      </c>
      <c r="V713" s="24" t="n">
        <v>0.29</v>
      </c>
      <c r="Z713" s="18" t="s">
        <v>581</v>
      </c>
      <c r="AA713" s="20"/>
      <c r="AB713" s="20"/>
      <c r="AC713" s="19" t="e">
        <f aca="false">(AB713-AA713)/AB713</f>
        <v>#DIV/0!</v>
      </c>
    </row>
    <row r="714" customFormat="false" ht="14.25" hidden="false" customHeight="true" outlineLevel="0" collapsed="false">
      <c r="A714" s="18" t="s">
        <v>586</v>
      </c>
      <c r="B714" s="18" t="s">
        <v>586</v>
      </c>
      <c r="C714" s="18" t="s">
        <v>578</v>
      </c>
      <c r="E714" s="2" t="n">
        <f aca="false">INDEX(FieldSites!F:F, MATCH(Ch2_FieldSurvey!B714,FieldSites!C:C,0))</f>
        <v>1997</v>
      </c>
      <c r="F714" s="2" t="n">
        <f aca="false">INDEX(FieldSites!G:G, MATCH(Ch2_FieldSurvey!B714,FieldSites!C:C,0))</f>
        <v>-119.963252</v>
      </c>
      <c r="G714" s="2" t="n">
        <f aca="false">INDEX(FieldSites!H:H, MATCH(Ch2_FieldSurvey!B714,FieldSites!C:C,0))</f>
        <v>38.183927</v>
      </c>
      <c r="H714" s="18" t="n">
        <v>4</v>
      </c>
      <c r="I714" s="21" t="str">
        <f aca="false">CONCATENATE(B714,"_",C714,H714)</f>
        <v>CCNB_M. bicolor4</v>
      </c>
      <c r="J714" s="22" t="n">
        <v>44702</v>
      </c>
      <c r="K714" s="23" t="n">
        <v>0.622222222222222</v>
      </c>
      <c r="L714" s="22" t="n">
        <v>44703</v>
      </c>
      <c r="M714" s="23" t="n">
        <v>0.677083333333333</v>
      </c>
      <c r="O714" s="1" t="s">
        <v>613</v>
      </c>
      <c r="P714" s="16" t="s">
        <v>561</v>
      </c>
      <c r="Q714" s="16" t="s">
        <v>562</v>
      </c>
      <c r="R714" s="16" t="s">
        <v>563</v>
      </c>
      <c r="S714" s="4" t="s">
        <v>614</v>
      </c>
      <c r="T714" s="24" t="n">
        <v>355</v>
      </c>
      <c r="U714" s="18" t="n">
        <v>5.3</v>
      </c>
      <c r="V714" s="24"/>
      <c r="Z714" s="18" t="s">
        <v>581</v>
      </c>
      <c r="AA714" s="20" t="n">
        <v>35882</v>
      </c>
      <c r="AB714" s="20" t="n">
        <v>37243</v>
      </c>
      <c r="AC714" s="19" t="n">
        <f aca="false">(AB714-AA714)/AB714</f>
        <v>0.036543780039202</v>
      </c>
    </row>
    <row r="715" customFormat="false" ht="14.25" hidden="false" customHeight="true" outlineLevel="0" collapsed="false">
      <c r="A715" s="18" t="s">
        <v>586</v>
      </c>
      <c r="B715" s="18" t="s">
        <v>586</v>
      </c>
      <c r="C715" s="18" t="s">
        <v>578</v>
      </c>
      <c r="E715" s="2" t="n">
        <f aca="false">INDEX(FieldSites!F:F, MATCH(Ch2_FieldSurvey!B715,FieldSites!C:C,0))</f>
        <v>1997</v>
      </c>
      <c r="F715" s="2" t="n">
        <f aca="false">INDEX(FieldSites!G:G, MATCH(Ch2_FieldSurvey!B715,FieldSites!C:C,0))</f>
        <v>-119.963252</v>
      </c>
      <c r="G715" s="2" t="n">
        <f aca="false">INDEX(FieldSites!H:H, MATCH(Ch2_FieldSurvey!B715,FieldSites!C:C,0))</f>
        <v>38.183927</v>
      </c>
      <c r="H715" s="18" t="n">
        <v>4</v>
      </c>
      <c r="I715" s="21" t="str">
        <f aca="false">CONCATENATE(B715,"_",C715,H715)</f>
        <v>CCNB_M. bicolor4</v>
      </c>
      <c r="J715" s="22" t="n">
        <v>44702</v>
      </c>
      <c r="K715" s="23" t="n">
        <v>0.622222222222222</v>
      </c>
      <c r="L715" s="22" t="n">
        <v>44703</v>
      </c>
      <c r="M715" s="23" t="n">
        <v>0.677083333333333</v>
      </c>
      <c r="O715" s="1" t="s">
        <v>613</v>
      </c>
      <c r="P715" s="16" t="s">
        <v>561</v>
      </c>
      <c r="Q715" s="16" t="s">
        <v>562</v>
      </c>
      <c r="R715" s="16" t="s">
        <v>563</v>
      </c>
      <c r="S715" s="4" t="s">
        <v>614</v>
      </c>
      <c r="T715" s="24" t="n">
        <v>241</v>
      </c>
      <c r="U715" s="18" t="n">
        <v>3.6</v>
      </c>
      <c r="V715" s="24"/>
      <c r="Z715" s="18" t="s">
        <v>581</v>
      </c>
      <c r="AA715" s="20"/>
      <c r="AB715" s="20"/>
      <c r="AC715" s="19" t="e">
        <f aca="false">(AB715-AA715)/AB715</f>
        <v>#DIV/0!</v>
      </c>
    </row>
    <row r="716" customFormat="false" ht="14.25" hidden="false" customHeight="true" outlineLevel="0" collapsed="false">
      <c r="A716" s="18" t="s">
        <v>586</v>
      </c>
      <c r="B716" s="18" t="s">
        <v>586</v>
      </c>
      <c r="C716" s="18" t="s">
        <v>578</v>
      </c>
      <c r="E716" s="2" t="n">
        <f aca="false">INDEX(FieldSites!F:F, MATCH(Ch2_FieldSurvey!B716,FieldSites!C:C,0))</f>
        <v>1997</v>
      </c>
      <c r="F716" s="2" t="n">
        <f aca="false">INDEX(FieldSites!G:G, MATCH(Ch2_FieldSurvey!B716,FieldSites!C:C,0))</f>
        <v>-119.963252</v>
      </c>
      <c r="G716" s="2" t="n">
        <f aca="false">INDEX(FieldSites!H:H, MATCH(Ch2_FieldSurvey!B716,FieldSites!C:C,0))</f>
        <v>38.183927</v>
      </c>
      <c r="H716" s="18" t="n">
        <v>4</v>
      </c>
      <c r="I716" s="21" t="str">
        <f aca="false">CONCATENATE(B716,"_",C716,H716)</f>
        <v>CCNB_M. bicolor4</v>
      </c>
      <c r="J716" s="22" t="n">
        <v>44702</v>
      </c>
      <c r="K716" s="23" t="n">
        <v>0.622222222222222</v>
      </c>
      <c r="L716" s="22" t="n">
        <v>44703</v>
      </c>
      <c r="M716" s="23" t="n">
        <v>0.677083333333333</v>
      </c>
      <c r="O716" s="1" t="s">
        <v>613</v>
      </c>
      <c r="P716" s="16" t="s">
        <v>561</v>
      </c>
      <c r="Q716" s="16" t="s">
        <v>562</v>
      </c>
      <c r="R716" s="16" t="s">
        <v>563</v>
      </c>
      <c r="S716" s="4" t="s">
        <v>614</v>
      </c>
      <c r="T716" s="24" t="n">
        <v>222</v>
      </c>
      <c r="U716" s="18"/>
      <c r="V716" s="24"/>
      <c r="Z716" s="18" t="s">
        <v>581</v>
      </c>
      <c r="AA716" s="20"/>
      <c r="AB716" s="20"/>
      <c r="AC716" s="19" t="e">
        <f aca="false">(AB716-AA716)/AB716</f>
        <v>#DIV/0!</v>
      </c>
    </row>
    <row r="717" customFormat="false" ht="14.25" hidden="false" customHeight="true" outlineLevel="0" collapsed="false">
      <c r="A717" s="18" t="s">
        <v>148</v>
      </c>
      <c r="B717" s="18" t="s">
        <v>148</v>
      </c>
      <c r="C717" s="18" t="s">
        <v>40</v>
      </c>
      <c r="E717" s="2" t="n">
        <f aca="false">INDEX(FieldSites!F:F, MATCH(Ch2_FieldSurvey!B717,FieldSites!C:C,0))</f>
        <v>1851</v>
      </c>
      <c r="F717" s="2" t="n">
        <f aca="false">INDEX(FieldSites!G:G, MATCH(Ch2_FieldSurvey!B717,FieldSites!C:C,0))</f>
        <v>-119.273507</v>
      </c>
      <c r="G717" s="2" t="n">
        <f aca="false">INDEX(FieldSites!H:H, MATCH(Ch2_FieldSurvey!B717,FieldSites!C:C,0))</f>
        <v>37.150723</v>
      </c>
      <c r="H717" s="18" t="n">
        <v>12</v>
      </c>
      <c r="I717" s="21" t="str">
        <f aca="false">CONCATENATE(B717,"_",C717,H717)</f>
        <v>HUOB_M. guttatus12</v>
      </c>
      <c r="J717" s="22" t="n">
        <v>44706</v>
      </c>
      <c r="K717" s="23" t="n">
        <v>0.577777777777778</v>
      </c>
      <c r="L717" s="22" t="n">
        <v>44707</v>
      </c>
      <c r="M717" s="23" t="n">
        <v>0.422916666666667</v>
      </c>
      <c r="O717" s="1" t="s">
        <v>615</v>
      </c>
      <c r="P717" s="16" t="s">
        <v>616</v>
      </c>
      <c r="Q717" s="16" t="s">
        <v>329</v>
      </c>
      <c r="R717" s="16" t="s">
        <v>617</v>
      </c>
      <c r="S717" s="4" t="s">
        <v>399</v>
      </c>
      <c r="T717" s="24" t="n">
        <v>440</v>
      </c>
      <c r="U717" s="18" t="n">
        <v>7.4</v>
      </c>
      <c r="V717" s="24" t="n">
        <v>0.67</v>
      </c>
      <c r="W717" s="2" t="n">
        <v>1</v>
      </c>
      <c r="Z717" s="18"/>
      <c r="AA717" s="20" t="n">
        <v>582948</v>
      </c>
      <c r="AB717" s="20" t="n">
        <v>632244</v>
      </c>
      <c r="AC717" s="19" t="n">
        <f aca="false">(AB717-AA717)/AB717</f>
        <v>0.0779698976977243</v>
      </c>
    </row>
    <row r="718" customFormat="false" ht="14.25" hidden="false" customHeight="true" outlineLevel="0" collapsed="false">
      <c r="A718" s="18" t="s">
        <v>148</v>
      </c>
      <c r="B718" s="18" t="s">
        <v>148</v>
      </c>
      <c r="C718" s="18" t="s">
        <v>40</v>
      </c>
      <c r="E718" s="2" t="n">
        <f aca="false">INDEX(FieldSites!F:F, MATCH(Ch2_FieldSurvey!B718,FieldSites!C:C,0))</f>
        <v>1851</v>
      </c>
      <c r="F718" s="2" t="n">
        <f aca="false">INDEX(FieldSites!G:G, MATCH(Ch2_FieldSurvey!B718,FieldSites!C:C,0))</f>
        <v>-119.273507</v>
      </c>
      <c r="G718" s="2" t="n">
        <f aca="false">INDEX(FieldSites!H:H, MATCH(Ch2_FieldSurvey!B718,FieldSites!C:C,0))</f>
        <v>37.150723</v>
      </c>
      <c r="H718" s="18" t="n">
        <v>12</v>
      </c>
      <c r="I718" s="21" t="str">
        <f aca="false">CONCATENATE(B718,"_",C718,H718)</f>
        <v>HUOB_M. guttatus12</v>
      </c>
      <c r="J718" s="22" t="n">
        <v>44706</v>
      </c>
      <c r="K718" s="23" t="n">
        <v>0.577777777777778</v>
      </c>
      <c r="L718" s="22" t="n">
        <v>44707</v>
      </c>
      <c r="M718" s="23" t="n">
        <v>0.422916666666667</v>
      </c>
      <c r="O718" s="1" t="s">
        <v>615</v>
      </c>
      <c r="P718" s="16" t="s">
        <v>616</v>
      </c>
      <c r="Q718" s="16" t="s">
        <v>329</v>
      </c>
      <c r="R718" s="16" t="s">
        <v>617</v>
      </c>
      <c r="S718" s="4" t="s">
        <v>399</v>
      </c>
      <c r="T718" s="24" t="n">
        <v>438</v>
      </c>
      <c r="U718" s="18" t="n">
        <v>12.8</v>
      </c>
      <c r="V718" s="24" t="n">
        <v>0.57</v>
      </c>
      <c r="W718" s="2" t="n">
        <v>1</v>
      </c>
      <c r="Z718" s="18"/>
      <c r="AA718" s="20"/>
      <c r="AB718" s="20"/>
      <c r="AC718" s="19" t="e">
        <f aca="false">(AB718-AA718)/AB718</f>
        <v>#DIV/0!</v>
      </c>
    </row>
    <row r="719" customFormat="false" ht="14.25" hidden="false" customHeight="true" outlineLevel="0" collapsed="false">
      <c r="A719" s="18" t="s">
        <v>148</v>
      </c>
      <c r="B719" s="18" t="s">
        <v>148</v>
      </c>
      <c r="C719" s="18" t="s">
        <v>40</v>
      </c>
      <c r="E719" s="2" t="n">
        <f aca="false">INDEX(FieldSites!F:F, MATCH(Ch2_FieldSurvey!B719,FieldSites!C:C,0))</f>
        <v>1851</v>
      </c>
      <c r="F719" s="2" t="n">
        <f aca="false">INDEX(FieldSites!G:G, MATCH(Ch2_FieldSurvey!B719,FieldSites!C:C,0))</f>
        <v>-119.273507</v>
      </c>
      <c r="G719" s="2" t="n">
        <f aca="false">INDEX(FieldSites!H:H, MATCH(Ch2_FieldSurvey!B719,FieldSites!C:C,0))</f>
        <v>37.150723</v>
      </c>
      <c r="H719" s="18" t="n">
        <v>12</v>
      </c>
      <c r="I719" s="21" t="str">
        <f aca="false">CONCATENATE(B719,"_",C719,H719)</f>
        <v>HUOB_M. guttatus12</v>
      </c>
      <c r="J719" s="22" t="n">
        <v>44706</v>
      </c>
      <c r="K719" s="23" t="n">
        <v>0.577777777777778</v>
      </c>
      <c r="L719" s="22" t="n">
        <v>44707</v>
      </c>
      <c r="M719" s="23" t="n">
        <v>0.422916666666667</v>
      </c>
      <c r="O719" s="1" t="s">
        <v>615</v>
      </c>
      <c r="P719" s="16" t="s">
        <v>616</v>
      </c>
      <c r="Q719" s="16" t="s">
        <v>329</v>
      </c>
      <c r="R719" s="16" t="s">
        <v>617</v>
      </c>
      <c r="S719" s="4" t="s">
        <v>399</v>
      </c>
      <c r="T719" s="24" t="n">
        <v>455</v>
      </c>
      <c r="U719" s="18" t="n">
        <v>9.8</v>
      </c>
      <c r="V719" s="24" t="n">
        <v>0.69</v>
      </c>
      <c r="W719" s="2" t="n">
        <v>4.4</v>
      </c>
      <c r="Z719" s="18"/>
      <c r="AA719" s="20"/>
      <c r="AB719" s="20"/>
      <c r="AC719" s="19" t="e">
        <f aca="false">(AB719-AA719)/AB719</f>
        <v>#DIV/0!</v>
      </c>
    </row>
    <row r="720" customFormat="false" ht="14.25" hidden="false" customHeight="true" outlineLevel="0" collapsed="false">
      <c r="A720" s="18" t="s">
        <v>148</v>
      </c>
      <c r="B720" s="18" t="s">
        <v>148</v>
      </c>
      <c r="C720" s="18" t="s">
        <v>40</v>
      </c>
      <c r="E720" s="2" t="n">
        <f aca="false">INDEX(FieldSites!F:F, MATCH(Ch2_FieldSurvey!B720,FieldSites!C:C,0))</f>
        <v>1851</v>
      </c>
      <c r="F720" s="2" t="n">
        <f aca="false">INDEX(FieldSites!G:G, MATCH(Ch2_FieldSurvey!B720,FieldSites!C:C,0))</f>
        <v>-119.273507</v>
      </c>
      <c r="G720" s="2" t="n">
        <f aca="false">INDEX(FieldSites!H:H, MATCH(Ch2_FieldSurvey!B720,FieldSites!C:C,0))</f>
        <v>37.150723</v>
      </c>
      <c r="H720" s="18" t="n">
        <v>22</v>
      </c>
      <c r="I720" s="21" t="str">
        <f aca="false">CONCATENATE(B720,"_",C720,H720)</f>
        <v>HUOB_M. guttatus22</v>
      </c>
      <c r="J720" s="22" t="n">
        <v>44706</v>
      </c>
      <c r="K720" s="23" t="n">
        <v>0.577777777777778</v>
      </c>
      <c r="L720" s="22" t="n">
        <v>44707</v>
      </c>
      <c r="M720" s="23" t="n">
        <v>0.427777777777778</v>
      </c>
      <c r="O720" s="1" t="s">
        <v>618</v>
      </c>
      <c r="P720" s="16" t="s">
        <v>616</v>
      </c>
      <c r="Q720" s="16" t="s">
        <v>329</v>
      </c>
      <c r="R720" s="16" t="s">
        <v>617</v>
      </c>
      <c r="S720" s="4" t="s">
        <v>619</v>
      </c>
      <c r="T720" s="24" t="n">
        <v>342</v>
      </c>
      <c r="U720" s="18" t="n">
        <v>3.7</v>
      </c>
      <c r="V720" s="24" t="n">
        <v>0.62</v>
      </c>
      <c r="W720" s="2" t="n">
        <v>0.4</v>
      </c>
      <c r="Z720" s="18"/>
      <c r="AA720" s="20" t="n">
        <v>564502</v>
      </c>
      <c r="AB720" s="20" t="n">
        <v>598517</v>
      </c>
      <c r="AC720" s="19" t="n">
        <f aca="false">(AB720-AA720)/AB720</f>
        <v>0.0568321367647034</v>
      </c>
    </row>
    <row r="721" customFormat="false" ht="14.25" hidden="false" customHeight="true" outlineLevel="0" collapsed="false">
      <c r="A721" s="18" t="s">
        <v>148</v>
      </c>
      <c r="B721" s="18" t="s">
        <v>148</v>
      </c>
      <c r="C721" s="18" t="s">
        <v>40</v>
      </c>
      <c r="E721" s="2" t="n">
        <f aca="false">INDEX(FieldSites!F:F, MATCH(Ch2_FieldSurvey!B721,FieldSites!C:C,0))</f>
        <v>1851</v>
      </c>
      <c r="F721" s="2" t="n">
        <f aca="false">INDEX(FieldSites!G:G, MATCH(Ch2_FieldSurvey!B721,FieldSites!C:C,0))</f>
        <v>-119.273507</v>
      </c>
      <c r="G721" s="2" t="n">
        <f aca="false">INDEX(FieldSites!H:H, MATCH(Ch2_FieldSurvey!B721,FieldSites!C:C,0))</f>
        <v>37.150723</v>
      </c>
      <c r="H721" s="18" t="n">
        <v>22</v>
      </c>
      <c r="I721" s="21" t="str">
        <f aca="false">CONCATENATE(B721,"_",C721,H721)</f>
        <v>HUOB_M. guttatus22</v>
      </c>
      <c r="J721" s="22" t="n">
        <v>44706</v>
      </c>
      <c r="K721" s="23" t="n">
        <v>0.577777777777778</v>
      </c>
      <c r="L721" s="22" t="n">
        <v>44707</v>
      </c>
      <c r="M721" s="23" t="n">
        <v>0.427777777777778</v>
      </c>
      <c r="O721" s="1" t="s">
        <v>618</v>
      </c>
      <c r="P721" s="16" t="s">
        <v>616</v>
      </c>
      <c r="Q721" s="16" t="s">
        <v>329</v>
      </c>
      <c r="R721" s="16" t="s">
        <v>617</v>
      </c>
      <c r="S721" s="4" t="s">
        <v>619</v>
      </c>
      <c r="T721" s="24" t="n">
        <v>273</v>
      </c>
      <c r="U721" s="18" t="n">
        <v>4.2</v>
      </c>
      <c r="V721" s="24" t="n">
        <v>0.54</v>
      </c>
      <c r="W721" s="2" t="n">
        <v>0.6</v>
      </c>
      <c r="Z721" s="18"/>
      <c r="AA721" s="20"/>
      <c r="AB721" s="20"/>
      <c r="AC721" s="19" t="e">
        <f aca="false">(AB721-AA721)/AB721</f>
        <v>#DIV/0!</v>
      </c>
    </row>
    <row r="722" customFormat="false" ht="14.25" hidden="false" customHeight="true" outlineLevel="0" collapsed="false">
      <c r="A722" s="18" t="s">
        <v>148</v>
      </c>
      <c r="B722" s="18" t="s">
        <v>148</v>
      </c>
      <c r="C722" s="18" t="s">
        <v>40</v>
      </c>
      <c r="E722" s="2" t="n">
        <f aca="false">INDEX(FieldSites!F:F, MATCH(Ch2_FieldSurvey!B722,FieldSites!C:C,0))</f>
        <v>1851</v>
      </c>
      <c r="F722" s="2" t="n">
        <f aca="false">INDEX(FieldSites!G:G, MATCH(Ch2_FieldSurvey!B722,FieldSites!C:C,0))</f>
        <v>-119.273507</v>
      </c>
      <c r="G722" s="2" t="n">
        <f aca="false">INDEX(FieldSites!H:H, MATCH(Ch2_FieldSurvey!B722,FieldSites!C:C,0))</f>
        <v>37.150723</v>
      </c>
      <c r="H722" s="18" t="n">
        <v>22</v>
      </c>
      <c r="I722" s="21" t="str">
        <f aca="false">CONCATENATE(B722,"_",C722,H722)</f>
        <v>HUOB_M. guttatus22</v>
      </c>
      <c r="J722" s="22" t="n">
        <v>44706</v>
      </c>
      <c r="K722" s="23" t="n">
        <v>0.577777777777778</v>
      </c>
      <c r="L722" s="22" t="n">
        <v>44707</v>
      </c>
      <c r="M722" s="23" t="n">
        <v>0.427777777777778</v>
      </c>
      <c r="O722" s="1" t="s">
        <v>618</v>
      </c>
      <c r="P722" s="16" t="s">
        <v>616</v>
      </c>
      <c r="Q722" s="16" t="s">
        <v>329</v>
      </c>
      <c r="R722" s="16" t="s">
        <v>617</v>
      </c>
      <c r="S722" s="4" t="s">
        <v>619</v>
      </c>
      <c r="T722" s="24" t="n">
        <v>465</v>
      </c>
      <c r="U722" s="18" t="n">
        <v>3.1</v>
      </c>
      <c r="V722" s="24" t="n">
        <v>0.55</v>
      </c>
      <c r="W722" s="2" t="n">
        <v>0.3</v>
      </c>
      <c r="Z722" s="18"/>
      <c r="AA722" s="20"/>
      <c r="AB722" s="20"/>
      <c r="AC722" s="19" t="e">
        <f aca="false">(AB722-AA722)/AB722</f>
        <v>#DIV/0!</v>
      </c>
    </row>
    <row r="723" customFormat="false" ht="14.25" hidden="false" customHeight="true" outlineLevel="0" collapsed="false">
      <c r="A723" s="18" t="s">
        <v>148</v>
      </c>
      <c r="B723" s="18" t="s">
        <v>148</v>
      </c>
      <c r="C723" s="18" t="s">
        <v>40</v>
      </c>
      <c r="E723" s="2" t="n">
        <f aca="false">INDEX(FieldSites!F:F, MATCH(Ch2_FieldSurvey!B723,FieldSites!C:C,0))</f>
        <v>1851</v>
      </c>
      <c r="F723" s="2" t="n">
        <f aca="false">INDEX(FieldSites!G:G, MATCH(Ch2_FieldSurvey!B723,FieldSites!C:C,0))</f>
        <v>-119.273507</v>
      </c>
      <c r="G723" s="2" t="n">
        <f aca="false">INDEX(FieldSites!H:H, MATCH(Ch2_FieldSurvey!B723,FieldSites!C:C,0))</f>
        <v>37.150723</v>
      </c>
      <c r="H723" s="18" t="n">
        <v>32</v>
      </c>
      <c r="I723" s="21" t="str">
        <f aca="false">CONCATENATE(B723,"_",C723,H723)</f>
        <v>HUOB_M. guttatus32</v>
      </c>
      <c r="J723" s="22" t="n">
        <v>44706</v>
      </c>
      <c r="K723" s="23" t="n">
        <v>0.577777777777778</v>
      </c>
      <c r="L723" s="22" t="n">
        <v>44707</v>
      </c>
      <c r="M723" s="23" t="n">
        <v>0.431944444444444</v>
      </c>
      <c r="O723" s="1" t="s">
        <v>620</v>
      </c>
      <c r="P723" s="16" t="s">
        <v>616</v>
      </c>
      <c r="Q723" s="16" t="s">
        <v>329</v>
      </c>
      <c r="R723" s="16" t="s">
        <v>617</v>
      </c>
      <c r="S723" s="4" t="s">
        <v>621</v>
      </c>
      <c r="T723" s="24" t="n">
        <v>305</v>
      </c>
      <c r="U723" s="18" t="n">
        <v>8.2</v>
      </c>
      <c r="V723" s="24" t="n">
        <v>0.59</v>
      </c>
      <c r="W723" s="2" t="n">
        <v>0.6</v>
      </c>
      <c r="Z723" s="18"/>
      <c r="AA723" s="20" t="n">
        <v>184956</v>
      </c>
      <c r="AB723" s="20" t="n">
        <v>215374</v>
      </c>
      <c r="AC723" s="19" t="n">
        <f aca="false">(AB723-AA723)/AB723</f>
        <v>0.141233389359904</v>
      </c>
    </row>
    <row r="724" customFormat="false" ht="14.25" hidden="false" customHeight="true" outlineLevel="0" collapsed="false">
      <c r="A724" s="18" t="s">
        <v>148</v>
      </c>
      <c r="B724" s="18" t="s">
        <v>148</v>
      </c>
      <c r="C724" s="18" t="s">
        <v>40</v>
      </c>
      <c r="E724" s="2" t="n">
        <f aca="false">INDEX(FieldSites!F:F, MATCH(Ch2_FieldSurvey!B724,FieldSites!C:C,0))</f>
        <v>1851</v>
      </c>
      <c r="F724" s="2" t="n">
        <f aca="false">INDEX(FieldSites!G:G, MATCH(Ch2_FieldSurvey!B724,FieldSites!C:C,0))</f>
        <v>-119.273507</v>
      </c>
      <c r="G724" s="2" t="n">
        <f aca="false">INDEX(FieldSites!H:H, MATCH(Ch2_FieldSurvey!B724,FieldSites!C:C,0))</f>
        <v>37.150723</v>
      </c>
      <c r="H724" s="18" t="n">
        <v>32</v>
      </c>
      <c r="I724" s="21" t="str">
        <f aca="false">CONCATENATE(B724,"_",C724,H724)</f>
        <v>HUOB_M. guttatus32</v>
      </c>
      <c r="J724" s="22" t="n">
        <v>44706</v>
      </c>
      <c r="K724" s="23" t="n">
        <v>0.577777777777778</v>
      </c>
      <c r="L724" s="22" t="n">
        <v>44707</v>
      </c>
      <c r="M724" s="23" t="n">
        <v>0.431944444444444</v>
      </c>
      <c r="O724" s="1" t="s">
        <v>620</v>
      </c>
      <c r="P724" s="16" t="s">
        <v>616</v>
      </c>
      <c r="Q724" s="16" t="s">
        <v>329</v>
      </c>
      <c r="R724" s="16" t="s">
        <v>617</v>
      </c>
      <c r="S724" s="4" t="s">
        <v>621</v>
      </c>
      <c r="T724" s="24" t="n">
        <v>325</v>
      </c>
      <c r="U724" s="18" t="n">
        <v>6.2</v>
      </c>
      <c r="V724" s="24" t="n">
        <v>0.55</v>
      </c>
      <c r="W724" s="2" t="n">
        <v>0.7</v>
      </c>
      <c r="Z724" s="18"/>
      <c r="AA724" s="20"/>
      <c r="AB724" s="20"/>
      <c r="AC724" s="19" t="e">
        <f aca="false">(AB724-AA724)/AB724</f>
        <v>#DIV/0!</v>
      </c>
    </row>
    <row r="725" customFormat="false" ht="14.25" hidden="false" customHeight="true" outlineLevel="0" collapsed="false">
      <c r="A725" s="18" t="s">
        <v>148</v>
      </c>
      <c r="B725" s="18" t="s">
        <v>148</v>
      </c>
      <c r="C725" s="18" t="s">
        <v>40</v>
      </c>
      <c r="E725" s="2" t="n">
        <f aca="false">INDEX(FieldSites!F:F, MATCH(Ch2_FieldSurvey!B725,FieldSites!C:C,0))</f>
        <v>1851</v>
      </c>
      <c r="F725" s="2" t="n">
        <f aca="false">INDEX(FieldSites!G:G, MATCH(Ch2_FieldSurvey!B725,FieldSites!C:C,0))</f>
        <v>-119.273507</v>
      </c>
      <c r="G725" s="2" t="n">
        <f aca="false">INDEX(FieldSites!H:H, MATCH(Ch2_FieldSurvey!B725,FieldSites!C:C,0))</f>
        <v>37.150723</v>
      </c>
      <c r="H725" s="18" t="n">
        <v>32</v>
      </c>
      <c r="I725" s="21" t="str">
        <f aca="false">CONCATENATE(B725,"_",C725,H725)</f>
        <v>HUOB_M. guttatus32</v>
      </c>
      <c r="J725" s="22" t="n">
        <v>44706</v>
      </c>
      <c r="K725" s="23" t="n">
        <v>0.577777777777778</v>
      </c>
      <c r="L725" s="22" t="n">
        <v>44707</v>
      </c>
      <c r="M725" s="23" t="n">
        <v>0.431944444444444</v>
      </c>
      <c r="O725" s="1" t="s">
        <v>620</v>
      </c>
      <c r="P725" s="16" t="s">
        <v>616</v>
      </c>
      <c r="Q725" s="16" t="s">
        <v>329</v>
      </c>
      <c r="R725" s="16" t="s">
        <v>617</v>
      </c>
      <c r="S725" s="4" t="s">
        <v>621</v>
      </c>
      <c r="T725" s="24" t="n">
        <v>285</v>
      </c>
      <c r="U725" s="18" t="n">
        <v>4.6</v>
      </c>
      <c r="V725" s="24" t="n">
        <v>0.54</v>
      </c>
      <c r="W725" s="2" t="n">
        <v>0.6</v>
      </c>
      <c r="Z725" s="18"/>
      <c r="AA725" s="20"/>
      <c r="AB725" s="20"/>
      <c r="AC725" s="19" t="e">
        <f aca="false">(AB725-AA725)/AB725</f>
        <v>#DIV/0!</v>
      </c>
    </row>
    <row r="726" customFormat="false" ht="14.25" hidden="false" customHeight="true" outlineLevel="0" collapsed="false">
      <c r="A726" s="18" t="s">
        <v>148</v>
      </c>
      <c r="B726" s="18" t="s">
        <v>148</v>
      </c>
      <c r="C726" s="18" t="s">
        <v>40</v>
      </c>
      <c r="E726" s="2" t="n">
        <f aca="false">INDEX(FieldSites!F:F, MATCH(Ch2_FieldSurvey!B726,FieldSites!C:C,0))</f>
        <v>1851</v>
      </c>
      <c r="F726" s="2" t="n">
        <f aca="false">INDEX(FieldSites!G:G, MATCH(Ch2_FieldSurvey!B726,FieldSites!C:C,0))</f>
        <v>-119.273507</v>
      </c>
      <c r="G726" s="2" t="n">
        <f aca="false">INDEX(FieldSites!H:H, MATCH(Ch2_FieldSurvey!B726,FieldSites!C:C,0))</f>
        <v>37.150723</v>
      </c>
      <c r="H726" s="18" t="n">
        <v>42</v>
      </c>
      <c r="I726" s="21" t="str">
        <f aca="false">CONCATENATE(B726,"_",C726,H726)</f>
        <v>HUOB_M. guttatus42</v>
      </c>
      <c r="J726" s="22" t="n">
        <v>44706</v>
      </c>
      <c r="K726" s="23" t="n">
        <v>0.577777777777778</v>
      </c>
      <c r="L726" s="22" t="n">
        <v>44707</v>
      </c>
      <c r="M726" s="23" t="n">
        <v>0.436111111111111</v>
      </c>
      <c r="O726" s="1" t="s">
        <v>622</v>
      </c>
      <c r="P726" s="16" t="s">
        <v>616</v>
      </c>
      <c r="Q726" s="16" t="s">
        <v>329</v>
      </c>
      <c r="R726" s="16" t="s">
        <v>617</v>
      </c>
      <c r="S726" s="4" t="s">
        <v>462</v>
      </c>
      <c r="T726" s="24" t="n">
        <v>272</v>
      </c>
      <c r="U726" s="18" t="n">
        <v>6.5</v>
      </c>
      <c r="V726" s="24" t="n">
        <v>0.48</v>
      </c>
      <c r="W726" s="2" t="n">
        <v>0.5</v>
      </c>
      <c r="Z726" s="18"/>
      <c r="AA726" s="20" t="n">
        <v>263871</v>
      </c>
      <c r="AB726" s="20" t="n">
        <v>289663</v>
      </c>
      <c r="AC726" s="19" t="n">
        <f aca="false">(AB726-AA726)/AB726</f>
        <v>0.0890414032858874</v>
      </c>
    </row>
    <row r="727" customFormat="false" ht="14.25" hidden="false" customHeight="true" outlineLevel="0" collapsed="false">
      <c r="A727" s="18" t="s">
        <v>148</v>
      </c>
      <c r="B727" s="18" t="s">
        <v>148</v>
      </c>
      <c r="C727" s="18" t="s">
        <v>40</v>
      </c>
      <c r="E727" s="2" t="n">
        <f aca="false">INDEX(FieldSites!F:F, MATCH(Ch2_FieldSurvey!B727,FieldSites!C:C,0))</f>
        <v>1851</v>
      </c>
      <c r="F727" s="2" t="n">
        <f aca="false">INDEX(FieldSites!G:G, MATCH(Ch2_FieldSurvey!B727,FieldSites!C:C,0))</f>
        <v>-119.273507</v>
      </c>
      <c r="G727" s="2" t="n">
        <f aca="false">INDEX(FieldSites!H:H, MATCH(Ch2_FieldSurvey!B727,FieldSites!C:C,0))</f>
        <v>37.150723</v>
      </c>
      <c r="H727" s="18" t="n">
        <v>42</v>
      </c>
      <c r="I727" s="21" t="str">
        <f aca="false">CONCATENATE(B727,"_",C727,H727)</f>
        <v>HUOB_M. guttatus42</v>
      </c>
      <c r="J727" s="22" t="n">
        <v>44706</v>
      </c>
      <c r="K727" s="23" t="n">
        <v>0.577777777777778</v>
      </c>
      <c r="L727" s="22" t="n">
        <v>44707</v>
      </c>
      <c r="M727" s="23" t="n">
        <v>0.436111111111111</v>
      </c>
      <c r="O727" s="1" t="s">
        <v>622</v>
      </c>
      <c r="P727" s="16" t="s">
        <v>616</v>
      </c>
      <c r="Q727" s="16" t="s">
        <v>329</v>
      </c>
      <c r="R727" s="16" t="s">
        <v>617</v>
      </c>
      <c r="S727" s="4" t="s">
        <v>462</v>
      </c>
      <c r="T727" s="24" t="n">
        <v>355</v>
      </c>
      <c r="U727" s="18" t="n">
        <v>5.1</v>
      </c>
      <c r="V727" s="24" t="n">
        <v>0.59</v>
      </c>
      <c r="W727" s="2" t="n">
        <v>0.6</v>
      </c>
      <c r="Z727" s="18"/>
      <c r="AA727" s="20"/>
      <c r="AB727" s="20"/>
      <c r="AC727" s="19" t="e">
        <f aca="false">(AB727-AA727)/AB727</f>
        <v>#DIV/0!</v>
      </c>
    </row>
    <row r="728" customFormat="false" ht="14.25" hidden="false" customHeight="true" outlineLevel="0" collapsed="false">
      <c r="A728" s="18" t="s">
        <v>148</v>
      </c>
      <c r="B728" s="18" t="s">
        <v>148</v>
      </c>
      <c r="C728" s="18" t="s">
        <v>40</v>
      </c>
      <c r="E728" s="2" t="n">
        <f aca="false">INDEX(FieldSites!F:F, MATCH(Ch2_FieldSurvey!B728,FieldSites!C:C,0))</f>
        <v>1851</v>
      </c>
      <c r="F728" s="2" t="n">
        <f aca="false">INDEX(FieldSites!G:G, MATCH(Ch2_FieldSurvey!B728,FieldSites!C:C,0))</f>
        <v>-119.273507</v>
      </c>
      <c r="G728" s="2" t="n">
        <f aca="false">INDEX(FieldSites!H:H, MATCH(Ch2_FieldSurvey!B728,FieldSites!C:C,0))</f>
        <v>37.150723</v>
      </c>
      <c r="H728" s="18" t="n">
        <v>42</v>
      </c>
      <c r="I728" s="21" t="str">
        <f aca="false">CONCATENATE(B728,"_",C728,H728)</f>
        <v>HUOB_M. guttatus42</v>
      </c>
      <c r="J728" s="22" t="n">
        <v>44706</v>
      </c>
      <c r="K728" s="23" t="n">
        <v>0.577777777777778</v>
      </c>
      <c r="L728" s="22" t="n">
        <v>44707</v>
      </c>
      <c r="M728" s="23" t="n">
        <v>0.436111111111111</v>
      </c>
      <c r="O728" s="1" t="s">
        <v>622</v>
      </c>
      <c r="P728" s="16" t="s">
        <v>616</v>
      </c>
      <c r="Q728" s="16" t="s">
        <v>329</v>
      </c>
      <c r="R728" s="16" t="s">
        <v>617</v>
      </c>
      <c r="S728" s="4" t="s">
        <v>462</v>
      </c>
      <c r="T728" s="24" t="n">
        <v>342</v>
      </c>
      <c r="U728" s="18" t="n">
        <v>4.8</v>
      </c>
      <c r="V728" s="24" t="n">
        <v>0.47</v>
      </c>
      <c r="W728" s="2" t="n">
        <v>0.6</v>
      </c>
      <c r="Z728" s="18"/>
      <c r="AA728" s="20"/>
      <c r="AB728" s="20"/>
      <c r="AC728" s="19" t="e">
        <f aca="false">(AB728-AA728)/AB728</f>
        <v>#DIV/0!</v>
      </c>
    </row>
    <row r="729" customFormat="false" ht="14.25" hidden="false" customHeight="true" outlineLevel="0" collapsed="false">
      <c r="A729" s="18" t="s">
        <v>148</v>
      </c>
      <c r="B729" s="18" t="s">
        <v>148</v>
      </c>
      <c r="C729" s="18" t="s">
        <v>40</v>
      </c>
      <c r="E729" s="2" t="n">
        <f aca="false">INDEX(FieldSites!F:F, MATCH(Ch2_FieldSurvey!B729,FieldSites!C:C,0))</f>
        <v>1851</v>
      </c>
      <c r="F729" s="2" t="n">
        <f aca="false">INDEX(FieldSites!G:G, MATCH(Ch2_FieldSurvey!B729,FieldSites!C:C,0))</f>
        <v>-119.273507</v>
      </c>
      <c r="G729" s="2" t="n">
        <f aca="false">INDEX(FieldSites!H:H, MATCH(Ch2_FieldSurvey!B729,FieldSites!C:C,0))</f>
        <v>37.150723</v>
      </c>
      <c r="H729" s="18" t="n">
        <v>52</v>
      </c>
      <c r="I729" s="21" t="str">
        <f aca="false">CONCATENATE(B729,"_",C729,H729)</f>
        <v>HUOB_M. guttatus52</v>
      </c>
      <c r="J729" s="22" t="n">
        <v>44706</v>
      </c>
      <c r="K729" s="23" t="n">
        <v>0.577777777777778</v>
      </c>
      <c r="L729" s="22" t="n">
        <v>44707</v>
      </c>
      <c r="M729" s="23" t="n">
        <v>0.440277777777778</v>
      </c>
      <c r="O729" s="1" t="s">
        <v>623</v>
      </c>
      <c r="P729" s="16" t="s">
        <v>616</v>
      </c>
      <c r="Q729" s="16" t="s">
        <v>329</v>
      </c>
      <c r="R729" s="16" t="s">
        <v>617</v>
      </c>
      <c r="S729" s="4" t="s">
        <v>624</v>
      </c>
      <c r="T729" s="24" t="n">
        <v>270</v>
      </c>
      <c r="U729" s="18" t="n">
        <v>4.8</v>
      </c>
      <c r="V729" s="24" t="n">
        <v>0.5</v>
      </c>
      <c r="W729" s="2" t="n">
        <v>0.7</v>
      </c>
      <c r="Z729" s="18"/>
      <c r="AA729" s="20" t="n">
        <v>211605</v>
      </c>
      <c r="AB729" s="20" t="n">
        <v>222777</v>
      </c>
      <c r="AC729" s="19" t="n">
        <f aca="false">(AB729-AA729)/AB729</f>
        <v>0.0501488035120322</v>
      </c>
    </row>
    <row r="730" customFormat="false" ht="14.25" hidden="false" customHeight="true" outlineLevel="0" collapsed="false">
      <c r="A730" s="18" t="s">
        <v>148</v>
      </c>
      <c r="B730" s="18" t="s">
        <v>148</v>
      </c>
      <c r="C730" s="18" t="s">
        <v>40</v>
      </c>
      <c r="E730" s="2" t="n">
        <f aca="false">INDEX(FieldSites!F:F, MATCH(Ch2_FieldSurvey!B730,FieldSites!C:C,0))</f>
        <v>1851</v>
      </c>
      <c r="F730" s="2" t="n">
        <f aca="false">INDEX(FieldSites!G:G, MATCH(Ch2_FieldSurvey!B730,FieldSites!C:C,0))</f>
        <v>-119.273507</v>
      </c>
      <c r="G730" s="2" t="n">
        <f aca="false">INDEX(FieldSites!H:H, MATCH(Ch2_FieldSurvey!B730,FieldSites!C:C,0))</f>
        <v>37.150723</v>
      </c>
      <c r="H730" s="18" t="n">
        <v>52</v>
      </c>
      <c r="I730" s="21" t="str">
        <f aca="false">CONCATENATE(B730,"_",C730,H730)</f>
        <v>HUOB_M. guttatus52</v>
      </c>
      <c r="J730" s="22" t="n">
        <v>44706</v>
      </c>
      <c r="K730" s="23" t="n">
        <v>0.577777777777778</v>
      </c>
      <c r="L730" s="22" t="n">
        <v>44707</v>
      </c>
      <c r="M730" s="23" t="n">
        <v>0.440277777777778</v>
      </c>
      <c r="O730" s="1" t="s">
        <v>623</v>
      </c>
      <c r="P730" s="16" t="s">
        <v>616</v>
      </c>
      <c r="Q730" s="16" t="s">
        <v>329</v>
      </c>
      <c r="R730" s="16" t="s">
        <v>617</v>
      </c>
      <c r="S730" s="4" t="s">
        <v>624</v>
      </c>
      <c r="T730" s="24" t="n">
        <v>279</v>
      </c>
      <c r="U730" s="18" t="n">
        <v>6.9</v>
      </c>
      <c r="V730" s="24" t="n">
        <v>0.58</v>
      </c>
      <c r="W730" s="2" t="n">
        <v>0.6</v>
      </c>
      <c r="Z730" s="18"/>
      <c r="AA730" s="20"/>
      <c r="AB730" s="20"/>
      <c r="AC730" s="19" t="e">
        <f aca="false">(AB730-AA730)/AB730</f>
        <v>#DIV/0!</v>
      </c>
    </row>
    <row r="731" customFormat="false" ht="14.25" hidden="false" customHeight="true" outlineLevel="0" collapsed="false">
      <c r="A731" s="18" t="s">
        <v>148</v>
      </c>
      <c r="B731" s="18" t="s">
        <v>148</v>
      </c>
      <c r="C731" s="18" t="s">
        <v>40</v>
      </c>
      <c r="E731" s="2" t="n">
        <f aca="false">INDEX(FieldSites!F:F, MATCH(Ch2_FieldSurvey!B731,FieldSites!C:C,0))</f>
        <v>1851</v>
      </c>
      <c r="F731" s="2" t="n">
        <f aca="false">INDEX(FieldSites!G:G, MATCH(Ch2_FieldSurvey!B731,FieldSites!C:C,0))</f>
        <v>-119.273507</v>
      </c>
      <c r="G731" s="2" t="n">
        <f aca="false">INDEX(FieldSites!H:H, MATCH(Ch2_FieldSurvey!B731,FieldSites!C:C,0))</f>
        <v>37.150723</v>
      </c>
      <c r="H731" s="18" t="n">
        <v>52</v>
      </c>
      <c r="I731" s="21" t="str">
        <f aca="false">CONCATENATE(B731,"_",C731,H731)</f>
        <v>HUOB_M. guttatus52</v>
      </c>
      <c r="J731" s="22" t="n">
        <v>44706</v>
      </c>
      <c r="K731" s="23" t="n">
        <v>0.577777777777778</v>
      </c>
      <c r="L731" s="22" t="n">
        <v>44707</v>
      </c>
      <c r="M731" s="23" t="n">
        <v>0.440277777777778</v>
      </c>
      <c r="O731" s="1" t="s">
        <v>623</v>
      </c>
      <c r="P731" s="16" t="s">
        <v>616</v>
      </c>
      <c r="Q731" s="16" t="s">
        <v>329</v>
      </c>
      <c r="R731" s="16" t="s">
        <v>617</v>
      </c>
      <c r="S731" s="4" t="s">
        <v>624</v>
      </c>
      <c r="T731" s="24" t="n">
        <v>285</v>
      </c>
      <c r="U731" s="18" t="n">
        <v>5.1</v>
      </c>
      <c r="V731" s="24" t="n">
        <v>0.53</v>
      </c>
      <c r="W731" s="2" t="n">
        <v>0.6</v>
      </c>
      <c r="Z731" s="18"/>
      <c r="AA731" s="20"/>
      <c r="AB731" s="20"/>
      <c r="AC731" s="19" t="e">
        <f aca="false">(AB731-AA731)/AB731</f>
        <v>#DIV/0!</v>
      </c>
    </row>
    <row r="732" customFormat="false" ht="14.25" hidden="false" customHeight="true" outlineLevel="0" collapsed="false">
      <c r="A732" s="18" t="s">
        <v>148</v>
      </c>
      <c r="B732" s="18" t="s">
        <v>148</v>
      </c>
      <c r="C732" s="18" t="s">
        <v>40</v>
      </c>
      <c r="E732" s="2" t="n">
        <f aca="false">INDEX(FieldSites!F:F, MATCH(Ch2_FieldSurvey!B732,FieldSites!C:C,0))</f>
        <v>1851</v>
      </c>
      <c r="F732" s="2" t="n">
        <f aca="false">INDEX(FieldSites!G:G, MATCH(Ch2_FieldSurvey!B732,FieldSites!C:C,0))</f>
        <v>-119.273507</v>
      </c>
      <c r="G732" s="2" t="n">
        <f aca="false">INDEX(FieldSites!H:H, MATCH(Ch2_FieldSurvey!B732,FieldSites!C:C,0))</f>
        <v>37.150723</v>
      </c>
      <c r="H732" s="18" t="n">
        <v>62</v>
      </c>
      <c r="I732" s="21" t="str">
        <f aca="false">CONCATENATE(B732,"_",C732,H732)</f>
        <v>HUOB_M. guttatus62</v>
      </c>
      <c r="J732" s="22" t="n">
        <v>44706</v>
      </c>
      <c r="K732" s="23" t="n">
        <v>0.577777777777778</v>
      </c>
      <c r="L732" s="22" t="n">
        <v>44707</v>
      </c>
      <c r="M732" s="23" t="n">
        <v>0.445138888888889</v>
      </c>
      <c r="O732" s="1" t="s">
        <v>625</v>
      </c>
      <c r="P732" s="16" t="s">
        <v>616</v>
      </c>
      <c r="Q732" s="16" t="s">
        <v>329</v>
      </c>
      <c r="R732" s="16" t="s">
        <v>617</v>
      </c>
      <c r="S732" s="4" t="s">
        <v>264</v>
      </c>
      <c r="T732" s="24" t="n">
        <v>261</v>
      </c>
      <c r="U732" s="18" t="n">
        <v>3.6</v>
      </c>
      <c r="V732" s="24" t="n">
        <v>0.47</v>
      </c>
      <c r="W732" s="2" t="n">
        <v>0.5</v>
      </c>
      <c r="Z732" s="18"/>
      <c r="AA732" s="20" t="n">
        <v>337092</v>
      </c>
      <c r="AB732" s="20" t="n">
        <v>374836</v>
      </c>
      <c r="AC732" s="19" t="n">
        <f aca="false">(AB732-AA732)/AB732</f>
        <v>0.100694703817136</v>
      </c>
    </row>
    <row r="733" customFormat="false" ht="14.25" hidden="false" customHeight="true" outlineLevel="0" collapsed="false">
      <c r="A733" s="18" t="s">
        <v>148</v>
      </c>
      <c r="B733" s="18" t="s">
        <v>148</v>
      </c>
      <c r="C733" s="18" t="s">
        <v>40</v>
      </c>
      <c r="E733" s="2" t="n">
        <f aca="false">INDEX(FieldSites!F:F, MATCH(Ch2_FieldSurvey!B733,FieldSites!C:C,0))</f>
        <v>1851</v>
      </c>
      <c r="F733" s="2" t="n">
        <f aca="false">INDEX(FieldSites!G:G, MATCH(Ch2_FieldSurvey!B733,FieldSites!C:C,0))</f>
        <v>-119.273507</v>
      </c>
      <c r="G733" s="2" t="n">
        <f aca="false">INDEX(FieldSites!H:H, MATCH(Ch2_FieldSurvey!B733,FieldSites!C:C,0))</f>
        <v>37.150723</v>
      </c>
      <c r="H733" s="18" t="n">
        <v>62</v>
      </c>
      <c r="I733" s="21" t="str">
        <f aca="false">CONCATENATE(B733,"_",C733,H733)</f>
        <v>HUOB_M. guttatus62</v>
      </c>
      <c r="J733" s="22" t="n">
        <v>44706</v>
      </c>
      <c r="K733" s="23" t="n">
        <v>0.577777777777778</v>
      </c>
      <c r="L733" s="22" t="n">
        <v>44707</v>
      </c>
      <c r="M733" s="23" t="n">
        <v>0.445138888888889</v>
      </c>
      <c r="O733" s="1" t="s">
        <v>625</v>
      </c>
      <c r="P733" s="16" t="s">
        <v>616</v>
      </c>
      <c r="Q733" s="16" t="s">
        <v>329</v>
      </c>
      <c r="R733" s="16" t="s">
        <v>617</v>
      </c>
      <c r="S733" s="4" t="s">
        <v>264</v>
      </c>
      <c r="T733" s="24" t="n">
        <v>325</v>
      </c>
      <c r="U733" s="18" t="n">
        <v>3.4</v>
      </c>
      <c r="V733" s="24" t="n">
        <v>0.39</v>
      </c>
      <c r="W733" s="2" t="n">
        <v>0.6</v>
      </c>
      <c r="Z733" s="18"/>
      <c r="AA733" s="20"/>
      <c r="AB733" s="20"/>
      <c r="AC733" s="19" t="e">
        <f aca="false">(AB733-AA733)/AB733</f>
        <v>#DIV/0!</v>
      </c>
    </row>
    <row r="734" customFormat="false" ht="14.25" hidden="false" customHeight="true" outlineLevel="0" collapsed="false">
      <c r="A734" s="18" t="s">
        <v>148</v>
      </c>
      <c r="B734" s="18" t="s">
        <v>148</v>
      </c>
      <c r="C734" s="18" t="s">
        <v>40</v>
      </c>
      <c r="E734" s="2" t="n">
        <f aca="false">INDEX(FieldSites!F:F, MATCH(Ch2_FieldSurvey!B734,FieldSites!C:C,0))</f>
        <v>1851</v>
      </c>
      <c r="F734" s="2" t="n">
        <f aca="false">INDEX(FieldSites!G:G, MATCH(Ch2_FieldSurvey!B734,FieldSites!C:C,0))</f>
        <v>-119.273507</v>
      </c>
      <c r="G734" s="2" t="n">
        <f aca="false">INDEX(FieldSites!H:H, MATCH(Ch2_FieldSurvey!B734,FieldSites!C:C,0))</f>
        <v>37.150723</v>
      </c>
      <c r="H734" s="18" t="n">
        <v>62</v>
      </c>
      <c r="I734" s="21" t="str">
        <f aca="false">CONCATENATE(B734,"_",C734,H734)</f>
        <v>HUOB_M. guttatus62</v>
      </c>
      <c r="J734" s="22" t="n">
        <v>44706</v>
      </c>
      <c r="K734" s="23" t="n">
        <v>0.577777777777778</v>
      </c>
      <c r="L734" s="22" t="n">
        <v>44707</v>
      </c>
      <c r="M734" s="23" t="n">
        <v>0.445138888888889</v>
      </c>
      <c r="O734" s="1" t="s">
        <v>625</v>
      </c>
      <c r="P734" s="16" t="s">
        <v>616</v>
      </c>
      <c r="Q734" s="16" t="s">
        <v>329</v>
      </c>
      <c r="R734" s="16" t="s">
        <v>617</v>
      </c>
      <c r="S734" s="4" t="s">
        <v>264</v>
      </c>
      <c r="T734" s="24" t="n">
        <v>251</v>
      </c>
      <c r="U734" s="18" t="n">
        <v>9.3</v>
      </c>
      <c r="V734" s="24" t="n">
        <v>0.52</v>
      </c>
      <c r="W734" s="2" t="n">
        <v>0.5</v>
      </c>
      <c r="Z734" s="18"/>
      <c r="AA734" s="20"/>
      <c r="AB734" s="20"/>
      <c r="AC734" s="19" t="e">
        <f aca="false">(AB734-AA734)/AB734</f>
        <v>#DIV/0!</v>
      </c>
    </row>
    <row r="735" customFormat="false" ht="14.25" hidden="false" customHeight="true" outlineLevel="0" collapsed="false">
      <c r="A735" s="18" t="s">
        <v>148</v>
      </c>
      <c r="B735" s="18" t="s">
        <v>148</v>
      </c>
      <c r="C735" s="18" t="s">
        <v>40</v>
      </c>
      <c r="E735" s="2" t="n">
        <f aca="false">INDEX(FieldSites!F:F, MATCH(Ch2_FieldSurvey!B735,FieldSites!C:C,0))</f>
        <v>1851</v>
      </c>
      <c r="F735" s="2" t="n">
        <f aca="false">INDEX(FieldSites!G:G, MATCH(Ch2_FieldSurvey!B735,FieldSites!C:C,0))</f>
        <v>-119.273507</v>
      </c>
      <c r="G735" s="2" t="n">
        <f aca="false">INDEX(FieldSites!H:H, MATCH(Ch2_FieldSurvey!B735,FieldSites!C:C,0))</f>
        <v>37.150723</v>
      </c>
      <c r="H735" s="18" t="n">
        <v>72</v>
      </c>
      <c r="I735" s="21" t="str">
        <f aca="false">CONCATENATE(B735,"_",C735,H735)</f>
        <v>HUOB_M. guttatus72</v>
      </c>
      <c r="J735" s="22" t="n">
        <v>44706</v>
      </c>
      <c r="K735" s="23" t="n">
        <v>0.577777777777778</v>
      </c>
      <c r="L735" s="22" t="n">
        <v>44707</v>
      </c>
      <c r="M735" s="23" t="n">
        <v>0.448611111111111</v>
      </c>
      <c r="O735" s="1" t="s">
        <v>626</v>
      </c>
      <c r="P735" s="16" t="s">
        <v>616</v>
      </c>
      <c r="Q735" s="16" t="s">
        <v>329</v>
      </c>
      <c r="R735" s="16" t="s">
        <v>617</v>
      </c>
      <c r="S735" s="4" t="s">
        <v>468</v>
      </c>
      <c r="T735" s="24" t="n">
        <v>295</v>
      </c>
      <c r="U735" s="18" t="n">
        <v>4.7</v>
      </c>
      <c r="V735" s="24" t="n">
        <v>0.43</v>
      </c>
      <c r="W735" s="2" t="n">
        <v>0.7</v>
      </c>
      <c r="Z735" s="18"/>
      <c r="AA735" s="20" t="n">
        <v>99283</v>
      </c>
      <c r="AB735" s="20" t="n">
        <v>106366</v>
      </c>
      <c r="AC735" s="19" t="n">
        <f aca="false">(AB735-AA735)/AB735</f>
        <v>0.0665908278961322</v>
      </c>
    </row>
    <row r="736" customFormat="false" ht="14.25" hidden="false" customHeight="true" outlineLevel="0" collapsed="false">
      <c r="A736" s="18" t="s">
        <v>148</v>
      </c>
      <c r="B736" s="18" t="s">
        <v>148</v>
      </c>
      <c r="C736" s="18" t="s">
        <v>40</v>
      </c>
      <c r="E736" s="2" t="n">
        <f aca="false">INDEX(FieldSites!F:F, MATCH(Ch2_FieldSurvey!B736,FieldSites!C:C,0))</f>
        <v>1851</v>
      </c>
      <c r="F736" s="2" t="n">
        <f aca="false">INDEX(FieldSites!G:G, MATCH(Ch2_FieldSurvey!B736,FieldSites!C:C,0))</f>
        <v>-119.273507</v>
      </c>
      <c r="G736" s="2" t="n">
        <f aca="false">INDEX(FieldSites!H:H, MATCH(Ch2_FieldSurvey!B736,FieldSites!C:C,0))</f>
        <v>37.150723</v>
      </c>
      <c r="H736" s="18" t="n">
        <v>72</v>
      </c>
      <c r="I736" s="21" t="str">
        <f aca="false">CONCATENATE(B736,"_",C736,H736)</f>
        <v>HUOB_M. guttatus72</v>
      </c>
      <c r="J736" s="22" t="n">
        <v>44706</v>
      </c>
      <c r="K736" s="23" t="n">
        <v>0.577777777777778</v>
      </c>
      <c r="L736" s="22" t="n">
        <v>44707</v>
      </c>
      <c r="M736" s="23" t="n">
        <v>0.448611111111111</v>
      </c>
      <c r="O736" s="1" t="s">
        <v>626</v>
      </c>
      <c r="P736" s="16" t="s">
        <v>616</v>
      </c>
      <c r="Q736" s="16" t="s">
        <v>329</v>
      </c>
      <c r="R736" s="16" t="s">
        <v>617</v>
      </c>
      <c r="S736" s="4" t="s">
        <v>468</v>
      </c>
      <c r="T736" s="24" t="n">
        <v>300</v>
      </c>
      <c r="U736" s="18" t="n">
        <v>5.4</v>
      </c>
      <c r="V736" s="24" t="n">
        <v>0.52</v>
      </c>
      <c r="W736" s="2" t="n">
        <v>0.7</v>
      </c>
      <c r="Z736" s="18"/>
      <c r="AA736" s="20"/>
      <c r="AB736" s="20"/>
      <c r="AC736" s="19" t="e">
        <f aca="false">(AB736-AA736)/AB736</f>
        <v>#DIV/0!</v>
      </c>
    </row>
    <row r="737" customFormat="false" ht="14.25" hidden="false" customHeight="true" outlineLevel="0" collapsed="false">
      <c r="A737" s="18" t="s">
        <v>148</v>
      </c>
      <c r="B737" s="18" t="s">
        <v>148</v>
      </c>
      <c r="C737" s="18" t="s">
        <v>40</v>
      </c>
      <c r="E737" s="2" t="n">
        <f aca="false">INDEX(FieldSites!F:F, MATCH(Ch2_FieldSurvey!B737,FieldSites!C:C,0))</f>
        <v>1851</v>
      </c>
      <c r="F737" s="2" t="n">
        <f aca="false">INDEX(FieldSites!G:G, MATCH(Ch2_FieldSurvey!B737,FieldSites!C:C,0))</f>
        <v>-119.273507</v>
      </c>
      <c r="G737" s="2" t="n">
        <f aca="false">INDEX(FieldSites!H:H, MATCH(Ch2_FieldSurvey!B737,FieldSites!C:C,0))</f>
        <v>37.150723</v>
      </c>
      <c r="H737" s="18" t="n">
        <v>72</v>
      </c>
      <c r="I737" s="21" t="str">
        <f aca="false">CONCATENATE(B737,"_",C737,H737)</f>
        <v>HUOB_M. guttatus72</v>
      </c>
      <c r="J737" s="22" t="n">
        <v>44706</v>
      </c>
      <c r="K737" s="23" t="n">
        <v>0.577777777777778</v>
      </c>
      <c r="L737" s="22" t="n">
        <v>44707</v>
      </c>
      <c r="M737" s="23" t="n">
        <v>0.448611111111111</v>
      </c>
      <c r="O737" s="1" t="s">
        <v>626</v>
      </c>
      <c r="P737" s="16" t="s">
        <v>616</v>
      </c>
      <c r="Q737" s="16" t="s">
        <v>329</v>
      </c>
      <c r="R737" s="16" t="s">
        <v>617</v>
      </c>
      <c r="S737" s="4" t="s">
        <v>468</v>
      </c>
      <c r="T737" s="24" t="n">
        <v>281</v>
      </c>
      <c r="U737" s="18" t="n">
        <v>4.8</v>
      </c>
      <c r="V737" s="24" t="n">
        <v>0.54</v>
      </c>
      <c r="W737" s="2" t="n">
        <v>0.7</v>
      </c>
      <c r="Z737" s="18"/>
      <c r="AA737" s="20"/>
      <c r="AB737" s="20"/>
      <c r="AC737" s="19" t="e">
        <f aca="false">(AB737-AA737)/AB737</f>
        <v>#DIV/0!</v>
      </c>
    </row>
    <row r="738" customFormat="false" ht="14.25" hidden="false" customHeight="true" outlineLevel="0" collapsed="false">
      <c r="A738" s="18" t="s">
        <v>148</v>
      </c>
      <c r="B738" s="18" t="s">
        <v>148</v>
      </c>
      <c r="C738" s="18" t="s">
        <v>40</v>
      </c>
      <c r="E738" s="2" t="n">
        <f aca="false">INDEX(FieldSites!F:F, MATCH(Ch2_FieldSurvey!B738,FieldSites!C:C,0))</f>
        <v>1851</v>
      </c>
      <c r="F738" s="2" t="n">
        <f aca="false">INDEX(FieldSites!G:G, MATCH(Ch2_FieldSurvey!B738,FieldSites!C:C,0))</f>
        <v>-119.273507</v>
      </c>
      <c r="G738" s="2" t="n">
        <f aca="false">INDEX(FieldSites!H:H, MATCH(Ch2_FieldSurvey!B738,FieldSites!C:C,0))</f>
        <v>37.150723</v>
      </c>
      <c r="H738" s="18" t="n">
        <v>82</v>
      </c>
      <c r="I738" s="21" t="str">
        <f aca="false">CONCATENATE(B738,"_",C738,H738)</f>
        <v>HUOB_M. guttatus82</v>
      </c>
      <c r="J738" s="22" t="n">
        <v>44706</v>
      </c>
      <c r="K738" s="23" t="n">
        <v>0.577777777777778</v>
      </c>
      <c r="L738" s="22" t="n">
        <v>44707</v>
      </c>
      <c r="M738" s="23" t="n">
        <v>0.453472222222222</v>
      </c>
      <c r="O738" s="1" t="s">
        <v>627</v>
      </c>
      <c r="P738" s="16" t="s">
        <v>616</v>
      </c>
      <c r="Q738" s="16" t="s">
        <v>329</v>
      </c>
      <c r="R738" s="16" t="s">
        <v>617</v>
      </c>
      <c r="S738" s="4" t="s">
        <v>570</v>
      </c>
      <c r="T738" s="24" t="n">
        <v>407</v>
      </c>
      <c r="U738" s="18" t="n">
        <v>17.4</v>
      </c>
      <c r="V738" s="24" t="n">
        <v>0.52</v>
      </c>
      <c r="W738" s="2" t="n">
        <v>0.8</v>
      </c>
      <c r="Z738" s="18"/>
      <c r="AA738" s="20" t="n">
        <v>446363</v>
      </c>
      <c r="AB738" s="20" t="n">
        <v>482849</v>
      </c>
      <c r="AC738" s="19" t="n">
        <f aca="false">(AB738-AA738)/AB738</f>
        <v>0.075563996197569</v>
      </c>
    </row>
    <row r="739" customFormat="false" ht="14.25" hidden="false" customHeight="true" outlineLevel="0" collapsed="false">
      <c r="A739" s="18" t="s">
        <v>148</v>
      </c>
      <c r="B739" s="18" t="s">
        <v>148</v>
      </c>
      <c r="C739" s="18" t="s">
        <v>40</v>
      </c>
      <c r="E739" s="2" t="n">
        <f aca="false">INDEX(FieldSites!F:F, MATCH(Ch2_FieldSurvey!B739,FieldSites!C:C,0))</f>
        <v>1851</v>
      </c>
      <c r="F739" s="2" t="n">
        <f aca="false">INDEX(FieldSites!G:G, MATCH(Ch2_FieldSurvey!B739,FieldSites!C:C,0))</f>
        <v>-119.273507</v>
      </c>
      <c r="G739" s="2" t="n">
        <f aca="false">INDEX(FieldSites!H:H, MATCH(Ch2_FieldSurvey!B739,FieldSites!C:C,0))</f>
        <v>37.150723</v>
      </c>
      <c r="H739" s="18" t="n">
        <v>82</v>
      </c>
      <c r="I739" s="21" t="str">
        <f aca="false">CONCATENATE(B739,"_",C739,H739)</f>
        <v>HUOB_M. guttatus82</v>
      </c>
      <c r="J739" s="22" t="n">
        <v>44706</v>
      </c>
      <c r="K739" s="23" t="n">
        <v>0.577777777777778</v>
      </c>
      <c r="L739" s="22" t="n">
        <v>44707</v>
      </c>
      <c r="M739" s="23" t="n">
        <v>0.453472222222222</v>
      </c>
      <c r="O739" s="1" t="s">
        <v>627</v>
      </c>
      <c r="P739" s="16" t="s">
        <v>616</v>
      </c>
      <c r="Q739" s="16" t="s">
        <v>329</v>
      </c>
      <c r="R739" s="16" t="s">
        <v>617</v>
      </c>
      <c r="S739" s="4" t="s">
        <v>570</v>
      </c>
      <c r="T739" s="24" t="n">
        <v>370</v>
      </c>
      <c r="U739" s="18" t="n">
        <v>6.3</v>
      </c>
      <c r="V739" s="24" t="n">
        <v>0.63</v>
      </c>
      <c r="W739" s="2" t="n">
        <v>0.8</v>
      </c>
      <c r="Z739" s="18"/>
      <c r="AA739" s="20"/>
      <c r="AB739" s="20"/>
      <c r="AC739" s="19" t="e">
        <f aca="false">(AB739-AA739)/AB739</f>
        <v>#DIV/0!</v>
      </c>
    </row>
    <row r="740" customFormat="false" ht="14.25" hidden="false" customHeight="true" outlineLevel="0" collapsed="false">
      <c r="A740" s="18" t="s">
        <v>148</v>
      </c>
      <c r="B740" s="18" t="s">
        <v>148</v>
      </c>
      <c r="C740" s="18" t="s">
        <v>40</v>
      </c>
      <c r="E740" s="2" t="n">
        <f aca="false">INDEX(FieldSites!F:F, MATCH(Ch2_FieldSurvey!B740,FieldSites!C:C,0))</f>
        <v>1851</v>
      </c>
      <c r="F740" s="2" t="n">
        <f aca="false">INDEX(FieldSites!G:G, MATCH(Ch2_FieldSurvey!B740,FieldSites!C:C,0))</f>
        <v>-119.273507</v>
      </c>
      <c r="G740" s="2" t="n">
        <f aca="false">INDEX(FieldSites!H:H, MATCH(Ch2_FieldSurvey!B740,FieldSites!C:C,0))</f>
        <v>37.150723</v>
      </c>
      <c r="H740" s="18" t="n">
        <v>82</v>
      </c>
      <c r="I740" s="21" t="str">
        <f aca="false">CONCATENATE(B740,"_",C740,H740)</f>
        <v>HUOB_M. guttatus82</v>
      </c>
      <c r="J740" s="22" t="n">
        <v>44706</v>
      </c>
      <c r="K740" s="23" t="n">
        <v>0.577777777777778</v>
      </c>
      <c r="L740" s="22" t="n">
        <v>44707</v>
      </c>
      <c r="M740" s="23" t="n">
        <v>0.453472222222222</v>
      </c>
      <c r="O740" s="1" t="s">
        <v>627</v>
      </c>
      <c r="P740" s="16" t="s">
        <v>616</v>
      </c>
      <c r="Q740" s="16" t="s">
        <v>329</v>
      </c>
      <c r="R740" s="16" t="s">
        <v>617</v>
      </c>
      <c r="S740" s="4" t="s">
        <v>570</v>
      </c>
      <c r="T740" s="24" t="n">
        <v>355</v>
      </c>
      <c r="U740" s="18" t="n">
        <v>7.2</v>
      </c>
      <c r="V740" s="24" t="n">
        <v>0.58</v>
      </c>
      <c r="W740" s="2" t="n">
        <v>1</v>
      </c>
      <c r="Z740" s="18"/>
      <c r="AA740" s="20"/>
      <c r="AB740" s="20"/>
      <c r="AC740" s="19" t="e">
        <f aca="false">(AB740-AA740)/AB740</f>
        <v>#DIV/0!</v>
      </c>
    </row>
    <row r="741" customFormat="false" ht="14.25" hidden="false" customHeight="true" outlineLevel="0" collapsed="false">
      <c r="A741" s="18" t="s">
        <v>148</v>
      </c>
      <c r="B741" s="18" t="s">
        <v>148</v>
      </c>
      <c r="C741" s="18" t="s">
        <v>40</v>
      </c>
      <c r="E741" s="2" t="n">
        <f aca="false">INDEX(FieldSites!F:F, MATCH(Ch2_FieldSurvey!B741,FieldSites!C:C,0))</f>
        <v>1851</v>
      </c>
      <c r="F741" s="2" t="n">
        <f aca="false">INDEX(FieldSites!G:G, MATCH(Ch2_FieldSurvey!B741,FieldSites!C:C,0))</f>
        <v>-119.273507</v>
      </c>
      <c r="G741" s="2" t="n">
        <f aca="false">INDEX(FieldSites!H:H, MATCH(Ch2_FieldSurvey!B741,FieldSites!C:C,0))</f>
        <v>37.150723</v>
      </c>
      <c r="H741" s="18" t="n">
        <v>92</v>
      </c>
      <c r="I741" s="21" t="str">
        <f aca="false">CONCATENATE(B741,"_",C741,H741)</f>
        <v>HUOB_M. guttatus92</v>
      </c>
      <c r="J741" s="22" t="n">
        <v>44706</v>
      </c>
      <c r="K741" s="23" t="n">
        <v>0.577777777777778</v>
      </c>
      <c r="L741" s="22" t="n">
        <v>44707</v>
      </c>
      <c r="M741" s="23" t="n">
        <v>0.457638888888889</v>
      </c>
      <c r="O741" s="1" t="s">
        <v>628</v>
      </c>
      <c r="P741" s="16" t="s">
        <v>616</v>
      </c>
      <c r="Q741" s="16" t="s">
        <v>329</v>
      </c>
      <c r="R741" s="16" t="s">
        <v>617</v>
      </c>
      <c r="S741" s="4" t="s">
        <v>572</v>
      </c>
      <c r="T741" s="24" t="n">
        <v>266</v>
      </c>
      <c r="U741" s="18" t="n">
        <v>5.1</v>
      </c>
      <c r="V741" s="24" t="n">
        <v>0.59</v>
      </c>
      <c r="W741" s="2" t="n">
        <v>0.8</v>
      </c>
      <c r="Z741" s="18"/>
      <c r="AA741" s="20" t="n">
        <v>185227</v>
      </c>
      <c r="AB741" s="20" t="n">
        <v>200581</v>
      </c>
      <c r="AC741" s="19" t="n">
        <f aca="false">(AB741-AA741)/AB741</f>
        <v>0.076547629137356</v>
      </c>
    </row>
    <row r="742" customFormat="false" ht="14.25" hidden="false" customHeight="true" outlineLevel="0" collapsed="false">
      <c r="A742" s="18" t="s">
        <v>148</v>
      </c>
      <c r="B742" s="18" t="s">
        <v>148</v>
      </c>
      <c r="C742" s="18" t="s">
        <v>40</v>
      </c>
      <c r="E742" s="2" t="n">
        <f aca="false">INDEX(FieldSites!F:F, MATCH(Ch2_FieldSurvey!B742,FieldSites!C:C,0))</f>
        <v>1851</v>
      </c>
      <c r="F742" s="2" t="n">
        <f aca="false">INDEX(FieldSites!G:G, MATCH(Ch2_FieldSurvey!B742,FieldSites!C:C,0))</f>
        <v>-119.273507</v>
      </c>
      <c r="G742" s="2" t="n">
        <f aca="false">INDEX(FieldSites!H:H, MATCH(Ch2_FieldSurvey!B742,FieldSites!C:C,0))</f>
        <v>37.150723</v>
      </c>
      <c r="H742" s="18" t="n">
        <v>92</v>
      </c>
      <c r="I742" s="21" t="str">
        <f aca="false">CONCATENATE(B742,"_",C742,H742)</f>
        <v>HUOB_M. guttatus92</v>
      </c>
      <c r="J742" s="22" t="n">
        <v>44706</v>
      </c>
      <c r="K742" s="23" t="n">
        <v>0.577777777777778</v>
      </c>
      <c r="L742" s="22" t="n">
        <v>44707</v>
      </c>
      <c r="M742" s="23" t="n">
        <v>0.457638888888889</v>
      </c>
      <c r="O742" s="1" t="s">
        <v>628</v>
      </c>
      <c r="P742" s="16" t="s">
        <v>616</v>
      </c>
      <c r="Q742" s="16" t="s">
        <v>329</v>
      </c>
      <c r="R742" s="16" t="s">
        <v>617</v>
      </c>
      <c r="S742" s="4" t="s">
        <v>572</v>
      </c>
      <c r="T742" s="24" t="n">
        <v>341</v>
      </c>
      <c r="U742" s="18" t="n">
        <v>7.8</v>
      </c>
      <c r="V742" s="24" t="n">
        <v>0.67</v>
      </c>
      <c r="W742" s="2" t="n">
        <v>0.8</v>
      </c>
      <c r="Z742" s="18"/>
      <c r="AA742" s="20"/>
      <c r="AB742" s="20"/>
      <c r="AC742" s="19" t="e">
        <f aca="false">(AB742-AA742)/AB742</f>
        <v>#DIV/0!</v>
      </c>
    </row>
    <row r="743" customFormat="false" ht="14.25" hidden="false" customHeight="true" outlineLevel="0" collapsed="false">
      <c r="A743" s="18" t="s">
        <v>148</v>
      </c>
      <c r="B743" s="18" t="s">
        <v>148</v>
      </c>
      <c r="C743" s="18" t="s">
        <v>40</v>
      </c>
      <c r="E743" s="2" t="n">
        <f aca="false">INDEX(FieldSites!F:F, MATCH(Ch2_FieldSurvey!B743,FieldSites!C:C,0))</f>
        <v>1851</v>
      </c>
      <c r="F743" s="2" t="n">
        <f aca="false">INDEX(FieldSites!G:G, MATCH(Ch2_FieldSurvey!B743,FieldSites!C:C,0))</f>
        <v>-119.273507</v>
      </c>
      <c r="G743" s="2" t="n">
        <f aca="false">INDEX(FieldSites!H:H, MATCH(Ch2_FieldSurvey!B743,FieldSites!C:C,0))</f>
        <v>37.150723</v>
      </c>
      <c r="H743" s="18" t="n">
        <v>92</v>
      </c>
      <c r="I743" s="21" t="str">
        <f aca="false">CONCATENATE(B743,"_",C743,H743)</f>
        <v>HUOB_M. guttatus92</v>
      </c>
      <c r="J743" s="22" t="n">
        <v>44706</v>
      </c>
      <c r="K743" s="23" t="n">
        <v>0.577777777777778</v>
      </c>
      <c r="L743" s="22" t="n">
        <v>44707</v>
      </c>
      <c r="M743" s="23" t="n">
        <v>0.457638888888889</v>
      </c>
      <c r="O743" s="1" t="s">
        <v>628</v>
      </c>
      <c r="P743" s="16" t="s">
        <v>616</v>
      </c>
      <c r="Q743" s="16" t="s">
        <v>329</v>
      </c>
      <c r="R743" s="16" t="s">
        <v>617</v>
      </c>
      <c r="S743" s="4" t="s">
        <v>572</v>
      </c>
      <c r="T743" s="24" t="n">
        <v>286</v>
      </c>
      <c r="U743" s="18" t="n">
        <v>5.2</v>
      </c>
      <c r="V743" s="24" t="n">
        <v>0.64</v>
      </c>
      <c r="W743" s="2" t="n">
        <v>0.8</v>
      </c>
      <c r="Z743" s="18"/>
      <c r="AA743" s="20"/>
      <c r="AB743" s="20"/>
      <c r="AC743" s="19" t="e">
        <f aca="false">(AB743-AA743)/AB743</f>
        <v>#DIV/0!</v>
      </c>
    </row>
    <row r="744" customFormat="false" ht="14.25" hidden="false" customHeight="true" outlineLevel="0" collapsed="false">
      <c r="A744" s="18" t="s">
        <v>148</v>
      </c>
      <c r="B744" s="18" t="s">
        <v>148</v>
      </c>
      <c r="C744" s="18" t="s">
        <v>40</v>
      </c>
      <c r="E744" s="2" t="n">
        <f aca="false">INDEX(FieldSites!F:F, MATCH(Ch2_FieldSurvey!B744,FieldSites!C:C,0))</f>
        <v>1851</v>
      </c>
      <c r="F744" s="2" t="n">
        <f aca="false">INDEX(FieldSites!G:G, MATCH(Ch2_FieldSurvey!B744,FieldSites!C:C,0))</f>
        <v>-119.273507</v>
      </c>
      <c r="G744" s="2" t="n">
        <f aca="false">INDEX(FieldSites!H:H, MATCH(Ch2_FieldSurvey!B744,FieldSites!C:C,0))</f>
        <v>37.150723</v>
      </c>
      <c r="H744" s="18" t="n">
        <v>102</v>
      </c>
      <c r="I744" s="21" t="str">
        <f aca="false">CONCATENATE(B744,"_",C744,H744)</f>
        <v>HUOB_M. guttatus102</v>
      </c>
      <c r="J744" s="22" t="n">
        <v>44706</v>
      </c>
      <c r="K744" s="23" t="n">
        <v>0.577777777777778</v>
      </c>
      <c r="L744" s="22" t="n">
        <v>44707</v>
      </c>
      <c r="M744" s="23" t="n">
        <v>0.461111111111111</v>
      </c>
      <c r="O744" s="1" t="s">
        <v>629</v>
      </c>
      <c r="P744" s="16" t="s">
        <v>616</v>
      </c>
      <c r="Q744" s="16" t="s">
        <v>329</v>
      </c>
      <c r="R744" s="16" t="s">
        <v>617</v>
      </c>
      <c r="S744" s="4" t="s">
        <v>630</v>
      </c>
      <c r="T744" s="24" t="n">
        <v>271</v>
      </c>
      <c r="U744" s="18" t="n">
        <v>3.4</v>
      </c>
      <c r="V744" s="24" t="n">
        <v>0.42</v>
      </c>
      <c r="W744" s="2" t="n">
        <v>0.3</v>
      </c>
      <c r="Z744" s="18"/>
      <c r="AA744" s="20" t="n">
        <v>199827</v>
      </c>
      <c r="AB744" s="20" t="n">
        <v>214772</v>
      </c>
      <c r="AC744" s="19" t="n">
        <f aca="false">(AB744-AA744)/AB744</f>
        <v>0.0695854208183562</v>
      </c>
    </row>
    <row r="745" customFormat="false" ht="14.25" hidden="false" customHeight="true" outlineLevel="0" collapsed="false">
      <c r="A745" s="18" t="s">
        <v>148</v>
      </c>
      <c r="B745" s="18" t="s">
        <v>148</v>
      </c>
      <c r="C745" s="18" t="s">
        <v>40</v>
      </c>
      <c r="E745" s="2" t="n">
        <f aca="false">INDEX(FieldSites!F:F, MATCH(Ch2_FieldSurvey!B745,FieldSites!C:C,0))</f>
        <v>1851</v>
      </c>
      <c r="F745" s="2" t="n">
        <f aca="false">INDEX(FieldSites!G:G, MATCH(Ch2_FieldSurvey!B745,FieldSites!C:C,0))</f>
        <v>-119.273507</v>
      </c>
      <c r="G745" s="2" t="n">
        <f aca="false">INDEX(FieldSites!H:H, MATCH(Ch2_FieldSurvey!B745,FieldSites!C:C,0))</f>
        <v>37.150723</v>
      </c>
      <c r="H745" s="18" t="n">
        <v>102</v>
      </c>
      <c r="I745" s="21" t="str">
        <f aca="false">CONCATENATE(B745,"_",C745,H745)</f>
        <v>HUOB_M. guttatus102</v>
      </c>
      <c r="J745" s="22" t="n">
        <v>44706</v>
      </c>
      <c r="K745" s="23" t="n">
        <v>0.577777777777778</v>
      </c>
      <c r="L745" s="22" t="n">
        <v>44707</v>
      </c>
      <c r="M745" s="23" t="n">
        <v>0.461111111111111</v>
      </c>
      <c r="O745" s="1" t="s">
        <v>629</v>
      </c>
      <c r="P745" s="16" t="s">
        <v>616</v>
      </c>
      <c r="Q745" s="16" t="s">
        <v>329</v>
      </c>
      <c r="R745" s="16" t="s">
        <v>617</v>
      </c>
      <c r="S745" s="4" t="s">
        <v>630</v>
      </c>
      <c r="T745" s="24" t="n">
        <v>250</v>
      </c>
      <c r="U745" s="18" t="n">
        <v>2.9</v>
      </c>
      <c r="V745" s="24" t="n">
        <v>0.49</v>
      </c>
      <c r="W745" s="2" t="n">
        <v>0.4</v>
      </c>
      <c r="Z745" s="18"/>
      <c r="AA745" s="20"/>
      <c r="AB745" s="20"/>
      <c r="AC745" s="19" t="e">
        <f aca="false">(AB745-AA745)/AB745</f>
        <v>#DIV/0!</v>
      </c>
    </row>
    <row r="746" customFormat="false" ht="14.25" hidden="false" customHeight="true" outlineLevel="0" collapsed="false">
      <c r="A746" s="18" t="s">
        <v>148</v>
      </c>
      <c r="B746" s="18" t="s">
        <v>148</v>
      </c>
      <c r="C746" s="18" t="s">
        <v>40</v>
      </c>
      <c r="E746" s="2" t="n">
        <f aca="false">INDEX(FieldSites!F:F, MATCH(Ch2_FieldSurvey!B746,FieldSites!C:C,0))</f>
        <v>1851</v>
      </c>
      <c r="F746" s="2" t="n">
        <f aca="false">INDEX(FieldSites!G:G, MATCH(Ch2_FieldSurvey!B746,FieldSites!C:C,0))</f>
        <v>-119.273507</v>
      </c>
      <c r="G746" s="2" t="n">
        <f aca="false">INDEX(FieldSites!H:H, MATCH(Ch2_FieldSurvey!B746,FieldSites!C:C,0))</f>
        <v>37.150723</v>
      </c>
      <c r="H746" s="18" t="n">
        <v>102</v>
      </c>
      <c r="I746" s="21" t="str">
        <f aca="false">CONCATENATE(B746,"_",C746,H746)</f>
        <v>HUOB_M. guttatus102</v>
      </c>
      <c r="J746" s="22" t="n">
        <v>44706</v>
      </c>
      <c r="K746" s="23" t="n">
        <v>0.577777777777778</v>
      </c>
      <c r="L746" s="22" t="n">
        <v>44707</v>
      </c>
      <c r="M746" s="23" t="n">
        <v>0.461111111111111</v>
      </c>
      <c r="O746" s="1" t="s">
        <v>629</v>
      </c>
      <c r="P746" s="16" t="s">
        <v>616</v>
      </c>
      <c r="Q746" s="16" t="s">
        <v>329</v>
      </c>
      <c r="R746" s="16" t="s">
        <v>617</v>
      </c>
      <c r="S746" s="4" t="s">
        <v>630</v>
      </c>
      <c r="T746" s="24" t="n">
        <v>272</v>
      </c>
      <c r="U746" s="18" t="n">
        <v>2.9</v>
      </c>
      <c r="V746" s="24" t="n">
        <v>0.42</v>
      </c>
      <c r="W746" s="2" t="n">
        <v>0.3</v>
      </c>
      <c r="Z746" s="18"/>
      <c r="AA746" s="20"/>
      <c r="AB746" s="20"/>
      <c r="AC746" s="19" t="e">
        <f aca="false">(AB746-AA746)/AB746</f>
        <v>#DIV/0!</v>
      </c>
    </row>
    <row r="747" customFormat="false" ht="14.25" hidden="false" customHeight="true" outlineLevel="0" collapsed="false">
      <c r="A747" s="18" t="s">
        <v>148</v>
      </c>
      <c r="B747" s="18" t="s">
        <v>148</v>
      </c>
      <c r="C747" s="18" t="s">
        <v>40</v>
      </c>
      <c r="E747" s="2" t="n">
        <f aca="false">INDEX(FieldSites!F:F, MATCH(Ch2_FieldSurvey!B747,FieldSites!C:C,0))</f>
        <v>1851</v>
      </c>
      <c r="F747" s="2" t="n">
        <f aca="false">INDEX(FieldSites!G:G, MATCH(Ch2_FieldSurvey!B747,FieldSites!C:C,0))</f>
        <v>-119.273507</v>
      </c>
      <c r="G747" s="2" t="n">
        <f aca="false">INDEX(FieldSites!H:H, MATCH(Ch2_FieldSurvey!B747,FieldSites!C:C,0))</f>
        <v>37.150723</v>
      </c>
      <c r="H747" s="18" t="n">
        <v>112</v>
      </c>
      <c r="I747" s="21" t="str">
        <f aca="false">CONCATENATE(B747,"_",C747,H747)</f>
        <v>HUOB_M. guttatus112</v>
      </c>
      <c r="J747" s="22" t="n">
        <v>44706</v>
      </c>
      <c r="K747" s="23" t="n">
        <v>0.577777777777778</v>
      </c>
      <c r="L747" s="22" t="n">
        <v>44707</v>
      </c>
      <c r="M747" s="23" t="n">
        <v>0.470138888888889</v>
      </c>
      <c r="O747" s="1" t="s">
        <v>631</v>
      </c>
      <c r="P747" s="16" t="s">
        <v>616</v>
      </c>
      <c r="Q747" s="16" t="s">
        <v>329</v>
      </c>
      <c r="R747" s="16" t="s">
        <v>617</v>
      </c>
      <c r="S747" s="4" t="s">
        <v>632</v>
      </c>
      <c r="T747" s="24" t="n">
        <v>252</v>
      </c>
      <c r="U747" s="18" t="n">
        <v>14.7</v>
      </c>
      <c r="V747" s="24" t="n">
        <v>0.49</v>
      </c>
      <c r="W747" s="2" t="n">
        <v>0.7</v>
      </c>
      <c r="Z747" s="18"/>
      <c r="AA747" s="20"/>
      <c r="AB747" s="20"/>
      <c r="AC747" s="19" t="e">
        <f aca="false">(AB747-AA747)/AB747</f>
        <v>#DIV/0!</v>
      </c>
    </row>
    <row r="748" customFormat="false" ht="14.25" hidden="false" customHeight="true" outlineLevel="0" collapsed="false">
      <c r="A748" s="18" t="s">
        <v>148</v>
      </c>
      <c r="B748" s="18" t="s">
        <v>148</v>
      </c>
      <c r="C748" s="18" t="s">
        <v>40</v>
      </c>
      <c r="E748" s="2" t="n">
        <f aca="false">INDEX(FieldSites!F:F, MATCH(Ch2_FieldSurvey!B748,FieldSites!C:C,0))</f>
        <v>1851</v>
      </c>
      <c r="F748" s="2" t="n">
        <f aca="false">INDEX(FieldSites!G:G, MATCH(Ch2_FieldSurvey!B748,FieldSites!C:C,0))</f>
        <v>-119.273507</v>
      </c>
      <c r="G748" s="2" t="n">
        <f aca="false">INDEX(FieldSites!H:H, MATCH(Ch2_FieldSurvey!B748,FieldSites!C:C,0))</f>
        <v>37.150723</v>
      </c>
      <c r="H748" s="18" t="n">
        <v>112</v>
      </c>
      <c r="I748" s="21" t="str">
        <f aca="false">CONCATENATE(B748,"_",C748,H748)</f>
        <v>HUOB_M. guttatus112</v>
      </c>
      <c r="J748" s="22" t="n">
        <v>44706</v>
      </c>
      <c r="K748" s="23" t="n">
        <v>0.577777777777778</v>
      </c>
      <c r="L748" s="22" t="n">
        <v>44707</v>
      </c>
      <c r="M748" s="23" t="n">
        <v>0.470138888888889</v>
      </c>
      <c r="O748" s="1" t="s">
        <v>631</v>
      </c>
      <c r="P748" s="16" t="s">
        <v>616</v>
      </c>
      <c r="Q748" s="16" t="s">
        <v>329</v>
      </c>
      <c r="R748" s="16" t="s">
        <v>617</v>
      </c>
      <c r="S748" s="4" t="s">
        <v>632</v>
      </c>
      <c r="T748" s="24" t="n">
        <v>271</v>
      </c>
      <c r="U748" s="18" t="n">
        <v>9.2</v>
      </c>
      <c r="V748" s="24" t="n">
        <v>0.59</v>
      </c>
      <c r="W748" s="2" t="n">
        <v>0.8</v>
      </c>
      <c r="Z748" s="18"/>
      <c r="AA748" s="20"/>
      <c r="AB748" s="20"/>
      <c r="AC748" s="19" t="e">
        <f aca="false">(AB748-AA748)/AB748</f>
        <v>#DIV/0!</v>
      </c>
    </row>
    <row r="749" customFormat="false" ht="14.25" hidden="false" customHeight="true" outlineLevel="0" collapsed="false">
      <c r="A749" s="18" t="s">
        <v>148</v>
      </c>
      <c r="B749" s="18" t="s">
        <v>148</v>
      </c>
      <c r="C749" s="18" t="s">
        <v>40</v>
      </c>
      <c r="E749" s="2" t="n">
        <f aca="false">INDEX(FieldSites!F:F, MATCH(Ch2_FieldSurvey!B749,FieldSites!C:C,0))</f>
        <v>1851</v>
      </c>
      <c r="F749" s="2" t="n">
        <f aca="false">INDEX(FieldSites!G:G, MATCH(Ch2_FieldSurvey!B749,FieldSites!C:C,0))</f>
        <v>-119.273507</v>
      </c>
      <c r="G749" s="2" t="n">
        <f aca="false">INDEX(FieldSites!H:H, MATCH(Ch2_FieldSurvey!B749,FieldSites!C:C,0))</f>
        <v>37.150723</v>
      </c>
      <c r="H749" s="18" t="n">
        <v>112</v>
      </c>
      <c r="I749" s="21" t="str">
        <f aca="false">CONCATENATE(B749,"_",C749,H749)</f>
        <v>HUOB_M. guttatus112</v>
      </c>
      <c r="J749" s="22" t="n">
        <v>44706</v>
      </c>
      <c r="K749" s="23" t="n">
        <v>0.577777777777778</v>
      </c>
      <c r="L749" s="22" t="n">
        <v>44707</v>
      </c>
      <c r="M749" s="23" t="n">
        <v>0.470138888888889</v>
      </c>
      <c r="O749" s="1" t="s">
        <v>631</v>
      </c>
      <c r="P749" s="16" t="s">
        <v>616</v>
      </c>
      <c r="Q749" s="16" t="s">
        <v>329</v>
      </c>
      <c r="R749" s="16" t="s">
        <v>617</v>
      </c>
      <c r="S749" s="4" t="s">
        <v>632</v>
      </c>
      <c r="T749" s="24" t="n">
        <v>280</v>
      </c>
      <c r="U749" s="18" t="n">
        <v>15.5</v>
      </c>
      <c r="V749" s="24" t="n">
        <v>0.58</v>
      </c>
      <c r="W749" s="2" t="n">
        <v>0.6</v>
      </c>
      <c r="Z749" s="18"/>
      <c r="AA749" s="20"/>
      <c r="AB749" s="20"/>
      <c r="AC749" s="19" t="e">
        <f aca="false">(AB749-AA749)/AB749</f>
        <v>#DIV/0!</v>
      </c>
    </row>
    <row r="750" customFormat="false" ht="14.25" hidden="false" customHeight="true" outlineLevel="0" collapsed="false">
      <c r="A750" s="18" t="s">
        <v>148</v>
      </c>
      <c r="B750" s="18" t="s">
        <v>148</v>
      </c>
      <c r="C750" s="18" t="s">
        <v>40</v>
      </c>
      <c r="E750" s="2" t="n">
        <f aca="false">INDEX(FieldSites!F:F, MATCH(Ch2_FieldSurvey!B750,FieldSites!C:C,0))</f>
        <v>1851</v>
      </c>
      <c r="F750" s="2" t="n">
        <f aca="false">INDEX(FieldSites!G:G, MATCH(Ch2_FieldSurvey!B750,FieldSites!C:C,0))</f>
        <v>-119.273507</v>
      </c>
      <c r="G750" s="2" t="n">
        <f aca="false">INDEX(FieldSites!H:H, MATCH(Ch2_FieldSurvey!B750,FieldSites!C:C,0))</f>
        <v>37.150723</v>
      </c>
      <c r="H750" s="18" t="n">
        <v>122</v>
      </c>
      <c r="I750" s="21" t="str">
        <f aca="false">CONCATENATE(B750,"_",C750,H750)</f>
        <v>HUOB_M. guttatus122</v>
      </c>
      <c r="J750" s="22" t="n">
        <v>44706</v>
      </c>
      <c r="K750" s="23" t="n">
        <v>0.577777777777778</v>
      </c>
      <c r="L750" s="22" t="n">
        <v>44707</v>
      </c>
      <c r="M750" s="23" t="n">
        <v>0.472916666666667</v>
      </c>
      <c r="O750" s="1" t="s">
        <v>633</v>
      </c>
      <c r="P750" s="16" t="s">
        <v>616</v>
      </c>
      <c r="Q750" s="16" t="s">
        <v>329</v>
      </c>
      <c r="R750" s="16" t="s">
        <v>617</v>
      </c>
      <c r="S750" s="4" t="s">
        <v>634</v>
      </c>
      <c r="T750" s="24" t="n">
        <v>226</v>
      </c>
      <c r="U750" s="18" t="n">
        <v>3.7</v>
      </c>
      <c r="V750" s="24" t="n">
        <v>0.4</v>
      </c>
      <c r="W750" s="2" t="n">
        <v>0.7</v>
      </c>
      <c r="Z750" s="18"/>
      <c r="AA750" s="20" t="n">
        <v>158727</v>
      </c>
      <c r="AB750" s="20" t="n">
        <v>174575</v>
      </c>
      <c r="AC750" s="19" t="n">
        <f aca="false">(AB750-AA750)/AB750</f>
        <v>0.0907804668480596</v>
      </c>
    </row>
    <row r="751" customFormat="false" ht="14.25" hidden="false" customHeight="true" outlineLevel="0" collapsed="false">
      <c r="A751" s="18" t="s">
        <v>148</v>
      </c>
      <c r="B751" s="18" t="s">
        <v>148</v>
      </c>
      <c r="C751" s="18" t="s">
        <v>40</v>
      </c>
      <c r="E751" s="2" t="n">
        <f aca="false">INDEX(FieldSites!F:F, MATCH(Ch2_FieldSurvey!B751,FieldSites!C:C,0))</f>
        <v>1851</v>
      </c>
      <c r="F751" s="2" t="n">
        <f aca="false">INDEX(FieldSites!G:G, MATCH(Ch2_FieldSurvey!B751,FieldSites!C:C,0))</f>
        <v>-119.273507</v>
      </c>
      <c r="G751" s="2" t="n">
        <f aca="false">INDEX(FieldSites!H:H, MATCH(Ch2_FieldSurvey!B751,FieldSites!C:C,0))</f>
        <v>37.150723</v>
      </c>
      <c r="H751" s="18" t="n">
        <v>122</v>
      </c>
      <c r="I751" s="21" t="str">
        <f aca="false">CONCATENATE(B751,"_",C751,H751)</f>
        <v>HUOB_M. guttatus122</v>
      </c>
      <c r="J751" s="22" t="n">
        <v>44706</v>
      </c>
      <c r="K751" s="23" t="n">
        <v>0.577777777777778</v>
      </c>
      <c r="L751" s="22" t="n">
        <v>44707</v>
      </c>
      <c r="M751" s="23" t="n">
        <v>0.472916666666667</v>
      </c>
      <c r="O751" s="1" t="s">
        <v>633</v>
      </c>
      <c r="P751" s="16" t="s">
        <v>616</v>
      </c>
      <c r="Q751" s="16" t="s">
        <v>329</v>
      </c>
      <c r="R751" s="16" t="s">
        <v>617</v>
      </c>
      <c r="S751" s="4" t="s">
        <v>634</v>
      </c>
      <c r="T751" s="24" t="n">
        <v>235</v>
      </c>
      <c r="U751" s="18" t="n">
        <v>6.4</v>
      </c>
      <c r="V751" s="24" t="n">
        <v>0.48</v>
      </c>
      <c r="W751" s="2" t="n">
        <v>0.6</v>
      </c>
      <c r="Z751" s="18"/>
      <c r="AA751" s="20"/>
      <c r="AB751" s="20"/>
      <c r="AC751" s="19" t="e">
        <f aca="false">(AB751-AA751)/AB751</f>
        <v>#DIV/0!</v>
      </c>
    </row>
    <row r="752" customFormat="false" ht="14.25" hidden="false" customHeight="true" outlineLevel="0" collapsed="false">
      <c r="A752" s="18" t="s">
        <v>148</v>
      </c>
      <c r="B752" s="18" t="s">
        <v>148</v>
      </c>
      <c r="C752" s="18" t="s">
        <v>40</v>
      </c>
      <c r="E752" s="2" t="n">
        <f aca="false">INDEX(FieldSites!F:F, MATCH(Ch2_FieldSurvey!B752,FieldSites!C:C,0))</f>
        <v>1851</v>
      </c>
      <c r="F752" s="2" t="n">
        <f aca="false">INDEX(FieldSites!G:G, MATCH(Ch2_FieldSurvey!B752,FieldSites!C:C,0))</f>
        <v>-119.273507</v>
      </c>
      <c r="G752" s="2" t="n">
        <f aca="false">INDEX(FieldSites!H:H, MATCH(Ch2_FieldSurvey!B752,FieldSites!C:C,0))</f>
        <v>37.150723</v>
      </c>
      <c r="H752" s="18" t="n">
        <v>122</v>
      </c>
      <c r="I752" s="21" t="str">
        <f aca="false">CONCATENATE(B752,"_",C752,H752)</f>
        <v>HUOB_M. guttatus122</v>
      </c>
      <c r="J752" s="22" t="n">
        <v>44706</v>
      </c>
      <c r="K752" s="23" t="n">
        <v>0.577777777777778</v>
      </c>
      <c r="L752" s="22" t="n">
        <v>44707</v>
      </c>
      <c r="M752" s="23" t="n">
        <v>0.472916666666667</v>
      </c>
      <c r="O752" s="1" t="s">
        <v>633</v>
      </c>
      <c r="P752" s="16" t="s">
        <v>616</v>
      </c>
      <c r="Q752" s="16" t="s">
        <v>329</v>
      </c>
      <c r="R752" s="16" t="s">
        <v>617</v>
      </c>
      <c r="S752" s="4" t="s">
        <v>634</v>
      </c>
      <c r="T752" s="24" t="n">
        <v>287</v>
      </c>
      <c r="U752" s="18" t="n">
        <v>5</v>
      </c>
      <c r="V752" s="24" t="n">
        <v>0.39</v>
      </c>
      <c r="W752" s="2" t="n">
        <v>0.6</v>
      </c>
      <c r="Z752" s="18"/>
      <c r="AA752" s="20"/>
      <c r="AB752" s="20"/>
      <c r="AC752" s="19" t="e">
        <f aca="false">(AB752-AA752)/AB752</f>
        <v>#DIV/0!</v>
      </c>
    </row>
    <row r="753" customFormat="false" ht="14.25" hidden="false" customHeight="true" outlineLevel="0" collapsed="false">
      <c r="A753" s="18" t="s">
        <v>635</v>
      </c>
      <c r="B753" s="18" t="s">
        <v>635</v>
      </c>
      <c r="C753" s="18" t="s">
        <v>40</v>
      </c>
      <c r="E753" s="2" t="n">
        <f aca="false">INDEX(FieldSites!F:F, MATCH(Ch2_FieldSurvey!B753,FieldSites!C:C,0))</f>
        <v>1235</v>
      </c>
      <c r="F753" s="2" t="n">
        <f aca="false">INDEX(FieldSites!G:G, MATCH(Ch2_FieldSurvey!B753,FieldSites!C:C,0))</f>
        <v>-119.647878</v>
      </c>
      <c r="G753" s="2" t="n">
        <f aca="false">INDEX(FieldSites!H:H, MATCH(Ch2_FieldSurvey!B753,FieldSites!C:C,0))</f>
        <v>37.543343</v>
      </c>
      <c r="H753" s="18" t="n">
        <v>1</v>
      </c>
      <c r="I753" s="21" t="str">
        <f aca="false">CONCATENATE(B753,"_",C753,H753)</f>
        <v>WSHB_M. guttatus1</v>
      </c>
      <c r="J753" s="22" t="n">
        <v>44707</v>
      </c>
      <c r="K753" s="23" t="n">
        <v>0.395833333333333</v>
      </c>
      <c r="L753" s="22" t="n">
        <v>44707</v>
      </c>
      <c r="M753" s="23" t="n">
        <v>0.482638888888889</v>
      </c>
      <c r="O753" s="1" t="s">
        <v>636</v>
      </c>
      <c r="P753" s="16" t="s">
        <v>617</v>
      </c>
      <c r="Q753" s="16" t="s">
        <v>637</v>
      </c>
      <c r="R753" s="16" t="s">
        <v>617</v>
      </c>
      <c r="S753" s="4" t="s">
        <v>59</v>
      </c>
      <c r="T753" s="24" t="n">
        <v>252</v>
      </c>
      <c r="U753" s="18" t="n">
        <v>10.1</v>
      </c>
      <c r="V753" s="24" t="n">
        <v>0.49</v>
      </c>
      <c r="W753" s="2" t="n">
        <v>0.4</v>
      </c>
      <c r="Z753" s="18"/>
      <c r="AA753" s="20" t="n">
        <v>220669</v>
      </c>
      <c r="AB753" s="20" t="n">
        <v>244383</v>
      </c>
      <c r="AC753" s="19" t="n">
        <f aca="false">(AB753-AA753)/AB753</f>
        <v>0.0970362095563112</v>
      </c>
    </row>
    <row r="754" customFormat="false" ht="14.25" hidden="false" customHeight="true" outlineLevel="0" collapsed="false">
      <c r="A754" s="18" t="s">
        <v>635</v>
      </c>
      <c r="B754" s="18" t="s">
        <v>635</v>
      </c>
      <c r="C754" s="18" t="s">
        <v>40</v>
      </c>
      <c r="E754" s="2" t="n">
        <f aca="false">INDEX(FieldSites!F:F, MATCH(Ch2_FieldSurvey!B754,FieldSites!C:C,0))</f>
        <v>1235</v>
      </c>
      <c r="F754" s="2" t="n">
        <f aca="false">INDEX(FieldSites!G:G, MATCH(Ch2_FieldSurvey!B754,FieldSites!C:C,0))</f>
        <v>-119.647878</v>
      </c>
      <c r="G754" s="2" t="n">
        <f aca="false">INDEX(FieldSites!H:H, MATCH(Ch2_FieldSurvey!B754,FieldSites!C:C,0))</f>
        <v>37.543343</v>
      </c>
      <c r="H754" s="18" t="n">
        <v>1</v>
      </c>
      <c r="I754" s="21" t="str">
        <f aca="false">CONCATENATE(B754,"_",C754,H754)</f>
        <v>WSHB_M. guttatus1</v>
      </c>
      <c r="J754" s="22" t="n">
        <v>44707</v>
      </c>
      <c r="K754" s="23" t="n">
        <v>0.395833333333333</v>
      </c>
      <c r="L754" s="22" t="n">
        <v>44707</v>
      </c>
      <c r="M754" s="23" t="n">
        <v>0.482638888888889</v>
      </c>
      <c r="O754" s="1" t="s">
        <v>636</v>
      </c>
      <c r="P754" s="16" t="s">
        <v>617</v>
      </c>
      <c r="Q754" s="16" t="s">
        <v>637</v>
      </c>
      <c r="R754" s="16" t="s">
        <v>617</v>
      </c>
      <c r="S754" s="4" t="s">
        <v>59</v>
      </c>
      <c r="T754" s="24" t="n">
        <v>271</v>
      </c>
      <c r="U754" s="18" t="n">
        <v>5</v>
      </c>
      <c r="V754" s="24" t="n">
        <v>0.52</v>
      </c>
      <c r="W754" s="2" t="n">
        <v>0.2</v>
      </c>
      <c r="Z754" s="18"/>
      <c r="AA754" s="20"/>
      <c r="AB754" s="20"/>
      <c r="AC754" s="19" t="e">
        <f aca="false">(AB754-AA754)/AB754</f>
        <v>#DIV/0!</v>
      </c>
    </row>
    <row r="755" customFormat="false" ht="14.25" hidden="false" customHeight="true" outlineLevel="0" collapsed="false">
      <c r="A755" s="18" t="s">
        <v>635</v>
      </c>
      <c r="B755" s="18" t="s">
        <v>635</v>
      </c>
      <c r="C755" s="18" t="s">
        <v>40</v>
      </c>
      <c r="E755" s="2" t="n">
        <f aca="false">INDEX(FieldSites!F:F, MATCH(Ch2_FieldSurvey!B755,FieldSites!C:C,0))</f>
        <v>1235</v>
      </c>
      <c r="F755" s="2" t="n">
        <f aca="false">INDEX(FieldSites!G:G, MATCH(Ch2_FieldSurvey!B755,FieldSites!C:C,0))</f>
        <v>-119.647878</v>
      </c>
      <c r="G755" s="2" t="n">
        <f aca="false">INDEX(FieldSites!H:H, MATCH(Ch2_FieldSurvey!B755,FieldSites!C:C,0))</f>
        <v>37.543343</v>
      </c>
      <c r="H755" s="18" t="n">
        <v>1</v>
      </c>
      <c r="I755" s="21" t="str">
        <f aca="false">CONCATENATE(B755,"_",C755,H755)</f>
        <v>WSHB_M. guttatus1</v>
      </c>
      <c r="J755" s="22" t="n">
        <v>44707</v>
      </c>
      <c r="K755" s="23" t="n">
        <v>0.395833333333333</v>
      </c>
      <c r="L755" s="22" t="n">
        <v>44707</v>
      </c>
      <c r="M755" s="23" t="n">
        <v>0.482638888888889</v>
      </c>
      <c r="O755" s="1" t="s">
        <v>636</v>
      </c>
      <c r="P755" s="16" t="s">
        <v>617</v>
      </c>
      <c r="Q755" s="16" t="s">
        <v>637</v>
      </c>
      <c r="R755" s="16" t="s">
        <v>617</v>
      </c>
      <c r="S755" s="4" t="s">
        <v>59</v>
      </c>
      <c r="T755" s="24" t="n">
        <v>262</v>
      </c>
      <c r="U755" s="18" t="n">
        <v>6.9</v>
      </c>
      <c r="V755" s="24" t="n">
        <v>0.52</v>
      </c>
      <c r="W755" s="2" t="n">
        <v>0.5</v>
      </c>
      <c r="Z755" s="18"/>
      <c r="AA755" s="20"/>
      <c r="AB755" s="20"/>
      <c r="AC755" s="19" t="e">
        <f aca="false">(AB755-AA755)/AB755</f>
        <v>#DIV/0!</v>
      </c>
    </row>
    <row r="756" customFormat="false" ht="14.25" hidden="false" customHeight="true" outlineLevel="0" collapsed="false">
      <c r="A756" s="18" t="s">
        <v>635</v>
      </c>
      <c r="B756" s="18" t="s">
        <v>635</v>
      </c>
      <c r="C756" s="18" t="s">
        <v>40</v>
      </c>
      <c r="E756" s="2" t="n">
        <f aca="false">INDEX(FieldSites!F:F, MATCH(Ch2_FieldSurvey!B756,FieldSites!C:C,0))</f>
        <v>1235</v>
      </c>
      <c r="F756" s="2" t="n">
        <f aca="false">INDEX(FieldSites!G:G, MATCH(Ch2_FieldSurvey!B756,FieldSites!C:C,0))</f>
        <v>-119.647878</v>
      </c>
      <c r="G756" s="2" t="n">
        <f aca="false">INDEX(FieldSites!H:H, MATCH(Ch2_FieldSurvey!B756,FieldSites!C:C,0))</f>
        <v>37.543343</v>
      </c>
      <c r="H756" s="18" t="n">
        <v>2</v>
      </c>
      <c r="I756" s="21" t="str">
        <f aca="false">CONCATENATE(B756,"_",C756,H756)</f>
        <v>WSHB_M. guttatus2</v>
      </c>
      <c r="J756" s="22" t="n">
        <v>44707</v>
      </c>
      <c r="K756" s="23" t="n">
        <v>0.395833333333333</v>
      </c>
      <c r="L756" s="22" t="n">
        <v>44707</v>
      </c>
      <c r="M756" s="23" t="n">
        <v>0.486805555555556</v>
      </c>
      <c r="O756" s="1" t="s">
        <v>638</v>
      </c>
      <c r="P756" s="16" t="s">
        <v>617</v>
      </c>
      <c r="Q756" s="16" t="s">
        <v>637</v>
      </c>
      <c r="R756" s="16" t="s">
        <v>617</v>
      </c>
      <c r="S756" s="4" t="s">
        <v>639</v>
      </c>
      <c r="T756" s="24" t="n">
        <v>301</v>
      </c>
      <c r="U756" s="18" t="n">
        <v>8.2</v>
      </c>
      <c r="V756" s="24" t="n">
        <v>0.59</v>
      </c>
      <c r="W756" s="2" t="n">
        <v>0.7</v>
      </c>
      <c r="Z756" s="18"/>
      <c r="AA756" s="20" t="n">
        <v>416939</v>
      </c>
      <c r="AB756" s="20" t="n">
        <v>483225</v>
      </c>
      <c r="AC756" s="19" t="n">
        <f aca="false">(AB756-AA756)/AB756</f>
        <v>0.137174194215945</v>
      </c>
    </row>
    <row r="757" customFormat="false" ht="14.25" hidden="false" customHeight="true" outlineLevel="0" collapsed="false">
      <c r="A757" s="18" t="s">
        <v>635</v>
      </c>
      <c r="B757" s="18" t="s">
        <v>635</v>
      </c>
      <c r="C757" s="18" t="s">
        <v>40</v>
      </c>
      <c r="E757" s="2" t="n">
        <f aca="false">INDEX(FieldSites!F:F, MATCH(Ch2_FieldSurvey!B757,FieldSites!C:C,0))</f>
        <v>1235</v>
      </c>
      <c r="F757" s="2" t="n">
        <f aca="false">INDEX(FieldSites!G:G, MATCH(Ch2_FieldSurvey!B757,FieldSites!C:C,0))</f>
        <v>-119.647878</v>
      </c>
      <c r="G757" s="2" t="n">
        <f aca="false">INDEX(FieldSites!H:H, MATCH(Ch2_FieldSurvey!B757,FieldSites!C:C,0))</f>
        <v>37.543343</v>
      </c>
      <c r="H757" s="18" t="n">
        <v>2</v>
      </c>
      <c r="I757" s="21" t="str">
        <f aca="false">CONCATENATE(B757,"_",C757,H757)</f>
        <v>WSHB_M. guttatus2</v>
      </c>
      <c r="J757" s="22" t="n">
        <v>44707</v>
      </c>
      <c r="K757" s="23" t="n">
        <v>0.395833333333333</v>
      </c>
      <c r="L757" s="22" t="n">
        <v>44707</v>
      </c>
      <c r="M757" s="23" t="n">
        <v>0.486805555555556</v>
      </c>
      <c r="O757" s="1" t="s">
        <v>638</v>
      </c>
      <c r="P757" s="16" t="s">
        <v>617</v>
      </c>
      <c r="Q757" s="16" t="s">
        <v>637</v>
      </c>
      <c r="R757" s="16" t="s">
        <v>617</v>
      </c>
      <c r="S757" s="4" t="s">
        <v>639</v>
      </c>
      <c r="T757" s="24" t="n">
        <v>310</v>
      </c>
      <c r="U757" s="18" t="n">
        <v>7.2</v>
      </c>
      <c r="V757" s="24" t="n">
        <v>0.51</v>
      </c>
      <c r="W757" s="2" t="n">
        <v>0.5</v>
      </c>
      <c r="Z757" s="18"/>
      <c r="AA757" s="20"/>
      <c r="AB757" s="20"/>
      <c r="AC757" s="19" t="e">
        <f aca="false">(AB757-AA757)/AB757</f>
        <v>#DIV/0!</v>
      </c>
    </row>
    <row r="758" customFormat="false" ht="14.25" hidden="false" customHeight="true" outlineLevel="0" collapsed="false">
      <c r="A758" s="18" t="s">
        <v>635</v>
      </c>
      <c r="B758" s="18" t="s">
        <v>635</v>
      </c>
      <c r="C758" s="18" t="s">
        <v>40</v>
      </c>
      <c r="E758" s="2" t="n">
        <f aca="false">INDEX(FieldSites!F:F, MATCH(Ch2_FieldSurvey!B758,FieldSites!C:C,0))</f>
        <v>1235</v>
      </c>
      <c r="F758" s="2" t="n">
        <f aca="false">INDEX(FieldSites!G:G, MATCH(Ch2_FieldSurvey!B758,FieldSites!C:C,0))</f>
        <v>-119.647878</v>
      </c>
      <c r="G758" s="2" t="n">
        <f aca="false">INDEX(FieldSites!H:H, MATCH(Ch2_FieldSurvey!B758,FieldSites!C:C,0))</f>
        <v>37.543343</v>
      </c>
      <c r="H758" s="18" t="n">
        <v>2</v>
      </c>
      <c r="I758" s="21" t="str">
        <f aca="false">CONCATENATE(B758,"_",C758,H758)</f>
        <v>WSHB_M. guttatus2</v>
      </c>
      <c r="J758" s="22" t="n">
        <v>44707</v>
      </c>
      <c r="K758" s="23" t="n">
        <v>0.395833333333333</v>
      </c>
      <c r="L758" s="22" t="n">
        <v>44707</v>
      </c>
      <c r="M758" s="23" t="n">
        <v>0.486805555555556</v>
      </c>
      <c r="O758" s="1" t="s">
        <v>638</v>
      </c>
      <c r="P758" s="16" t="s">
        <v>617</v>
      </c>
      <c r="Q758" s="16" t="s">
        <v>637</v>
      </c>
      <c r="R758" s="16" t="s">
        <v>617</v>
      </c>
      <c r="S758" s="4" t="s">
        <v>639</v>
      </c>
      <c r="T758" s="24" t="n">
        <v>315</v>
      </c>
      <c r="U758" s="18" t="n">
        <v>4.2</v>
      </c>
      <c r="V758" s="24" t="n">
        <v>0.61</v>
      </c>
      <c r="W758" s="2" t="n">
        <v>0.6</v>
      </c>
      <c r="Z758" s="18"/>
      <c r="AA758" s="20"/>
      <c r="AB758" s="20"/>
      <c r="AC758" s="19" t="e">
        <f aca="false">(AB758-AA758)/AB758</f>
        <v>#DIV/0!</v>
      </c>
    </row>
    <row r="759" customFormat="false" ht="14.25" hidden="false" customHeight="true" outlineLevel="0" collapsed="false">
      <c r="A759" s="18" t="s">
        <v>635</v>
      </c>
      <c r="B759" s="18" t="s">
        <v>635</v>
      </c>
      <c r="C759" s="18" t="s">
        <v>40</v>
      </c>
      <c r="E759" s="2" t="n">
        <f aca="false">INDEX(FieldSites!F:F, MATCH(Ch2_FieldSurvey!B759,FieldSites!C:C,0))</f>
        <v>1235</v>
      </c>
      <c r="F759" s="2" t="n">
        <f aca="false">INDEX(FieldSites!G:G, MATCH(Ch2_FieldSurvey!B759,FieldSites!C:C,0))</f>
        <v>-119.647878</v>
      </c>
      <c r="G759" s="2" t="n">
        <f aca="false">INDEX(FieldSites!H:H, MATCH(Ch2_FieldSurvey!B759,FieldSites!C:C,0))</f>
        <v>37.543343</v>
      </c>
      <c r="H759" s="18" t="n">
        <v>3</v>
      </c>
      <c r="I759" s="21" t="str">
        <f aca="false">CONCATENATE(B759,"_",C759,H759)</f>
        <v>WSHB_M. guttatus3</v>
      </c>
      <c r="J759" s="22" t="n">
        <v>44707</v>
      </c>
      <c r="K759" s="23" t="n">
        <v>0.395833333333333</v>
      </c>
      <c r="L759" s="22" t="n">
        <v>44707</v>
      </c>
      <c r="M759" s="23" t="n">
        <v>0.490972222222222</v>
      </c>
      <c r="O759" s="1" t="s">
        <v>640</v>
      </c>
      <c r="P759" s="16" t="s">
        <v>617</v>
      </c>
      <c r="Q759" s="16" t="s">
        <v>637</v>
      </c>
      <c r="R759" s="16" t="s">
        <v>617</v>
      </c>
      <c r="S759" s="4" t="s">
        <v>488</v>
      </c>
      <c r="T759" s="24" t="n">
        <v>265</v>
      </c>
      <c r="U759" s="18" t="n">
        <v>4.8</v>
      </c>
      <c r="V759" s="24" t="n">
        <v>0.56</v>
      </c>
      <c r="W759" s="2" t="n">
        <v>0.5</v>
      </c>
      <c r="Z759" s="18"/>
      <c r="AA759" s="20" t="n">
        <v>374367</v>
      </c>
      <c r="AB759" s="20" t="n">
        <v>411118</v>
      </c>
      <c r="AC759" s="19" t="n">
        <f aca="false">(AB759-AA759)/AB759</f>
        <v>0.0893928263904767</v>
      </c>
    </row>
    <row r="760" customFormat="false" ht="14.25" hidden="false" customHeight="true" outlineLevel="0" collapsed="false">
      <c r="A760" s="18" t="s">
        <v>635</v>
      </c>
      <c r="B760" s="18" t="s">
        <v>635</v>
      </c>
      <c r="C760" s="18" t="s">
        <v>40</v>
      </c>
      <c r="E760" s="2" t="n">
        <f aca="false">INDEX(FieldSites!F:F, MATCH(Ch2_FieldSurvey!B760,FieldSites!C:C,0))</f>
        <v>1235</v>
      </c>
      <c r="F760" s="2" t="n">
        <f aca="false">INDEX(FieldSites!G:G, MATCH(Ch2_FieldSurvey!B760,FieldSites!C:C,0))</f>
        <v>-119.647878</v>
      </c>
      <c r="G760" s="2" t="n">
        <f aca="false">INDEX(FieldSites!H:H, MATCH(Ch2_FieldSurvey!B760,FieldSites!C:C,0))</f>
        <v>37.543343</v>
      </c>
      <c r="H760" s="18" t="n">
        <v>3</v>
      </c>
      <c r="I760" s="21" t="str">
        <f aca="false">CONCATENATE(B760,"_",C760,H760)</f>
        <v>WSHB_M. guttatus3</v>
      </c>
      <c r="J760" s="22" t="n">
        <v>44707</v>
      </c>
      <c r="K760" s="23" t="n">
        <v>0.395833333333333</v>
      </c>
      <c r="L760" s="22" t="n">
        <v>44707</v>
      </c>
      <c r="M760" s="23" t="n">
        <v>0.490972222222222</v>
      </c>
      <c r="O760" s="1" t="s">
        <v>640</v>
      </c>
      <c r="P760" s="16" t="s">
        <v>617</v>
      </c>
      <c r="Q760" s="16" t="s">
        <v>637</v>
      </c>
      <c r="R760" s="16" t="s">
        <v>617</v>
      </c>
      <c r="S760" s="4" t="s">
        <v>488</v>
      </c>
      <c r="T760" s="24" t="n">
        <v>321</v>
      </c>
      <c r="U760" s="18" t="n">
        <v>4.8</v>
      </c>
      <c r="V760" s="24" t="n">
        <v>0.44</v>
      </c>
      <c r="W760" s="2" t="n">
        <v>0.7</v>
      </c>
      <c r="Z760" s="18"/>
      <c r="AA760" s="20"/>
      <c r="AB760" s="20"/>
      <c r="AC760" s="19" t="e">
        <f aca="false">(AB760-AA760)/AB760</f>
        <v>#DIV/0!</v>
      </c>
    </row>
    <row r="761" customFormat="false" ht="14.25" hidden="false" customHeight="true" outlineLevel="0" collapsed="false">
      <c r="A761" s="18" t="s">
        <v>635</v>
      </c>
      <c r="B761" s="18" t="s">
        <v>635</v>
      </c>
      <c r="C761" s="18" t="s">
        <v>40</v>
      </c>
      <c r="E761" s="2" t="n">
        <f aca="false">INDEX(FieldSites!F:F, MATCH(Ch2_FieldSurvey!B761,FieldSites!C:C,0))</f>
        <v>1235</v>
      </c>
      <c r="F761" s="2" t="n">
        <f aca="false">INDEX(FieldSites!G:G, MATCH(Ch2_FieldSurvey!B761,FieldSites!C:C,0))</f>
        <v>-119.647878</v>
      </c>
      <c r="G761" s="2" t="n">
        <f aca="false">INDEX(FieldSites!H:H, MATCH(Ch2_FieldSurvey!B761,FieldSites!C:C,0))</f>
        <v>37.543343</v>
      </c>
      <c r="H761" s="18" t="n">
        <v>3</v>
      </c>
      <c r="I761" s="21" t="str">
        <f aca="false">CONCATENATE(B761,"_",C761,H761)</f>
        <v>WSHB_M. guttatus3</v>
      </c>
      <c r="J761" s="22" t="n">
        <v>44707</v>
      </c>
      <c r="K761" s="23" t="n">
        <v>0.395833333333333</v>
      </c>
      <c r="L761" s="22" t="n">
        <v>44707</v>
      </c>
      <c r="M761" s="23" t="n">
        <v>0.490972222222222</v>
      </c>
      <c r="O761" s="1" t="s">
        <v>640</v>
      </c>
      <c r="P761" s="16" t="s">
        <v>617</v>
      </c>
      <c r="Q761" s="16" t="s">
        <v>637</v>
      </c>
      <c r="R761" s="16" t="s">
        <v>617</v>
      </c>
      <c r="S761" s="4" t="s">
        <v>488</v>
      </c>
      <c r="T761" s="24" t="n">
        <v>351</v>
      </c>
      <c r="U761" s="18" t="n">
        <v>4.6</v>
      </c>
      <c r="V761" s="24" t="n">
        <v>0.53</v>
      </c>
      <c r="W761" s="2" t="n">
        <v>0.5</v>
      </c>
      <c r="Z761" s="18"/>
      <c r="AA761" s="20"/>
      <c r="AB761" s="20"/>
      <c r="AC761" s="19" t="e">
        <f aca="false">(AB761-AA761)/AB761</f>
        <v>#DIV/0!</v>
      </c>
    </row>
    <row r="762" customFormat="false" ht="14.25" hidden="false" customHeight="true" outlineLevel="0" collapsed="false">
      <c r="A762" s="18" t="s">
        <v>635</v>
      </c>
      <c r="B762" s="18" t="s">
        <v>635</v>
      </c>
      <c r="C762" s="18" t="s">
        <v>40</v>
      </c>
      <c r="E762" s="2" t="n">
        <f aca="false">INDEX(FieldSites!F:F, MATCH(Ch2_FieldSurvey!B762,FieldSites!C:C,0))</f>
        <v>1235</v>
      </c>
      <c r="F762" s="2" t="n">
        <f aca="false">INDEX(FieldSites!G:G, MATCH(Ch2_FieldSurvey!B762,FieldSites!C:C,0))</f>
        <v>-119.647878</v>
      </c>
      <c r="G762" s="2" t="n">
        <f aca="false">INDEX(FieldSites!H:H, MATCH(Ch2_FieldSurvey!B762,FieldSites!C:C,0))</f>
        <v>37.543343</v>
      </c>
      <c r="H762" s="18" t="n">
        <v>4</v>
      </c>
      <c r="I762" s="21" t="str">
        <f aca="false">CONCATENATE(B762,"_",C762,H762)</f>
        <v>WSHB_M. guttatus4</v>
      </c>
      <c r="J762" s="22" t="n">
        <v>44707</v>
      </c>
      <c r="K762" s="23" t="n">
        <v>0.395833333333333</v>
      </c>
      <c r="L762" s="22" t="n">
        <v>44707</v>
      </c>
      <c r="M762" s="23" t="n">
        <v>0.495138888888889</v>
      </c>
      <c r="O762" s="1" t="s">
        <v>641</v>
      </c>
      <c r="P762" s="16" t="s">
        <v>617</v>
      </c>
      <c r="Q762" s="16" t="s">
        <v>637</v>
      </c>
      <c r="R762" s="16" t="s">
        <v>617</v>
      </c>
      <c r="S762" s="4" t="s">
        <v>642</v>
      </c>
      <c r="T762" s="24" t="n">
        <v>212</v>
      </c>
      <c r="U762" s="18" t="n">
        <v>3.3</v>
      </c>
      <c r="V762" s="24" t="n">
        <v>0.23</v>
      </c>
      <c r="W762" s="2" t="n">
        <v>0.3</v>
      </c>
      <c r="Z762" s="18"/>
      <c r="AA762" s="20" t="n">
        <v>575342</v>
      </c>
      <c r="AB762" s="20" t="n">
        <v>612480</v>
      </c>
      <c r="AC762" s="19" t="n">
        <f aca="false">(AB762-AA762)/AB762</f>
        <v>0.0606354493207942</v>
      </c>
    </row>
    <row r="763" customFormat="false" ht="14.25" hidden="false" customHeight="true" outlineLevel="0" collapsed="false">
      <c r="A763" s="18" t="s">
        <v>635</v>
      </c>
      <c r="B763" s="18" t="s">
        <v>635</v>
      </c>
      <c r="C763" s="18" t="s">
        <v>40</v>
      </c>
      <c r="E763" s="2" t="n">
        <f aca="false">INDEX(FieldSites!F:F, MATCH(Ch2_FieldSurvey!B763,FieldSites!C:C,0))</f>
        <v>1235</v>
      </c>
      <c r="F763" s="2" t="n">
        <f aca="false">INDEX(FieldSites!G:G, MATCH(Ch2_FieldSurvey!B763,FieldSites!C:C,0))</f>
        <v>-119.647878</v>
      </c>
      <c r="G763" s="2" t="n">
        <f aca="false">INDEX(FieldSites!H:H, MATCH(Ch2_FieldSurvey!B763,FieldSites!C:C,0))</f>
        <v>37.543343</v>
      </c>
      <c r="H763" s="18" t="n">
        <v>4</v>
      </c>
      <c r="I763" s="21" t="str">
        <f aca="false">CONCATENATE(B763,"_",C763,H763)</f>
        <v>WSHB_M. guttatus4</v>
      </c>
      <c r="J763" s="22" t="n">
        <v>44707</v>
      </c>
      <c r="K763" s="23" t="n">
        <v>0.395833333333333</v>
      </c>
      <c r="L763" s="22" t="n">
        <v>44707</v>
      </c>
      <c r="M763" s="23" t="n">
        <v>0.495138888888889</v>
      </c>
      <c r="O763" s="1" t="s">
        <v>641</v>
      </c>
      <c r="P763" s="16" t="s">
        <v>617</v>
      </c>
      <c r="Q763" s="16" t="s">
        <v>637</v>
      </c>
      <c r="R763" s="16" t="s">
        <v>617</v>
      </c>
      <c r="S763" s="4" t="s">
        <v>642</v>
      </c>
      <c r="T763" s="24" t="n">
        <v>187</v>
      </c>
      <c r="U763" s="18" t="n">
        <v>2.8</v>
      </c>
      <c r="V763" s="24" t="n">
        <v>0.21</v>
      </c>
      <c r="W763" s="2" t="n">
        <v>0.2</v>
      </c>
      <c r="Z763" s="18"/>
      <c r="AA763" s="20"/>
      <c r="AB763" s="20"/>
      <c r="AC763" s="19" t="e">
        <f aca="false">(AB763-AA763)/AB763</f>
        <v>#DIV/0!</v>
      </c>
    </row>
    <row r="764" customFormat="false" ht="14.25" hidden="false" customHeight="true" outlineLevel="0" collapsed="false">
      <c r="A764" s="18" t="s">
        <v>635</v>
      </c>
      <c r="B764" s="18" t="s">
        <v>635</v>
      </c>
      <c r="C764" s="18" t="s">
        <v>40</v>
      </c>
      <c r="E764" s="2" t="n">
        <f aca="false">INDEX(FieldSites!F:F, MATCH(Ch2_FieldSurvey!B764,FieldSites!C:C,0))</f>
        <v>1235</v>
      </c>
      <c r="F764" s="2" t="n">
        <f aca="false">INDEX(FieldSites!G:G, MATCH(Ch2_FieldSurvey!B764,FieldSites!C:C,0))</f>
        <v>-119.647878</v>
      </c>
      <c r="G764" s="2" t="n">
        <f aca="false">INDEX(FieldSites!H:H, MATCH(Ch2_FieldSurvey!B764,FieldSites!C:C,0))</f>
        <v>37.543343</v>
      </c>
      <c r="H764" s="18" t="n">
        <v>4</v>
      </c>
      <c r="I764" s="21" t="str">
        <f aca="false">CONCATENATE(B764,"_",C764,H764)</f>
        <v>WSHB_M. guttatus4</v>
      </c>
      <c r="J764" s="22" t="n">
        <v>44707</v>
      </c>
      <c r="K764" s="23" t="n">
        <v>0.395833333333333</v>
      </c>
      <c r="L764" s="22" t="n">
        <v>44707</v>
      </c>
      <c r="M764" s="23" t="n">
        <v>0.495138888888889</v>
      </c>
      <c r="O764" s="1" t="s">
        <v>641</v>
      </c>
      <c r="P764" s="16" t="s">
        <v>617</v>
      </c>
      <c r="Q764" s="16" t="s">
        <v>637</v>
      </c>
      <c r="R764" s="16" t="s">
        <v>617</v>
      </c>
      <c r="S764" s="4" t="s">
        <v>642</v>
      </c>
      <c r="T764" s="24" t="n">
        <v>200</v>
      </c>
      <c r="U764" s="18" t="n">
        <v>3.5</v>
      </c>
      <c r="V764" s="24" t="n">
        <v>0.29</v>
      </c>
      <c r="W764" s="2" t="n">
        <v>0</v>
      </c>
      <c r="Z764" s="18"/>
      <c r="AA764" s="20"/>
      <c r="AB764" s="20"/>
      <c r="AC764" s="19" t="e">
        <f aca="false">(AB764-AA764)/AB764</f>
        <v>#DIV/0!</v>
      </c>
    </row>
    <row r="765" customFormat="false" ht="14.25" hidden="false" customHeight="true" outlineLevel="0" collapsed="false">
      <c r="A765" s="18" t="s">
        <v>635</v>
      </c>
      <c r="B765" s="18" t="s">
        <v>635</v>
      </c>
      <c r="C765" s="18" t="s">
        <v>40</v>
      </c>
      <c r="E765" s="2" t="n">
        <f aca="false">INDEX(FieldSites!F:F, MATCH(Ch2_FieldSurvey!B765,FieldSites!C:C,0))</f>
        <v>1235</v>
      </c>
      <c r="F765" s="2" t="n">
        <f aca="false">INDEX(FieldSites!G:G, MATCH(Ch2_FieldSurvey!B765,FieldSites!C:C,0))</f>
        <v>-119.647878</v>
      </c>
      <c r="G765" s="2" t="n">
        <f aca="false">INDEX(FieldSites!H:H, MATCH(Ch2_FieldSurvey!B765,FieldSites!C:C,0))</f>
        <v>37.543343</v>
      </c>
      <c r="H765" s="18" t="n">
        <v>5</v>
      </c>
      <c r="I765" s="21" t="str">
        <f aca="false">CONCATENATE(B765,"_",C765,H765)</f>
        <v>WSHB_M. guttatus5</v>
      </c>
      <c r="J765" s="22" t="n">
        <v>44707</v>
      </c>
      <c r="K765" s="23" t="n">
        <v>0.395833333333333</v>
      </c>
      <c r="L765" s="22" t="n">
        <v>44707</v>
      </c>
      <c r="M765" s="23" t="n">
        <v>0.499305555555556</v>
      </c>
      <c r="O765" s="1" t="s">
        <v>643</v>
      </c>
      <c r="P765" s="16" t="s">
        <v>617</v>
      </c>
      <c r="Q765" s="16" t="s">
        <v>637</v>
      </c>
      <c r="R765" s="16" t="s">
        <v>617</v>
      </c>
      <c r="S765" s="4" t="s">
        <v>644</v>
      </c>
      <c r="T765" s="24" t="n">
        <v>283</v>
      </c>
      <c r="U765" s="18" t="n">
        <v>8.9</v>
      </c>
      <c r="V765" s="24" t="n">
        <v>0.42</v>
      </c>
      <c r="W765" s="2" t="n">
        <v>0.2</v>
      </c>
      <c r="Z765" s="18"/>
      <c r="AA765" s="20" t="n">
        <v>934196</v>
      </c>
      <c r="AB765" s="20" t="n">
        <v>1003259</v>
      </c>
      <c r="AC765" s="19" t="n">
        <f aca="false">(AB765-AA765)/AB765</f>
        <v>0.0688386548239288</v>
      </c>
    </row>
    <row r="766" customFormat="false" ht="14.25" hidden="false" customHeight="true" outlineLevel="0" collapsed="false">
      <c r="A766" s="18" t="s">
        <v>635</v>
      </c>
      <c r="B766" s="18" t="s">
        <v>635</v>
      </c>
      <c r="C766" s="18" t="s">
        <v>40</v>
      </c>
      <c r="E766" s="2" t="n">
        <f aca="false">INDEX(FieldSites!F:F, MATCH(Ch2_FieldSurvey!B766,FieldSites!C:C,0))</f>
        <v>1235</v>
      </c>
      <c r="F766" s="2" t="n">
        <f aca="false">INDEX(FieldSites!G:G, MATCH(Ch2_FieldSurvey!B766,FieldSites!C:C,0))</f>
        <v>-119.647878</v>
      </c>
      <c r="G766" s="2" t="n">
        <f aca="false">INDEX(FieldSites!H:H, MATCH(Ch2_FieldSurvey!B766,FieldSites!C:C,0))</f>
        <v>37.543343</v>
      </c>
      <c r="H766" s="18" t="n">
        <v>5</v>
      </c>
      <c r="I766" s="21" t="str">
        <f aca="false">CONCATENATE(B766,"_",C766,H766)</f>
        <v>WSHB_M. guttatus5</v>
      </c>
      <c r="J766" s="22" t="n">
        <v>44707</v>
      </c>
      <c r="K766" s="23" t="n">
        <v>0.395833333333333</v>
      </c>
      <c r="L766" s="22" t="n">
        <v>44707</v>
      </c>
      <c r="M766" s="23" t="n">
        <v>0.499305555555556</v>
      </c>
      <c r="O766" s="1" t="s">
        <v>643</v>
      </c>
      <c r="P766" s="16" t="s">
        <v>617</v>
      </c>
      <c r="Q766" s="16" t="s">
        <v>637</v>
      </c>
      <c r="R766" s="16" t="s">
        <v>617</v>
      </c>
      <c r="S766" s="4" t="s">
        <v>644</v>
      </c>
      <c r="T766" s="24" t="n">
        <v>290</v>
      </c>
      <c r="U766" s="18" t="n">
        <v>5.8</v>
      </c>
      <c r="V766" s="24" t="n">
        <v>0.34</v>
      </c>
      <c r="W766" s="2" t="n">
        <v>0.2</v>
      </c>
      <c r="Z766" s="18"/>
      <c r="AA766" s="20"/>
      <c r="AB766" s="20"/>
      <c r="AC766" s="19" t="e">
        <f aca="false">(AB766-AA766)/AB766</f>
        <v>#DIV/0!</v>
      </c>
    </row>
    <row r="767" customFormat="false" ht="14.25" hidden="false" customHeight="true" outlineLevel="0" collapsed="false">
      <c r="A767" s="18" t="s">
        <v>635</v>
      </c>
      <c r="B767" s="18" t="s">
        <v>635</v>
      </c>
      <c r="C767" s="18" t="s">
        <v>40</v>
      </c>
      <c r="E767" s="2" t="n">
        <f aca="false">INDEX(FieldSites!F:F, MATCH(Ch2_FieldSurvey!B767,FieldSites!C:C,0))</f>
        <v>1235</v>
      </c>
      <c r="F767" s="2" t="n">
        <f aca="false">INDEX(FieldSites!G:G, MATCH(Ch2_FieldSurvey!B767,FieldSites!C:C,0))</f>
        <v>-119.647878</v>
      </c>
      <c r="G767" s="2" t="n">
        <f aca="false">INDEX(FieldSites!H:H, MATCH(Ch2_FieldSurvey!B767,FieldSites!C:C,0))</f>
        <v>37.543343</v>
      </c>
      <c r="H767" s="18" t="n">
        <v>5</v>
      </c>
      <c r="I767" s="21" t="str">
        <f aca="false">CONCATENATE(B767,"_",C767,H767)</f>
        <v>WSHB_M. guttatus5</v>
      </c>
      <c r="J767" s="22" t="n">
        <v>44707</v>
      </c>
      <c r="K767" s="23" t="n">
        <v>0.395833333333333</v>
      </c>
      <c r="L767" s="22" t="n">
        <v>44707</v>
      </c>
      <c r="M767" s="23" t="n">
        <v>0.499305555555556</v>
      </c>
      <c r="O767" s="1" t="s">
        <v>643</v>
      </c>
      <c r="P767" s="16" t="s">
        <v>617</v>
      </c>
      <c r="Q767" s="16" t="s">
        <v>637</v>
      </c>
      <c r="R767" s="16" t="s">
        <v>617</v>
      </c>
      <c r="S767" s="4" t="s">
        <v>644</v>
      </c>
      <c r="T767" s="24" t="n">
        <v>270</v>
      </c>
      <c r="U767" s="18" t="n">
        <v>5.4</v>
      </c>
      <c r="V767" s="24" t="n">
        <v>0.3</v>
      </c>
      <c r="W767" s="2" t="n">
        <v>0.5</v>
      </c>
      <c r="Z767" s="18"/>
      <c r="AA767" s="20"/>
      <c r="AB767" s="20"/>
      <c r="AC767" s="19" t="e">
        <f aca="false">(AB767-AA767)/AB767</f>
        <v>#DIV/0!</v>
      </c>
    </row>
    <row r="768" customFormat="false" ht="14.25" hidden="false" customHeight="true" outlineLevel="0" collapsed="false">
      <c r="A768" s="18" t="s">
        <v>635</v>
      </c>
      <c r="B768" s="18" t="s">
        <v>635</v>
      </c>
      <c r="C768" s="18" t="s">
        <v>40</v>
      </c>
      <c r="E768" s="2" t="n">
        <f aca="false">INDEX(FieldSites!F:F, MATCH(Ch2_FieldSurvey!B768,FieldSites!C:C,0))</f>
        <v>1235</v>
      </c>
      <c r="F768" s="2" t="n">
        <f aca="false">INDEX(FieldSites!G:G, MATCH(Ch2_FieldSurvey!B768,FieldSites!C:C,0))</f>
        <v>-119.647878</v>
      </c>
      <c r="G768" s="2" t="n">
        <f aca="false">INDEX(FieldSites!H:H, MATCH(Ch2_FieldSurvey!B768,FieldSites!C:C,0))</f>
        <v>37.543343</v>
      </c>
      <c r="H768" s="18" t="n">
        <v>6</v>
      </c>
      <c r="I768" s="21" t="str">
        <f aca="false">CONCATENATE(B768,"_",C768,H768)</f>
        <v>WSHB_M. guttatus6</v>
      </c>
      <c r="J768" s="22" t="n">
        <v>44707</v>
      </c>
      <c r="K768" s="23" t="n">
        <v>0.395833333333333</v>
      </c>
      <c r="L768" s="22" t="n">
        <v>44707</v>
      </c>
      <c r="M768" s="23" t="n">
        <v>0.50625</v>
      </c>
      <c r="O768" s="1" t="s">
        <v>645</v>
      </c>
      <c r="P768" s="16" t="s">
        <v>617</v>
      </c>
      <c r="Q768" s="16" t="s">
        <v>637</v>
      </c>
      <c r="R768" s="16" t="s">
        <v>617</v>
      </c>
      <c r="S768" s="4" t="s">
        <v>646</v>
      </c>
      <c r="T768" s="24" t="n">
        <v>370</v>
      </c>
      <c r="U768" s="18" t="n">
        <v>8.1</v>
      </c>
      <c r="V768" s="24" t="n">
        <v>0.43</v>
      </c>
      <c r="W768" s="2" t="n">
        <v>0.7</v>
      </c>
      <c r="Z768" s="18"/>
      <c r="AA768" s="20" t="n">
        <v>620778</v>
      </c>
      <c r="AB768" s="20" t="n">
        <v>671060</v>
      </c>
      <c r="AC768" s="19" t="n">
        <f aca="false">(AB768-AA768)/AB768</f>
        <v>0.0749292164635055</v>
      </c>
    </row>
    <row r="769" customFormat="false" ht="14.25" hidden="false" customHeight="true" outlineLevel="0" collapsed="false">
      <c r="A769" s="18" t="s">
        <v>635</v>
      </c>
      <c r="B769" s="18" t="s">
        <v>635</v>
      </c>
      <c r="C769" s="18" t="s">
        <v>40</v>
      </c>
      <c r="E769" s="2" t="n">
        <f aca="false">INDEX(FieldSites!F:F, MATCH(Ch2_FieldSurvey!B769,FieldSites!C:C,0))</f>
        <v>1235</v>
      </c>
      <c r="F769" s="2" t="n">
        <f aca="false">INDEX(FieldSites!G:G, MATCH(Ch2_FieldSurvey!B769,FieldSites!C:C,0))</f>
        <v>-119.647878</v>
      </c>
      <c r="G769" s="2" t="n">
        <f aca="false">INDEX(FieldSites!H:H, MATCH(Ch2_FieldSurvey!B769,FieldSites!C:C,0))</f>
        <v>37.543343</v>
      </c>
      <c r="H769" s="18" t="n">
        <v>6</v>
      </c>
      <c r="I769" s="21" t="str">
        <f aca="false">CONCATENATE(B769,"_",C769,H769)</f>
        <v>WSHB_M. guttatus6</v>
      </c>
      <c r="J769" s="22" t="n">
        <v>44707</v>
      </c>
      <c r="K769" s="23" t="n">
        <v>0.395833333333333</v>
      </c>
      <c r="L769" s="22" t="n">
        <v>44707</v>
      </c>
      <c r="M769" s="23" t="n">
        <v>0.50625</v>
      </c>
      <c r="O769" s="1" t="s">
        <v>645</v>
      </c>
      <c r="P769" s="16" t="s">
        <v>617</v>
      </c>
      <c r="Q769" s="16" t="s">
        <v>637</v>
      </c>
      <c r="R769" s="16" t="s">
        <v>617</v>
      </c>
      <c r="S769" s="4" t="s">
        <v>646</v>
      </c>
      <c r="T769" s="24" t="n">
        <v>295</v>
      </c>
      <c r="U769" s="18" t="n">
        <v>11.9</v>
      </c>
      <c r="V769" s="24" t="n">
        <v>0.52</v>
      </c>
      <c r="W769" s="2" t="n">
        <v>0.7</v>
      </c>
      <c r="Z769" s="18"/>
      <c r="AA769" s="20"/>
      <c r="AB769" s="20"/>
      <c r="AC769" s="19" t="e">
        <f aca="false">(AB769-AA769)/AB769</f>
        <v>#DIV/0!</v>
      </c>
    </row>
    <row r="770" customFormat="false" ht="14.25" hidden="false" customHeight="true" outlineLevel="0" collapsed="false">
      <c r="A770" s="18" t="s">
        <v>635</v>
      </c>
      <c r="B770" s="18" t="s">
        <v>635</v>
      </c>
      <c r="C770" s="18" t="s">
        <v>40</v>
      </c>
      <c r="E770" s="2" t="n">
        <f aca="false">INDEX(FieldSites!F:F, MATCH(Ch2_FieldSurvey!B770,FieldSites!C:C,0))</f>
        <v>1235</v>
      </c>
      <c r="F770" s="2" t="n">
        <f aca="false">INDEX(FieldSites!G:G, MATCH(Ch2_FieldSurvey!B770,FieldSites!C:C,0))</f>
        <v>-119.647878</v>
      </c>
      <c r="G770" s="2" t="n">
        <f aca="false">INDEX(FieldSites!H:H, MATCH(Ch2_FieldSurvey!B770,FieldSites!C:C,0))</f>
        <v>37.543343</v>
      </c>
      <c r="H770" s="18" t="n">
        <v>6</v>
      </c>
      <c r="I770" s="21" t="str">
        <f aca="false">CONCATENATE(B770,"_",C770,H770)</f>
        <v>WSHB_M. guttatus6</v>
      </c>
      <c r="J770" s="22" t="n">
        <v>44707</v>
      </c>
      <c r="K770" s="23" t="n">
        <v>0.395833333333333</v>
      </c>
      <c r="L770" s="22" t="n">
        <v>44707</v>
      </c>
      <c r="M770" s="23" t="n">
        <v>0.50625</v>
      </c>
      <c r="O770" s="1" t="s">
        <v>645</v>
      </c>
      <c r="P770" s="16" t="s">
        <v>617</v>
      </c>
      <c r="Q770" s="16" t="s">
        <v>637</v>
      </c>
      <c r="R770" s="16" t="s">
        <v>617</v>
      </c>
      <c r="S770" s="4" t="s">
        <v>646</v>
      </c>
      <c r="T770" s="24" t="n">
        <v>370</v>
      </c>
      <c r="U770" s="18" t="n">
        <v>18.1</v>
      </c>
      <c r="V770" s="24" t="n">
        <v>0.52</v>
      </c>
      <c r="W770" s="2" t="n">
        <v>0.7</v>
      </c>
      <c r="Z770" s="18"/>
      <c r="AA770" s="20"/>
      <c r="AB770" s="20"/>
      <c r="AC770" s="19" t="e">
        <f aca="false">(AB770-AA770)/AB770</f>
        <v>#DIV/0!</v>
      </c>
    </row>
    <row r="771" customFormat="false" ht="14.25" hidden="false" customHeight="true" outlineLevel="0" collapsed="false">
      <c r="A771" s="18" t="s">
        <v>635</v>
      </c>
      <c r="B771" s="18" t="s">
        <v>635</v>
      </c>
      <c r="C771" s="18" t="s">
        <v>40</v>
      </c>
      <c r="E771" s="2" t="n">
        <f aca="false">INDEX(FieldSites!F:F, MATCH(Ch2_FieldSurvey!B771,FieldSites!C:C,0))</f>
        <v>1235</v>
      </c>
      <c r="F771" s="2" t="n">
        <f aca="false">INDEX(FieldSites!G:G, MATCH(Ch2_FieldSurvey!B771,FieldSites!C:C,0))</f>
        <v>-119.647878</v>
      </c>
      <c r="G771" s="2" t="n">
        <f aca="false">INDEX(FieldSites!H:H, MATCH(Ch2_FieldSurvey!B771,FieldSites!C:C,0))</f>
        <v>37.543343</v>
      </c>
      <c r="H771" s="18" t="n">
        <v>7</v>
      </c>
      <c r="I771" s="21" t="str">
        <f aca="false">CONCATENATE(B771,"_",C771,H771)</f>
        <v>WSHB_M. guttatus7</v>
      </c>
      <c r="J771" s="22" t="n">
        <v>44707</v>
      </c>
      <c r="K771" s="23" t="n">
        <v>0.395833333333333</v>
      </c>
      <c r="L771" s="22" t="n">
        <v>44707</v>
      </c>
      <c r="M771" s="23" t="n">
        <v>0.511111111111111</v>
      </c>
      <c r="O771" s="1" t="s">
        <v>647</v>
      </c>
      <c r="P771" s="16" t="s">
        <v>617</v>
      </c>
      <c r="Q771" s="16" t="s">
        <v>637</v>
      </c>
      <c r="R771" s="16" t="s">
        <v>617</v>
      </c>
      <c r="S771" s="4" t="s">
        <v>648</v>
      </c>
      <c r="T771" s="24" t="n">
        <v>234</v>
      </c>
      <c r="U771" s="18" t="n">
        <v>4.5</v>
      </c>
      <c r="V771" s="24" t="n">
        <v>0.49</v>
      </c>
      <c r="W771" s="2" t="n">
        <v>0.5</v>
      </c>
      <c r="Z771" s="18"/>
      <c r="AA771" s="20" t="n">
        <v>772300</v>
      </c>
      <c r="AB771" s="20" t="n">
        <v>828953</v>
      </c>
      <c r="AC771" s="19" t="n">
        <f aca="false">(AB771-AA771)/AB771</f>
        <v>0.0683428372899308</v>
      </c>
    </row>
    <row r="772" customFormat="false" ht="14.25" hidden="false" customHeight="true" outlineLevel="0" collapsed="false">
      <c r="A772" s="18" t="s">
        <v>635</v>
      </c>
      <c r="B772" s="18" t="s">
        <v>635</v>
      </c>
      <c r="C772" s="18" t="s">
        <v>40</v>
      </c>
      <c r="E772" s="2" t="n">
        <f aca="false">INDEX(FieldSites!F:F, MATCH(Ch2_FieldSurvey!B772,FieldSites!C:C,0))</f>
        <v>1235</v>
      </c>
      <c r="F772" s="2" t="n">
        <f aca="false">INDEX(FieldSites!G:G, MATCH(Ch2_FieldSurvey!B772,FieldSites!C:C,0))</f>
        <v>-119.647878</v>
      </c>
      <c r="G772" s="2" t="n">
        <f aca="false">INDEX(FieldSites!H:H, MATCH(Ch2_FieldSurvey!B772,FieldSites!C:C,0))</f>
        <v>37.543343</v>
      </c>
      <c r="H772" s="18" t="n">
        <v>7</v>
      </c>
      <c r="I772" s="21" t="str">
        <f aca="false">CONCATENATE(B772,"_",C772,H772)</f>
        <v>WSHB_M. guttatus7</v>
      </c>
      <c r="J772" s="22" t="n">
        <v>44707</v>
      </c>
      <c r="K772" s="23" t="n">
        <v>0.395833333333333</v>
      </c>
      <c r="L772" s="22" t="n">
        <v>44707</v>
      </c>
      <c r="M772" s="23" t="n">
        <v>0.511111111111111</v>
      </c>
      <c r="O772" s="1" t="s">
        <v>647</v>
      </c>
      <c r="P772" s="16" t="s">
        <v>617</v>
      </c>
      <c r="Q772" s="16" t="s">
        <v>637</v>
      </c>
      <c r="R772" s="16" t="s">
        <v>617</v>
      </c>
      <c r="S772" s="4" t="s">
        <v>648</v>
      </c>
      <c r="T772" s="24" t="n">
        <v>298</v>
      </c>
      <c r="U772" s="18" t="n">
        <v>5.7</v>
      </c>
      <c r="V772" s="24" t="n">
        <v>0.53</v>
      </c>
      <c r="W772" s="2" t="n">
        <v>0.4</v>
      </c>
      <c r="Z772" s="18"/>
      <c r="AA772" s="20"/>
      <c r="AB772" s="20"/>
      <c r="AC772" s="19" t="e">
        <f aca="false">(AB772-AA772)/AB772</f>
        <v>#DIV/0!</v>
      </c>
    </row>
    <row r="773" customFormat="false" ht="14.25" hidden="false" customHeight="true" outlineLevel="0" collapsed="false">
      <c r="A773" s="18" t="s">
        <v>635</v>
      </c>
      <c r="B773" s="18" t="s">
        <v>635</v>
      </c>
      <c r="C773" s="18" t="s">
        <v>40</v>
      </c>
      <c r="E773" s="2" t="n">
        <f aca="false">INDEX(FieldSites!F:F, MATCH(Ch2_FieldSurvey!B773,FieldSites!C:C,0))</f>
        <v>1235</v>
      </c>
      <c r="F773" s="2" t="n">
        <f aca="false">INDEX(FieldSites!G:G, MATCH(Ch2_FieldSurvey!B773,FieldSites!C:C,0))</f>
        <v>-119.647878</v>
      </c>
      <c r="G773" s="2" t="n">
        <f aca="false">INDEX(FieldSites!H:H, MATCH(Ch2_FieldSurvey!B773,FieldSites!C:C,0))</f>
        <v>37.543343</v>
      </c>
      <c r="H773" s="18" t="n">
        <v>7</v>
      </c>
      <c r="I773" s="21" t="str">
        <f aca="false">CONCATENATE(B773,"_",C773,H773)</f>
        <v>WSHB_M. guttatus7</v>
      </c>
      <c r="J773" s="22" t="n">
        <v>44707</v>
      </c>
      <c r="K773" s="23" t="n">
        <v>0.395833333333333</v>
      </c>
      <c r="L773" s="22" t="n">
        <v>44707</v>
      </c>
      <c r="M773" s="23" t="n">
        <v>0.511111111111111</v>
      </c>
      <c r="O773" s="1" t="s">
        <v>647</v>
      </c>
      <c r="P773" s="16" t="s">
        <v>617</v>
      </c>
      <c r="Q773" s="16" t="s">
        <v>637</v>
      </c>
      <c r="R773" s="16" t="s">
        <v>617</v>
      </c>
      <c r="S773" s="4" t="s">
        <v>648</v>
      </c>
      <c r="T773" s="24" t="n">
        <v>331</v>
      </c>
      <c r="U773" s="18" t="n">
        <v>10.3</v>
      </c>
      <c r="V773" s="24" t="n">
        <v>0.58</v>
      </c>
      <c r="W773" s="2" t="n">
        <v>0.5</v>
      </c>
      <c r="Z773" s="18"/>
      <c r="AA773" s="20"/>
      <c r="AB773" s="20"/>
      <c r="AC773" s="19" t="e">
        <f aca="false">(AB773-AA773)/AB773</f>
        <v>#DIV/0!</v>
      </c>
    </row>
    <row r="774" customFormat="false" ht="14.25" hidden="false" customHeight="true" outlineLevel="0" collapsed="false">
      <c r="A774" s="18" t="s">
        <v>635</v>
      </c>
      <c r="B774" s="18" t="s">
        <v>635</v>
      </c>
      <c r="C774" s="18" t="s">
        <v>40</v>
      </c>
      <c r="E774" s="2" t="n">
        <f aca="false">INDEX(FieldSites!F:F, MATCH(Ch2_FieldSurvey!B774,FieldSites!C:C,0))</f>
        <v>1235</v>
      </c>
      <c r="F774" s="2" t="n">
        <f aca="false">INDEX(FieldSites!G:G, MATCH(Ch2_FieldSurvey!B774,FieldSites!C:C,0))</f>
        <v>-119.647878</v>
      </c>
      <c r="G774" s="2" t="n">
        <f aca="false">INDEX(FieldSites!H:H, MATCH(Ch2_FieldSurvey!B774,FieldSites!C:C,0))</f>
        <v>37.543343</v>
      </c>
      <c r="H774" s="18" t="n">
        <v>8</v>
      </c>
      <c r="I774" s="21" t="str">
        <f aca="false">CONCATENATE(B774,"_",C774,H774)</f>
        <v>WSHB_M. guttatus8</v>
      </c>
      <c r="J774" s="22" t="n">
        <v>44707</v>
      </c>
      <c r="K774" s="23" t="n">
        <v>0.395833333333333</v>
      </c>
      <c r="L774" s="22" t="n">
        <v>44707</v>
      </c>
      <c r="M774" s="23" t="n">
        <v>0.515277777777778</v>
      </c>
      <c r="O774" s="1" t="s">
        <v>649</v>
      </c>
      <c r="P774" s="16" t="s">
        <v>617</v>
      </c>
      <c r="Q774" s="16" t="s">
        <v>637</v>
      </c>
      <c r="R774" s="16" t="s">
        <v>617</v>
      </c>
      <c r="S774" s="4" t="s">
        <v>650</v>
      </c>
      <c r="T774" s="24" t="n">
        <v>362</v>
      </c>
      <c r="U774" s="18" t="n">
        <v>4.2</v>
      </c>
      <c r="V774" s="24" t="n">
        <v>0.62</v>
      </c>
      <c r="W774" s="2" t="n">
        <v>0.4</v>
      </c>
      <c r="Z774" s="18"/>
      <c r="AA774" s="20" t="n">
        <v>447599</v>
      </c>
      <c r="AB774" s="20" t="n">
        <v>488857</v>
      </c>
      <c r="AC774" s="19" t="n">
        <f aca="false">(AB774-AA774)/AB774</f>
        <v>0.0843968686139301</v>
      </c>
    </row>
    <row r="775" customFormat="false" ht="14.25" hidden="false" customHeight="true" outlineLevel="0" collapsed="false">
      <c r="A775" s="18" t="s">
        <v>635</v>
      </c>
      <c r="B775" s="18" t="s">
        <v>635</v>
      </c>
      <c r="C775" s="18" t="s">
        <v>40</v>
      </c>
      <c r="E775" s="2" t="n">
        <f aca="false">INDEX(FieldSites!F:F, MATCH(Ch2_FieldSurvey!B775,FieldSites!C:C,0))</f>
        <v>1235</v>
      </c>
      <c r="F775" s="2" t="n">
        <f aca="false">INDEX(FieldSites!G:G, MATCH(Ch2_FieldSurvey!B775,FieldSites!C:C,0))</f>
        <v>-119.647878</v>
      </c>
      <c r="G775" s="2" t="n">
        <f aca="false">INDEX(FieldSites!H:H, MATCH(Ch2_FieldSurvey!B775,FieldSites!C:C,0))</f>
        <v>37.543343</v>
      </c>
      <c r="H775" s="18" t="n">
        <v>8</v>
      </c>
      <c r="I775" s="21" t="str">
        <f aca="false">CONCATENATE(B775,"_",C775,H775)</f>
        <v>WSHB_M. guttatus8</v>
      </c>
      <c r="J775" s="22" t="n">
        <v>44707</v>
      </c>
      <c r="K775" s="23" t="n">
        <v>0.395833333333333</v>
      </c>
      <c r="L775" s="22" t="n">
        <v>44707</v>
      </c>
      <c r="M775" s="23" t="n">
        <v>0.515277777777778</v>
      </c>
      <c r="O775" s="1" t="s">
        <v>649</v>
      </c>
      <c r="P775" s="16" t="s">
        <v>617</v>
      </c>
      <c r="Q775" s="16" t="s">
        <v>637</v>
      </c>
      <c r="R775" s="16" t="s">
        <v>617</v>
      </c>
      <c r="S775" s="4" t="s">
        <v>650</v>
      </c>
      <c r="T775" s="24" t="n">
        <v>321</v>
      </c>
      <c r="U775" s="18" t="n">
        <v>4.3</v>
      </c>
      <c r="V775" s="24" t="n">
        <v>0.59</v>
      </c>
      <c r="W775" s="2" t="n">
        <v>0.6</v>
      </c>
      <c r="Z775" s="18"/>
      <c r="AA775" s="20"/>
      <c r="AB775" s="20"/>
      <c r="AC775" s="19" t="e">
        <f aca="false">(AB775-AA775)/AB775</f>
        <v>#DIV/0!</v>
      </c>
    </row>
    <row r="776" customFormat="false" ht="14.25" hidden="false" customHeight="true" outlineLevel="0" collapsed="false">
      <c r="A776" s="18" t="s">
        <v>635</v>
      </c>
      <c r="B776" s="18" t="s">
        <v>635</v>
      </c>
      <c r="C776" s="18" t="s">
        <v>40</v>
      </c>
      <c r="E776" s="2" t="n">
        <f aca="false">INDEX(FieldSites!F:F, MATCH(Ch2_FieldSurvey!B776,FieldSites!C:C,0))</f>
        <v>1235</v>
      </c>
      <c r="F776" s="2" t="n">
        <f aca="false">INDEX(FieldSites!G:G, MATCH(Ch2_FieldSurvey!B776,FieldSites!C:C,0))</f>
        <v>-119.647878</v>
      </c>
      <c r="G776" s="2" t="n">
        <f aca="false">INDEX(FieldSites!H:H, MATCH(Ch2_FieldSurvey!B776,FieldSites!C:C,0))</f>
        <v>37.543343</v>
      </c>
      <c r="H776" s="18" t="n">
        <v>8</v>
      </c>
      <c r="I776" s="21" t="str">
        <f aca="false">CONCATENATE(B776,"_",C776,H776)</f>
        <v>WSHB_M. guttatus8</v>
      </c>
      <c r="J776" s="22" t="n">
        <v>44707</v>
      </c>
      <c r="K776" s="23" t="n">
        <v>0.395833333333333</v>
      </c>
      <c r="L776" s="22" t="n">
        <v>44707</v>
      </c>
      <c r="M776" s="23" t="n">
        <v>0.515277777777778</v>
      </c>
      <c r="O776" s="1" t="s">
        <v>649</v>
      </c>
      <c r="P776" s="16" t="s">
        <v>617</v>
      </c>
      <c r="Q776" s="16" t="s">
        <v>637</v>
      </c>
      <c r="R776" s="16" t="s">
        <v>617</v>
      </c>
      <c r="S776" s="4" t="s">
        <v>650</v>
      </c>
      <c r="T776" s="24" t="n">
        <v>372</v>
      </c>
      <c r="U776" s="18" t="n">
        <v>4.2</v>
      </c>
      <c r="V776" s="24" t="n">
        <v>0.61</v>
      </c>
      <c r="W776" s="2" t="n">
        <v>0.6</v>
      </c>
      <c r="Z776" s="18"/>
      <c r="AA776" s="20"/>
      <c r="AB776" s="20"/>
      <c r="AC776" s="19" t="e">
        <f aca="false">(AB776-AA776)/AB776</f>
        <v>#DIV/0!</v>
      </c>
    </row>
    <row r="777" customFormat="false" ht="14.25" hidden="false" customHeight="true" outlineLevel="0" collapsed="false">
      <c r="A777" s="18" t="s">
        <v>635</v>
      </c>
      <c r="B777" s="18" t="s">
        <v>635</v>
      </c>
      <c r="C777" s="18" t="s">
        <v>40</v>
      </c>
      <c r="E777" s="2" t="n">
        <f aca="false">INDEX(FieldSites!F:F, MATCH(Ch2_FieldSurvey!B777,FieldSites!C:C,0))</f>
        <v>1235</v>
      </c>
      <c r="F777" s="2" t="n">
        <f aca="false">INDEX(FieldSites!G:G, MATCH(Ch2_FieldSurvey!B777,FieldSites!C:C,0))</f>
        <v>-119.647878</v>
      </c>
      <c r="G777" s="2" t="n">
        <f aca="false">INDEX(FieldSites!H:H, MATCH(Ch2_FieldSurvey!B777,FieldSites!C:C,0))</f>
        <v>37.543343</v>
      </c>
      <c r="H777" s="18" t="n">
        <v>9</v>
      </c>
      <c r="I777" s="21" t="str">
        <f aca="false">CONCATENATE(B777,"_",C777,H777)</f>
        <v>WSHB_M. guttatus9</v>
      </c>
      <c r="J777" s="22" t="n">
        <v>44707</v>
      </c>
      <c r="K777" s="23" t="n">
        <v>0.395833333333333</v>
      </c>
      <c r="L777" s="22" t="n">
        <v>44707</v>
      </c>
      <c r="M777" s="23" t="n">
        <v>0.51875</v>
      </c>
      <c r="O777" s="1" t="s">
        <v>651</v>
      </c>
      <c r="P777" s="16" t="s">
        <v>617</v>
      </c>
      <c r="Q777" s="16" t="s">
        <v>637</v>
      </c>
      <c r="R777" s="16" t="s">
        <v>617</v>
      </c>
      <c r="S777" s="4" t="s">
        <v>173</v>
      </c>
      <c r="T777" s="24" t="n">
        <v>256</v>
      </c>
      <c r="U777" s="18" t="n">
        <v>7.9</v>
      </c>
      <c r="V777" s="24" t="n">
        <v>0.59</v>
      </c>
      <c r="W777" s="2" t="n">
        <v>0.7</v>
      </c>
      <c r="Z777" s="18"/>
      <c r="AA777" s="20" t="n">
        <v>535535</v>
      </c>
      <c r="AB777" s="20" t="n">
        <v>566531</v>
      </c>
      <c r="AC777" s="19" t="n">
        <f aca="false">(AB777-AA777)/AB777</f>
        <v>0.0547119222072579</v>
      </c>
    </row>
    <row r="778" customFormat="false" ht="14.25" hidden="false" customHeight="true" outlineLevel="0" collapsed="false">
      <c r="A778" s="18" t="s">
        <v>635</v>
      </c>
      <c r="B778" s="18" t="s">
        <v>635</v>
      </c>
      <c r="C778" s="18" t="s">
        <v>40</v>
      </c>
      <c r="E778" s="2" t="n">
        <f aca="false">INDEX(FieldSites!F:F, MATCH(Ch2_FieldSurvey!B778,FieldSites!C:C,0))</f>
        <v>1235</v>
      </c>
      <c r="F778" s="2" t="n">
        <f aca="false">INDEX(FieldSites!G:G, MATCH(Ch2_FieldSurvey!B778,FieldSites!C:C,0))</f>
        <v>-119.647878</v>
      </c>
      <c r="G778" s="2" t="n">
        <f aca="false">INDEX(FieldSites!H:H, MATCH(Ch2_FieldSurvey!B778,FieldSites!C:C,0))</f>
        <v>37.543343</v>
      </c>
      <c r="H778" s="18" t="n">
        <v>9</v>
      </c>
      <c r="I778" s="21" t="str">
        <f aca="false">CONCATENATE(B778,"_",C778,H778)</f>
        <v>WSHB_M. guttatus9</v>
      </c>
      <c r="J778" s="22" t="n">
        <v>44707</v>
      </c>
      <c r="K778" s="23" t="n">
        <v>0.395833333333333</v>
      </c>
      <c r="L778" s="22" t="n">
        <v>44707</v>
      </c>
      <c r="M778" s="23" t="n">
        <v>0.51875</v>
      </c>
      <c r="O778" s="1" t="s">
        <v>651</v>
      </c>
      <c r="P778" s="16" t="s">
        <v>617</v>
      </c>
      <c r="Q778" s="16" t="s">
        <v>637</v>
      </c>
      <c r="R778" s="16" t="s">
        <v>617</v>
      </c>
      <c r="S778" s="4" t="s">
        <v>173</v>
      </c>
      <c r="T778" s="24" t="n">
        <v>382</v>
      </c>
      <c r="U778" s="18" t="n">
        <v>4.6</v>
      </c>
      <c r="V778" s="24" t="n">
        <v>0.63</v>
      </c>
      <c r="W778" s="2" t="n">
        <v>0.6</v>
      </c>
      <c r="Z778" s="18"/>
      <c r="AA778" s="20"/>
      <c r="AB778" s="20"/>
      <c r="AC778" s="19" t="e">
        <f aca="false">(AB778-AA778)/AB778</f>
        <v>#DIV/0!</v>
      </c>
    </row>
    <row r="779" customFormat="false" ht="14.25" hidden="false" customHeight="true" outlineLevel="0" collapsed="false">
      <c r="A779" s="18" t="s">
        <v>635</v>
      </c>
      <c r="B779" s="18" t="s">
        <v>635</v>
      </c>
      <c r="C779" s="18" t="s">
        <v>40</v>
      </c>
      <c r="E779" s="2" t="n">
        <f aca="false">INDEX(FieldSites!F:F, MATCH(Ch2_FieldSurvey!B779,FieldSites!C:C,0))</f>
        <v>1235</v>
      </c>
      <c r="F779" s="2" t="n">
        <f aca="false">INDEX(FieldSites!G:G, MATCH(Ch2_FieldSurvey!B779,FieldSites!C:C,0))</f>
        <v>-119.647878</v>
      </c>
      <c r="G779" s="2" t="n">
        <f aca="false">INDEX(FieldSites!H:H, MATCH(Ch2_FieldSurvey!B779,FieldSites!C:C,0))</f>
        <v>37.543343</v>
      </c>
      <c r="H779" s="18" t="n">
        <v>9</v>
      </c>
      <c r="I779" s="21" t="str">
        <f aca="false">CONCATENATE(B779,"_",C779,H779)</f>
        <v>WSHB_M. guttatus9</v>
      </c>
      <c r="J779" s="22" t="n">
        <v>44707</v>
      </c>
      <c r="K779" s="23" t="n">
        <v>0.395833333333333</v>
      </c>
      <c r="L779" s="22" t="n">
        <v>44707</v>
      </c>
      <c r="M779" s="23" t="n">
        <v>0.51875</v>
      </c>
      <c r="O779" s="1" t="s">
        <v>651</v>
      </c>
      <c r="P779" s="16" t="s">
        <v>617</v>
      </c>
      <c r="Q779" s="16" t="s">
        <v>637</v>
      </c>
      <c r="R779" s="16" t="s">
        <v>617</v>
      </c>
      <c r="S779" s="4" t="s">
        <v>173</v>
      </c>
      <c r="T779" s="24" t="n">
        <v>406</v>
      </c>
      <c r="U779" s="18" t="n">
        <v>7.1</v>
      </c>
      <c r="V779" s="24" t="n">
        <v>0.66</v>
      </c>
      <c r="W779" s="2" t="n">
        <v>0.5</v>
      </c>
      <c r="Z779" s="18"/>
      <c r="AA779" s="20"/>
      <c r="AB779" s="20"/>
      <c r="AC779" s="19" t="e">
        <f aca="false">(AB779-AA779)/AB779</f>
        <v>#DIV/0!</v>
      </c>
    </row>
    <row r="780" customFormat="false" ht="14.25" hidden="false" customHeight="true" outlineLevel="0" collapsed="false">
      <c r="A780" s="18" t="s">
        <v>635</v>
      </c>
      <c r="B780" s="18" t="s">
        <v>635</v>
      </c>
      <c r="C780" s="18" t="s">
        <v>40</v>
      </c>
      <c r="E780" s="2" t="n">
        <f aca="false">INDEX(FieldSites!F:F, MATCH(Ch2_FieldSurvey!B780,FieldSites!C:C,0))</f>
        <v>1235</v>
      </c>
      <c r="F780" s="2" t="n">
        <f aca="false">INDEX(FieldSites!G:G, MATCH(Ch2_FieldSurvey!B780,FieldSites!C:C,0))</f>
        <v>-119.647878</v>
      </c>
      <c r="G780" s="2" t="n">
        <f aca="false">INDEX(FieldSites!H:H, MATCH(Ch2_FieldSurvey!B780,FieldSites!C:C,0))</f>
        <v>37.543343</v>
      </c>
      <c r="H780" s="18" t="n">
        <v>10</v>
      </c>
      <c r="I780" s="21" t="str">
        <f aca="false">CONCATENATE(B780,"_",C780,H780)</f>
        <v>WSHB_M. guttatus10</v>
      </c>
      <c r="J780" s="22" t="n">
        <v>44707</v>
      </c>
      <c r="K780" s="23" t="n">
        <v>0.395833333333333</v>
      </c>
      <c r="L780" s="22" t="n">
        <v>44707</v>
      </c>
      <c r="M780" s="23" t="n">
        <v>0.523611111111111</v>
      </c>
      <c r="O780" s="1" t="s">
        <v>652</v>
      </c>
      <c r="P780" s="16" t="s">
        <v>617</v>
      </c>
      <c r="Q780" s="16" t="s">
        <v>637</v>
      </c>
      <c r="R780" s="16" t="s">
        <v>617</v>
      </c>
      <c r="S780" s="4" t="s">
        <v>176</v>
      </c>
      <c r="T780" s="24" t="n">
        <v>440</v>
      </c>
      <c r="U780" s="18" t="n">
        <v>3.5</v>
      </c>
      <c r="V780" s="24" t="n">
        <v>0.41</v>
      </c>
      <c r="W780" s="2" t="n">
        <v>0.4</v>
      </c>
      <c r="Z780" s="18"/>
      <c r="AA780" s="20" t="n">
        <v>440608</v>
      </c>
      <c r="AB780" s="20" t="n">
        <v>476039</v>
      </c>
      <c r="AC780" s="19" t="n">
        <f aca="false">(AB780-AA780)/AB780</f>
        <v>0.0744287757935799</v>
      </c>
    </row>
    <row r="781" customFormat="false" ht="14.25" hidden="false" customHeight="true" outlineLevel="0" collapsed="false">
      <c r="A781" s="18" t="s">
        <v>635</v>
      </c>
      <c r="B781" s="18" t="s">
        <v>635</v>
      </c>
      <c r="C781" s="18" t="s">
        <v>40</v>
      </c>
      <c r="E781" s="2" t="n">
        <f aca="false">INDEX(FieldSites!F:F, MATCH(Ch2_FieldSurvey!B781,FieldSites!C:C,0))</f>
        <v>1235</v>
      </c>
      <c r="F781" s="2" t="n">
        <f aca="false">INDEX(FieldSites!G:G, MATCH(Ch2_FieldSurvey!B781,FieldSites!C:C,0))</f>
        <v>-119.647878</v>
      </c>
      <c r="G781" s="2" t="n">
        <f aca="false">INDEX(FieldSites!H:H, MATCH(Ch2_FieldSurvey!B781,FieldSites!C:C,0))</f>
        <v>37.543343</v>
      </c>
      <c r="H781" s="18" t="n">
        <v>10</v>
      </c>
      <c r="I781" s="21" t="str">
        <f aca="false">CONCATENATE(B781,"_",C781,H781)</f>
        <v>WSHB_M. guttatus10</v>
      </c>
      <c r="J781" s="22" t="n">
        <v>44707</v>
      </c>
      <c r="K781" s="23" t="n">
        <v>0.395833333333333</v>
      </c>
      <c r="L781" s="22" t="n">
        <v>44707</v>
      </c>
      <c r="M781" s="23" t="n">
        <v>0.523611111111111</v>
      </c>
      <c r="O781" s="1" t="s">
        <v>652</v>
      </c>
      <c r="P781" s="16" t="s">
        <v>617</v>
      </c>
      <c r="Q781" s="16" t="s">
        <v>637</v>
      </c>
      <c r="R781" s="16" t="s">
        <v>617</v>
      </c>
      <c r="S781" s="4" t="s">
        <v>176</v>
      </c>
      <c r="T781" s="24" t="n">
        <v>225</v>
      </c>
      <c r="U781" s="18" t="n">
        <v>4.4</v>
      </c>
      <c r="V781" s="24" t="n">
        <v>0.39</v>
      </c>
      <c r="W781" s="2" t="n">
        <v>0.4</v>
      </c>
      <c r="Z781" s="18"/>
      <c r="AA781" s="20"/>
      <c r="AB781" s="20"/>
      <c r="AC781" s="19" t="e">
        <f aca="false">(AB781-AA781)/AB781</f>
        <v>#DIV/0!</v>
      </c>
    </row>
    <row r="782" customFormat="false" ht="14.25" hidden="false" customHeight="true" outlineLevel="0" collapsed="false">
      <c r="A782" s="18" t="s">
        <v>635</v>
      </c>
      <c r="B782" s="18" t="s">
        <v>635</v>
      </c>
      <c r="C782" s="18" t="s">
        <v>40</v>
      </c>
      <c r="E782" s="2" t="n">
        <f aca="false">INDEX(FieldSites!F:F, MATCH(Ch2_FieldSurvey!B782,FieldSites!C:C,0))</f>
        <v>1235</v>
      </c>
      <c r="F782" s="2" t="n">
        <f aca="false">INDEX(FieldSites!G:G, MATCH(Ch2_FieldSurvey!B782,FieldSites!C:C,0))</f>
        <v>-119.647878</v>
      </c>
      <c r="G782" s="2" t="n">
        <f aca="false">INDEX(FieldSites!H:H, MATCH(Ch2_FieldSurvey!B782,FieldSites!C:C,0))</f>
        <v>37.543343</v>
      </c>
      <c r="H782" s="18" t="n">
        <v>10</v>
      </c>
      <c r="I782" s="21" t="str">
        <f aca="false">CONCATENATE(B782,"_",C782,H782)</f>
        <v>WSHB_M. guttatus10</v>
      </c>
      <c r="J782" s="22" t="n">
        <v>44707</v>
      </c>
      <c r="K782" s="23" t="n">
        <v>0.395833333333333</v>
      </c>
      <c r="L782" s="22" t="n">
        <v>44707</v>
      </c>
      <c r="M782" s="23" t="n">
        <v>0.523611111111111</v>
      </c>
      <c r="O782" s="1" t="s">
        <v>652</v>
      </c>
      <c r="P782" s="16" t="s">
        <v>617</v>
      </c>
      <c r="Q782" s="16" t="s">
        <v>637</v>
      </c>
      <c r="R782" s="16" t="s">
        <v>617</v>
      </c>
      <c r="S782" s="4" t="s">
        <v>176</v>
      </c>
      <c r="T782" s="24" t="n">
        <v>286</v>
      </c>
      <c r="U782" s="18" t="n">
        <v>4.1</v>
      </c>
      <c r="V782" s="24" t="n">
        <v>0.45</v>
      </c>
      <c r="W782" s="2" t="n">
        <v>0.4</v>
      </c>
      <c r="Z782" s="18"/>
      <c r="AA782" s="20"/>
      <c r="AB782" s="20"/>
      <c r="AC782" s="19" t="e">
        <f aca="false">(AB782-AA782)/AB782</f>
        <v>#DIV/0!</v>
      </c>
    </row>
    <row r="783" customFormat="false" ht="14.25" hidden="false" customHeight="true" outlineLevel="0" collapsed="false">
      <c r="A783" s="18" t="s">
        <v>635</v>
      </c>
      <c r="B783" s="18" t="s">
        <v>635</v>
      </c>
      <c r="C783" s="18" t="s">
        <v>40</v>
      </c>
      <c r="E783" s="2" t="n">
        <f aca="false">INDEX(FieldSites!F:F, MATCH(Ch2_FieldSurvey!B783,FieldSites!C:C,0))</f>
        <v>1235</v>
      </c>
      <c r="F783" s="2" t="n">
        <f aca="false">INDEX(FieldSites!G:G, MATCH(Ch2_FieldSurvey!B783,FieldSites!C:C,0))</f>
        <v>-119.647878</v>
      </c>
      <c r="G783" s="2" t="n">
        <f aca="false">INDEX(FieldSites!H:H, MATCH(Ch2_FieldSurvey!B783,FieldSites!C:C,0))</f>
        <v>37.543343</v>
      </c>
      <c r="H783" s="18" t="n">
        <v>11</v>
      </c>
      <c r="I783" s="21" t="str">
        <f aca="false">CONCATENATE(B783,"_",C783,H783)</f>
        <v>WSHB_M. guttatus11</v>
      </c>
      <c r="J783" s="22" t="n">
        <v>44707</v>
      </c>
      <c r="K783" s="23" t="n">
        <v>0.395833333333333</v>
      </c>
      <c r="L783" s="22" t="n">
        <v>44707</v>
      </c>
      <c r="M783" s="23" t="n">
        <v>0.527083333333333</v>
      </c>
      <c r="O783" s="1" t="s">
        <v>653</v>
      </c>
      <c r="P783" s="16" t="s">
        <v>617</v>
      </c>
      <c r="Q783" s="16" t="s">
        <v>637</v>
      </c>
      <c r="R783" s="16" t="s">
        <v>617</v>
      </c>
      <c r="S783" s="4" t="s">
        <v>74</v>
      </c>
      <c r="T783" s="24" t="n">
        <v>190</v>
      </c>
      <c r="U783" s="18" t="n">
        <v>4.9</v>
      </c>
      <c r="V783" s="24" t="n">
        <v>0.41</v>
      </c>
      <c r="W783" s="2" t="n">
        <v>0.2</v>
      </c>
      <c r="Z783" s="18"/>
      <c r="AA783" s="20" t="n">
        <v>245893</v>
      </c>
      <c r="AB783" s="20" t="n">
        <v>265416</v>
      </c>
      <c r="AC783" s="19" t="n">
        <f aca="false">(AB783-AA783)/AB783</f>
        <v>0.0735562287126624</v>
      </c>
    </row>
    <row r="784" customFormat="false" ht="14.25" hidden="false" customHeight="true" outlineLevel="0" collapsed="false">
      <c r="A784" s="18" t="s">
        <v>635</v>
      </c>
      <c r="B784" s="18" t="s">
        <v>635</v>
      </c>
      <c r="C784" s="18" t="s">
        <v>40</v>
      </c>
      <c r="E784" s="2" t="n">
        <f aca="false">INDEX(FieldSites!F:F, MATCH(Ch2_FieldSurvey!B784,FieldSites!C:C,0))</f>
        <v>1235</v>
      </c>
      <c r="F784" s="2" t="n">
        <f aca="false">INDEX(FieldSites!G:G, MATCH(Ch2_FieldSurvey!B784,FieldSites!C:C,0))</f>
        <v>-119.647878</v>
      </c>
      <c r="G784" s="2" t="n">
        <f aca="false">INDEX(FieldSites!H:H, MATCH(Ch2_FieldSurvey!B784,FieldSites!C:C,0))</f>
        <v>37.543343</v>
      </c>
      <c r="H784" s="18" t="n">
        <v>11</v>
      </c>
      <c r="I784" s="21" t="str">
        <f aca="false">CONCATENATE(B784,"_",C784,H784)</f>
        <v>WSHB_M. guttatus11</v>
      </c>
      <c r="J784" s="22" t="n">
        <v>44707</v>
      </c>
      <c r="K784" s="23" t="n">
        <v>0.395833333333333</v>
      </c>
      <c r="L784" s="22" t="n">
        <v>44707</v>
      </c>
      <c r="M784" s="23" t="n">
        <v>0.527083333333333</v>
      </c>
      <c r="O784" s="1" t="s">
        <v>653</v>
      </c>
      <c r="P784" s="16" t="s">
        <v>617</v>
      </c>
      <c r="Q784" s="16" t="s">
        <v>637</v>
      </c>
      <c r="R784" s="16" t="s">
        <v>617</v>
      </c>
      <c r="S784" s="4" t="s">
        <v>74</v>
      </c>
      <c r="T784" s="24" t="n">
        <v>220</v>
      </c>
      <c r="U784" s="18" t="n">
        <v>3.6</v>
      </c>
      <c r="V784" s="24" t="n">
        <v>0.4</v>
      </c>
      <c r="W784" s="2" t="n">
        <v>0.3</v>
      </c>
      <c r="Z784" s="18"/>
      <c r="AA784" s="20"/>
      <c r="AB784" s="20"/>
      <c r="AC784" s="19" t="e">
        <f aca="false">(AB784-AA784)/AB784</f>
        <v>#DIV/0!</v>
      </c>
    </row>
    <row r="785" customFormat="false" ht="14.25" hidden="false" customHeight="true" outlineLevel="0" collapsed="false">
      <c r="A785" s="18" t="s">
        <v>635</v>
      </c>
      <c r="B785" s="18" t="s">
        <v>635</v>
      </c>
      <c r="C785" s="18" t="s">
        <v>40</v>
      </c>
      <c r="E785" s="2" t="n">
        <f aca="false">INDEX(FieldSites!F:F, MATCH(Ch2_FieldSurvey!B785,FieldSites!C:C,0))</f>
        <v>1235</v>
      </c>
      <c r="F785" s="2" t="n">
        <f aca="false">INDEX(FieldSites!G:G, MATCH(Ch2_FieldSurvey!B785,FieldSites!C:C,0))</f>
        <v>-119.647878</v>
      </c>
      <c r="G785" s="2" t="n">
        <f aca="false">INDEX(FieldSites!H:H, MATCH(Ch2_FieldSurvey!B785,FieldSites!C:C,0))</f>
        <v>37.543343</v>
      </c>
      <c r="H785" s="18" t="n">
        <v>11</v>
      </c>
      <c r="I785" s="21" t="str">
        <f aca="false">CONCATENATE(B785,"_",C785,H785)</f>
        <v>WSHB_M. guttatus11</v>
      </c>
      <c r="J785" s="22" t="n">
        <v>44707</v>
      </c>
      <c r="K785" s="23" t="n">
        <v>0.395833333333333</v>
      </c>
      <c r="L785" s="22" t="n">
        <v>44707</v>
      </c>
      <c r="M785" s="23" t="n">
        <v>0.527083333333333</v>
      </c>
      <c r="O785" s="1" t="s">
        <v>653</v>
      </c>
      <c r="P785" s="16" t="s">
        <v>617</v>
      </c>
      <c r="Q785" s="16" t="s">
        <v>637</v>
      </c>
      <c r="R785" s="16" t="s">
        <v>617</v>
      </c>
      <c r="S785" s="4" t="s">
        <v>74</v>
      </c>
      <c r="T785" s="24" t="n">
        <v>225</v>
      </c>
      <c r="U785" s="18" t="n">
        <v>6.2</v>
      </c>
      <c r="V785" s="24" t="n">
        <v>0.36</v>
      </c>
      <c r="W785" s="2" t="n">
        <v>0.3</v>
      </c>
      <c r="Z785" s="18"/>
      <c r="AA785" s="20"/>
      <c r="AB785" s="20"/>
      <c r="AC785" s="19" t="e">
        <f aca="false">(AB785-AA785)/AB785</f>
        <v>#DIV/0!</v>
      </c>
    </row>
    <row r="786" customFormat="false" ht="14.25" hidden="false" customHeight="true" outlineLevel="0" collapsed="false">
      <c r="A786" s="18" t="s">
        <v>654</v>
      </c>
      <c r="B786" s="18" t="s">
        <v>654</v>
      </c>
      <c r="C786" s="18" t="s">
        <v>31</v>
      </c>
      <c r="E786" s="2" t="n">
        <f aca="false">INDEX(FieldSites!F:F, MATCH(Ch2_FieldSurvey!B786,FieldSites!C:C,0))</f>
        <v>2399</v>
      </c>
      <c r="F786" s="2" t="n">
        <f aca="false">INDEX(FieldSites!G:G, MATCH(Ch2_FieldSurvey!B786,FieldSites!C:C,0))</f>
        <v>-119.594572</v>
      </c>
      <c r="G786" s="2" t="n">
        <f aca="false">INDEX(FieldSites!H:H, MATCH(Ch2_FieldSurvey!B786,FieldSites!C:C,0))</f>
        <v>37.842693</v>
      </c>
      <c r="H786" s="18" t="n">
        <v>1</v>
      </c>
      <c r="I786" s="21" t="str">
        <f aca="false">CONCATENATE(B786,"_",C786,H786)</f>
        <v>OSKB_M. laciniatus1</v>
      </c>
      <c r="J786" s="22" t="n">
        <v>44714</v>
      </c>
      <c r="K786" s="23" t="n">
        <v>0.513888888888889</v>
      </c>
      <c r="L786" s="22" t="n">
        <v>44715</v>
      </c>
      <c r="M786" s="23" t="n">
        <v>0.389583333333333</v>
      </c>
      <c r="O786" s="1" t="s">
        <v>655</v>
      </c>
      <c r="P786" s="16" t="s">
        <v>656</v>
      </c>
      <c r="Q786" s="16" t="s">
        <v>657</v>
      </c>
      <c r="R786" s="16" t="s">
        <v>658</v>
      </c>
      <c r="S786" s="4" t="s">
        <v>252</v>
      </c>
      <c r="T786" s="24" t="n">
        <v>339</v>
      </c>
      <c r="U786" s="18" t="n">
        <v>1.5</v>
      </c>
      <c r="V786" s="24" t="n">
        <v>0.51</v>
      </c>
      <c r="Z786" s="18" t="s">
        <v>659</v>
      </c>
      <c r="AA786" s="20" t="n">
        <v>230838</v>
      </c>
      <c r="AB786" s="20" t="n">
        <v>771945</v>
      </c>
      <c r="AC786" s="19" t="n">
        <f aca="false">(AB786-AA786)/AB786</f>
        <v>0.700965742378019</v>
      </c>
    </row>
    <row r="787" customFormat="false" ht="14.25" hidden="false" customHeight="true" outlineLevel="0" collapsed="false">
      <c r="A787" s="18" t="s">
        <v>654</v>
      </c>
      <c r="B787" s="18" t="s">
        <v>654</v>
      </c>
      <c r="C787" s="18" t="s">
        <v>31</v>
      </c>
      <c r="E787" s="2" t="n">
        <f aca="false">INDEX(FieldSites!F:F, MATCH(Ch2_FieldSurvey!B787,FieldSites!C:C,0))</f>
        <v>2399</v>
      </c>
      <c r="F787" s="2" t="n">
        <f aca="false">INDEX(FieldSites!G:G, MATCH(Ch2_FieldSurvey!B787,FieldSites!C:C,0))</f>
        <v>-119.594572</v>
      </c>
      <c r="G787" s="2" t="n">
        <f aca="false">INDEX(FieldSites!H:H, MATCH(Ch2_FieldSurvey!B787,FieldSites!C:C,0))</f>
        <v>37.842693</v>
      </c>
      <c r="H787" s="18" t="n">
        <v>1</v>
      </c>
      <c r="I787" s="21" t="str">
        <f aca="false">CONCATENATE(B787,"_",C787,H787)</f>
        <v>OSKB_M. laciniatus1</v>
      </c>
      <c r="J787" s="22" t="n">
        <v>44714</v>
      </c>
      <c r="K787" s="23" t="n">
        <v>0.513888888888889</v>
      </c>
      <c r="L787" s="22" t="n">
        <v>44715</v>
      </c>
      <c r="M787" s="23" t="n">
        <v>0.389583333333333</v>
      </c>
      <c r="O787" s="1" t="s">
        <v>655</v>
      </c>
      <c r="P787" s="16" t="s">
        <v>656</v>
      </c>
      <c r="Q787" s="16" t="s">
        <v>657</v>
      </c>
      <c r="R787" s="16" t="s">
        <v>658</v>
      </c>
      <c r="S787" s="4" t="s">
        <v>252</v>
      </c>
      <c r="T787" s="24" t="n">
        <v>322</v>
      </c>
      <c r="U787" s="18" t="n">
        <v>1.5</v>
      </c>
      <c r="V787" s="24" t="n">
        <v>0.43</v>
      </c>
      <c r="Z787" s="18" t="s">
        <v>659</v>
      </c>
      <c r="AA787" s="20"/>
      <c r="AB787" s="20"/>
      <c r="AC787" s="19" t="e">
        <f aca="false">(AB787-AA787)/AB787</f>
        <v>#DIV/0!</v>
      </c>
    </row>
    <row r="788" customFormat="false" ht="14.25" hidden="false" customHeight="true" outlineLevel="0" collapsed="false">
      <c r="A788" s="18" t="s">
        <v>654</v>
      </c>
      <c r="B788" s="18" t="s">
        <v>654</v>
      </c>
      <c r="C788" s="18" t="s">
        <v>31</v>
      </c>
      <c r="E788" s="2" t="n">
        <f aca="false">INDEX(FieldSites!F:F, MATCH(Ch2_FieldSurvey!B788,FieldSites!C:C,0))</f>
        <v>2399</v>
      </c>
      <c r="F788" s="2" t="n">
        <f aca="false">INDEX(FieldSites!G:G, MATCH(Ch2_FieldSurvey!B788,FieldSites!C:C,0))</f>
        <v>-119.594572</v>
      </c>
      <c r="G788" s="2" t="n">
        <f aca="false">INDEX(FieldSites!H:H, MATCH(Ch2_FieldSurvey!B788,FieldSites!C:C,0))</f>
        <v>37.842693</v>
      </c>
      <c r="H788" s="18" t="n">
        <v>1</v>
      </c>
      <c r="I788" s="21" t="str">
        <f aca="false">CONCATENATE(B788,"_",C788,H788)</f>
        <v>OSKB_M. laciniatus1</v>
      </c>
      <c r="J788" s="22" t="n">
        <v>44714</v>
      </c>
      <c r="K788" s="23" t="n">
        <v>0.513888888888889</v>
      </c>
      <c r="L788" s="22" t="n">
        <v>44715</v>
      </c>
      <c r="M788" s="23" t="n">
        <v>0.389583333333333</v>
      </c>
      <c r="O788" s="1" t="s">
        <v>655</v>
      </c>
      <c r="P788" s="16" t="s">
        <v>656</v>
      </c>
      <c r="Q788" s="16" t="s">
        <v>657</v>
      </c>
      <c r="R788" s="16" t="s">
        <v>658</v>
      </c>
      <c r="S788" s="4" t="s">
        <v>252</v>
      </c>
      <c r="T788" s="24" t="n">
        <v>318</v>
      </c>
      <c r="U788" s="18" t="n">
        <v>1.4</v>
      </c>
      <c r="V788" s="24" t="n">
        <v>0.34</v>
      </c>
      <c r="Z788" s="18" t="s">
        <v>659</v>
      </c>
      <c r="AA788" s="20"/>
      <c r="AB788" s="20"/>
      <c r="AC788" s="19" t="e">
        <f aca="false">(AB788-AA788)/AB788</f>
        <v>#DIV/0!</v>
      </c>
    </row>
    <row r="789" customFormat="false" ht="14.25" hidden="false" customHeight="true" outlineLevel="0" collapsed="false">
      <c r="A789" s="18" t="s">
        <v>654</v>
      </c>
      <c r="B789" s="18" t="s">
        <v>654</v>
      </c>
      <c r="C789" s="18" t="s">
        <v>31</v>
      </c>
      <c r="E789" s="2" t="n">
        <f aca="false">INDEX(FieldSites!F:F, MATCH(Ch2_FieldSurvey!B789,FieldSites!C:C,0))</f>
        <v>2399</v>
      </c>
      <c r="F789" s="2" t="n">
        <f aca="false">INDEX(FieldSites!G:G, MATCH(Ch2_FieldSurvey!B789,FieldSites!C:C,0))</f>
        <v>-119.594572</v>
      </c>
      <c r="G789" s="2" t="n">
        <f aca="false">INDEX(FieldSites!H:H, MATCH(Ch2_FieldSurvey!B789,FieldSites!C:C,0))</f>
        <v>37.842693</v>
      </c>
      <c r="H789" s="18" t="n">
        <v>2</v>
      </c>
      <c r="I789" s="21" t="str">
        <f aca="false">CONCATENATE(B789,"_",C789,H789)</f>
        <v>OSKB_M. laciniatus2</v>
      </c>
      <c r="J789" s="22" t="n">
        <v>44714</v>
      </c>
      <c r="K789" s="23" t="n">
        <v>0.513888888888889</v>
      </c>
      <c r="L789" s="22" t="n">
        <v>44715</v>
      </c>
      <c r="M789" s="23" t="n">
        <v>0.396527777777778</v>
      </c>
      <c r="O789" s="1" t="s">
        <v>660</v>
      </c>
      <c r="P789" s="16" t="s">
        <v>656</v>
      </c>
      <c r="Q789" s="16" t="s">
        <v>657</v>
      </c>
      <c r="R789" s="16" t="s">
        <v>658</v>
      </c>
      <c r="S789" s="4" t="s">
        <v>661</v>
      </c>
      <c r="T789" s="24" t="n">
        <v>235</v>
      </c>
      <c r="U789" s="18"/>
      <c r="V789" s="24" t="n">
        <v>0.31</v>
      </c>
      <c r="Z789" s="18" t="s">
        <v>662</v>
      </c>
      <c r="AA789" s="20" t="n">
        <v>182866</v>
      </c>
      <c r="AB789" s="20" t="n">
        <v>705110</v>
      </c>
      <c r="AC789" s="19" t="n">
        <f aca="false">(AB789-AA789)/AB789</f>
        <v>0.74065606784757</v>
      </c>
    </row>
    <row r="790" customFormat="false" ht="14.25" hidden="false" customHeight="true" outlineLevel="0" collapsed="false">
      <c r="A790" s="18" t="s">
        <v>654</v>
      </c>
      <c r="B790" s="18" t="s">
        <v>654</v>
      </c>
      <c r="C790" s="18" t="s">
        <v>31</v>
      </c>
      <c r="E790" s="2" t="n">
        <f aca="false">INDEX(FieldSites!F:F, MATCH(Ch2_FieldSurvey!B790,FieldSites!C:C,0))</f>
        <v>2399</v>
      </c>
      <c r="F790" s="2" t="n">
        <f aca="false">INDEX(FieldSites!G:G, MATCH(Ch2_FieldSurvey!B790,FieldSites!C:C,0))</f>
        <v>-119.594572</v>
      </c>
      <c r="G790" s="2" t="n">
        <f aca="false">INDEX(FieldSites!H:H, MATCH(Ch2_FieldSurvey!B790,FieldSites!C:C,0))</f>
        <v>37.842693</v>
      </c>
      <c r="H790" s="18" t="n">
        <v>2</v>
      </c>
      <c r="I790" s="21" t="str">
        <f aca="false">CONCATENATE(B790,"_",C790,H790)</f>
        <v>OSKB_M. laciniatus2</v>
      </c>
      <c r="J790" s="22" t="n">
        <v>44714</v>
      </c>
      <c r="K790" s="23" t="n">
        <v>0.513888888888889</v>
      </c>
      <c r="L790" s="22" t="n">
        <v>44715</v>
      </c>
      <c r="M790" s="23" t="n">
        <v>0.396527777777778</v>
      </c>
      <c r="O790" s="1" t="s">
        <v>660</v>
      </c>
      <c r="P790" s="16" t="s">
        <v>656</v>
      </c>
      <c r="Q790" s="16" t="s">
        <v>657</v>
      </c>
      <c r="R790" s="16" t="s">
        <v>658</v>
      </c>
      <c r="S790" s="4" t="s">
        <v>661</v>
      </c>
      <c r="T790" s="24" t="n">
        <v>240</v>
      </c>
      <c r="U790" s="18"/>
      <c r="V790" s="24" t="n">
        <v>0.3</v>
      </c>
      <c r="Z790" s="18" t="s">
        <v>662</v>
      </c>
      <c r="AA790" s="20"/>
      <c r="AB790" s="20"/>
      <c r="AC790" s="19" t="e">
        <f aca="false">(AB790-AA790)/AB790</f>
        <v>#DIV/0!</v>
      </c>
    </row>
    <row r="791" customFormat="false" ht="14.25" hidden="false" customHeight="true" outlineLevel="0" collapsed="false">
      <c r="A791" s="18" t="s">
        <v>654</v>
      </c>
      <c r="B791" s="18" t="s">
        <v>654</v>
      </c>
      <c r="C791" s="18" t="s">
        <v>31</v>
      </c>
      <c r="E791" s="2" t="n">
        <f aca="false">INDEX(FieldSites!F:F, MATCH(Ch2_FieldSurvey!B791,FieldSites!C:C,0))</f>
        <v>2399</v>
      </c>
      <c r="F791" s="2" t="n">
        <f aca="false">INDEX(FieldSites!G:G, MATCH(Ch2_FieldSurvey!B791,FieldSites!C:C,0))</f>
        <v>-119.594572</v>
      </c>
      <c r="G791" s="2" t="n">
        <f aca="false">INDEX(FieldSites!H:H, MATCH(Ch2_FieldSurvey!B791,FieldSites!C:C,0))</f>
        <v>37.842693</v>
      </c>
      <c r="H791" s="18" t="n">
        <v>2</v>
      </c>
      <c r="I791" s="21" t="str">
        <f aca="false">CONCATENATE(B791,"_",C791,H791)</f>
        <v>OSKB_M. laciniatus2</v>
      </c>
      <c r="J791" s="22" t="n">
        <v>44714</v>
      </c>
      <c r="K791" s="23" t="n">
        <v>0.513888888888889</v>
      </c>
      <c r="L791" s="22" t="n">
        <v>44715</v>
      </c>
      <c r="M791" s="23" t="n">
        <v>0.396527777777778</v>
      </c>
      <c r="O791" s="1" t="s">
        <v>660</v>
      </c>
      <c r="P791" s="16" t="s">
        <v>656</v>
      </c>
      <c r="Q791" s="16" t="s">
        <v>657</v>
      </c>
      <c r="R791" s="16" t="s">
        <v>658</v>
      </c>
      <c r="S791" s="4" t="s">
        <v>661</v>
      </c>
      <c r="T791" s="24" t="n">
        <v>245</v>
      </c>
      <c r="U791" s="18"/>
      <c r="V791" s="24" t="n">
        <v>0.3</v>
      </c>
      <c r="Z791" s="18" t="s">
        <v>662</v>
      </c>
      <c r="AA791" s="20"/>
      <c r="AB791" s="20"/>
      <c r="AC791" s="19" t="e">
        <f aca="false">(AB791-AA791)/AB791</f>
        <v>#DIV/0!</v>
      </c>
    </row>
    <row r="792" customFormat="false" ht="14.25" hidden="false" customHeight="true" outlineLevel="0" collapsed="false">
      <c r="A792" s="18" t="s">
        <v>654</v>
      </c>
      <c r="B792" s="18" t="s">
        <v>654</v>
      </c>
      <c r="C792" s="18" t="s">
        <v>31</v>
      </c>
      <c r="E792" s="2" t="n">
        <f aca="false">INDEX(FieldSites!F:F, MATCH(Ch2_FieldSurvey!B792,FieldSites!C:C,0))</f>
        <v>2399</v>
      </c>
      <c r="F792" s="2" t="n">
        <f aca="false">INDEX(FieldSites!G:G, MATCH(Ch2_FieldSurvey!B792,FieldSites!C:C,0))</f>
        <v>-119.594572</v>
      </c>
      <c r="G792" s="2" t="n">
        <f aca="false">INDEX(FieldSites!H:H, MATCH(Ch2_FieldSurvey!B792,FieldSites!C:C,0))</f>
        <v>37.842693</v>
      </c>
      <c r="H792" s="18" t="n">
        <v>3</v>
      </c>
      <c r="I792" s="21" t="str">
        <f aca="false">CONCATENATE(B792,"_",C792,H792)</f>
        <v>OSKB_M. laciniatus3</v>
      </c>
      <c r="J792" s="22" t="n">
        <v>44714</v>
      </c>
      <c r="K792" s="23" t="n">
        <v>0.513888888888889</v>
      </c>
      <c r="L792" s="22" t="n">
        <v>44715</v>
      </c>
      <c r="M792" s="23" t="n">
        <v>0.401388888888889</v>
      </c>
      <c r="O792" s="1" t="s">
        <v>663</v>
      </c>
      <c r="P792" s="16" t="s">
        <v>656</v>
      </c>
      <c r="Q792" s="16" t="s">
        <v>657</v>
      </c>
      <c r="R792" s="16" t="s">
        <v>658</v>
      </c>
      <c r="S792" s="4" t="s">
        <v>664</v>
      </c>
      <c r="T792" s="24" t="n">
        <v>280</v>
      </c>
      <c r="U792" s="18"/>
      <c r="V792" s="24" t="n">
        <v>0.43</v>
      </c>
      <c r="Z792" s="18" t="s">
        <v>662</v>
      </c>
      <c r="AA792" s="20" t="n">
        <v>145524</v>
      </c>
      <c r="AB792" s="20" t="n">
        <v>537186</v>
      </c>
      <c r="AC792" s="19" t="n">
        <f aca="false">(AB792-AA792)/AB792</f>
        <v>0.729099418078654</v>
      </c>
    </row>
    <row r="793" customFormat="false" ht="14.25" hidden="false" customHeight="true" outlineLevel="0" collapsed="false">
      <c r="A793" s="18" t="s">
        <v>654</v>
      </c>
      <c r="B793" s="18" t="s">
        <v>654</v>
      </c>
      <c r="C793" s="18" t="s">
        <v>31</v>
      </c>
      <c r="E793" s="2" t="n">
        <f aca="false">INDEX(FieldSites!F:F, MATCH(Ch2_FieldSurvey!B793,FieldSites!C:C,0))</f>
        <v>2399</v>
      </c>
      <c r="F793" s="2" t="n">
        <f aca="false">INDEX(FieldSites!G:G, MATCH(Ch2_FieldSurvey!B793,FieldSites!C:C,0))</f>
        <v>-119.594572</v>
      </c>
      <c r="G793" s="2" t="n">
        <f aca="false">INDEX(FieldSites!H:H, MATCH(Ch2_FieldSurvey!B793,FieldSites!C:C,0))</f>
        <v>37.842693</v>
      </c>
      <c r="H793" s="18" t="n">
        <v>3</v>
      </c>
      <c r="I793" s="21" t="str">
        <f aca="false">CONCATENATE(B793,"_",C793,H793)</f>
        <v>OSKB_M. laciniatus3</v>
      </c>
      <c r="J793" s="22" t="n">
        <v>44714</v>
      </c>
      <c r="K793" s="23" t="n">
        <v>0.513888888888889</v>
      </c>
      <c r="L793" s="22" t="n">
        <v>44715</v>
      </c>
      <c r="M793" s="23" t="n">
        <v>0.401388888888889</v>
      </c>
      <c r="O793" s="1" t="s">
        <v>663</v>
      </c>
      <c r="P793" s="16" t="s">
        <v>656</v>
      </c>
      <c r="Q793" s="16" t="s">
        <v>657</v>
      </c>
      <c r="R793" s="16" t="s">
        <v>658</v>
      </c>
      <c r="S793" s="4" t="s">
        <v>664</v>
      </c>
      <c r="T793" s="24" t="n">
        <v>360</v>
      </c>
      <c r="U793" s="18"/>
      <c r="V793" s="24" t="n">
        <v>0.47</v>
      </c>
      <c r="Z793" s="18" t="s">
        <v>662</v>
      </c>
      <c r="AA793" s="20"/>
      <c r="AB793" s="20"/>
      <c r="AC793" s="19" t="e">
        <f aca="false">(AB793-AA793)/AB793</f>
        <v>#DIV/0!</v>
      </c>
    </row>
    <row r="794" customFormat="false" ht="14.25" hidden="false" customHeight="true" outlineLevel="0" collapsed="false">
      <c r="A794" s="18" t="s">
        <v>654</v>
      </c>
      <c r="B794" s="18" t="s">
        <v>654</v>
      </c>
      <c r="C794" s="18" t="s">
        <v>31</v>
      </c>
      <c r="E794" s="2" t="n">
        <f aca="false">INDEX(FieldSites!F:F, MATCH(Ch2_FieldSurvey!B794,FieldSites!C:C,0))</f>
        <v>2399</v>
      </c>
      <c r="F794" s="2" t="n">
        <f aca="false">INDEX(FieldSites!G:G, MATCH(Ch2_FieldSurvey!B794,FieldSites!C:C,0))</f>
        <v>-119.594572</v>
      </c>
      <c r="G794" s="2" t="n">
        <f aca="false">INDEX(FieldSites!H:H, MATCH(Ch2_FieldSurvey!B794,FieldSites!C:C,0))</f>
        <v>37.842693</v>
      </c>
      <c r="H794" s="18" t="n">
        <v>3</v>
      </c>
      <c r="I794" s="21" t="str">
        <f aca="false">CONCATENATE(B794,"_",C794,H794)</f>
        <v>OSKB_M. laciniatus3</v>
      </c>
      <c r="J794" s="22" t="n">
        <v>44714</v>
      </c>
      <c r="K794" s="23" t="n">
        <v>0.513888888888889</v>
      </c>
      <c r="L794" s="22" t="n">
        <v>44715</v>
      </c>
      <c r="M794" s="23" t="n">
        <v>0.401388888888889</v>
      </c>
      <c r="O794" s="1" t="s">
        <v>663</v>
      </c>
      <c r="P794" s="16" t="s">
        <v>656</v>
      </c>
      <c r="Q794" s="16" t="s">
        <v>657</v>
      </c>
      <c r="R794" s="16" t="s">
        <v>658</v>
      </c>
      <c r="S794" s="4" t="s">
        <v>664</v>
      </c>
      <c r="T794" s="24" t="n">
        <v>313</v>
      </c>
      <c r="U794" s="18"/>
      <c r="V794" s="24" t="n">
        <v>0.44</v>
      </c>
      <c r="Z794" s="18" t="s">
        <v>662</v>
      </c>
      <c r="AA794" s="20"/>
      <c r="AB794" s="20"/>
      <c r="AC794" s="19" t="e">
        <f aca="false">(AB794-AA794)/AB794</f>
        <v>#DIV/0!</v>
      </c>
    </row>
    <row r="795" customFormat="false" ht="14.25" hidden="false" customHeight="true" outlineLevel="0" collapsed="false">
      <c r="A795" s="18" t="s">
        <v>654</v>
      </c>
      <c r="B795" s="18" t="s">
        <v>654</v>
      </c>
      <c r="C795" s="18" t="s">
        <v>31</v>
      </c>
      <c r="E795" s="2" t="n">
        <f aca="false">INDEX(FieldSites!F:F, MATCH(Ch2_FieldSurvey!B795,FieldSites!C:C,0))</f>
        <v>2399</v>
      </c>
      <c r="F795" s="2" t="n">
        <f aca="false">INDEX(FieldSites!G:G, MATCH(Ch2_FieldSurvey!B795,FieldSites!C:C,0))</f>
        <v>-119.594572</v>
      </c>
      <c r="G795" s="2" t="n">
        <f aca="false">INDEX(FieldSites!H:H, MATCH(Ch2_FieldSurvey!B795,FieldSites!C:C,0))</f>
        <v>37.842693</v>
      </c>
      <c r="H795" s="18" t="n">
        <v>4</v>
      </c>
      <c r="I795" s="21" t="str">
        <f aca="false">CONCATENATE(B795,"_",C795,H795)</f>
        <v>OSKB_M. laciniatus4</v>
      </c>
      <c r="J795" s="22" t="n">
        <v>44714</v>
      </c>
      <c r="K795" s="23" t="n">
        <v>0.513888888888889</v>
      </c>
      <c r="L795" s="22" t="n">
        <v>44715</v>
      </c>
      <c r="M795" s="23" t="n">
        <v>0.406944444444445</v>
      </c>
      <c r="O795" s="1" t="s">
        <v>665</v>
      </c>
      <c r="P795" s="16" t="s">
        <v>656</v>
      </c>
      <c r="Q795" s="16" t="s">
        <v>657</v>
      </c>
      <c r="R795" s="16" t="s">
        <v>658</v>
      </c>
      <c r="S795" s="4" t="s">
        <v>666</v>
      </c>
      <c r="T795" s="24" t="n">
        <v>267</v>
      </c>
      <c r="U795" s="18"/>
      <c r="V795" s="24" t="n">
        <v>0.49</v>
      </c>
      <c r="Z795" s="18" t="s">
        <v>662</v>
      </c>
      <c r="AA795" s="20" t="n">
        <v>99659</v>
      </c>
      <c r="AB795" s="20" t="n">
        <v>254611</v>
      </c>
      <c r="AC795" s="19" t="n">
        <f aca="false">(AB795-AA795)/AB795</f>
        <v>0.608583289802876</v>
      </c>
    </row>
    <row r="796" customFormat="false" ht="14.25" hidden="false" customHeight="true" outlineLevel="0" collapsed="false">
      <c r="A796" s="18" t="s">
        <v>654</v>
      </c>
      <c r="B796" s="18" t="s">
        <v>654</v>
      </c>
      <c r="C796" s="18" t="s">
        <v>31</v>
      </c>
      <c r="E796" s="2" t="n">
        <f aca="false">INDEX(FieldSites!F:F, MATCH(Ch2_FieldSurvey!B796,FieldSites!C:C,0))</f>
        <v>2399</v>
      </c>
      <c r="F796" s="2" t="n">
        <f aca="false">INDEX(FieldSites!G:G, MATCH(Ch2_FieldSurvey!B796,FieldSites!C:C,0))</f>
        <v>-119.594572</v>
      </c>
      <c r="G796" s="2" t="n">
        <f aca="false">INDEX(FieldSites!H:H, MATCH(Ch2_FieldSurvey!B796,FieldSites!C:C,0))</f>
        <v>37.842693</v>
      </c>
      <c r="H796" s="18" t="n">
        <v>4</v>
      </c>
      <c r="I796" s="21" t="str">
        <f aca="false">CONCATENATE(B796,"_",C796,H796)</f>
        <v>OSKB_M. laciniatus4</v>
      </c>
      <c r="J796" s="22" t="n">
        <v>44714</v>
      </c>
      <c r="K796" s="23" t="n">
        <v>0.513888888888889</v>
      </c>
      <c r="L796" s="22" t="n">
        <v>44715</v>
      </c>
      <c r="M796" s="23" t="n">
        <v>0.406944444444445</v>
      </c>
      <c r="O796" s="1" t="s">
        <v>665</v>
      </c>
      <c r="P796" s="16" t="s">
        <v>656</v>
      </c>
      <c r="Q796" s="16" t="s">
        <v>657</v>
      </c>
      <c r="R796" s="16" t="s">
        <v>658</v>
      </c>
      <c r="S796" s="4" t="s">
        <v>666</v>
      </c>
      <c r="T796" s="24" t="n">
        <v>340</v>
      </c>
      <c r="U796" s="18"/>
      <c r="V796" s="24" t="n">
        <v>0.48</v>
      </c>
      <c r="Z796" s="18" t="s">
        <v>662</v>
      </c>
      <c r="AA796" s="20"/>
      <c r="AB796" s="20"/>
      <c r="AC796" s="19" t="e">
        <f aca="false">(AB796-AA796)/AB796</f>
        <v>#DIV/0!</v>
      </c>
    </row>
    <row r="797" customFormat="false" ht="14.25" hidden="false" customHeight="true" outlineLevel="0" collapsed="false">
      <c r="A797" s="18" t="s">
        <v>654</v>
      </c>
      <c r="B797" s="18" t="s">
        <v>654</v>
      </c>
      <c r="C797" s="18" t="s">
        <v>31</v>
      </c>
      <c r="E797" s="2" t="n">
        <f aca="false">INDEX(FieldSites!F:F, MATCH(Ch2_FieldSurvey!B797,FieldSites!C:C,0))</f>
        <v>2399</v>
      </c>
      <c r="F797" s="2" t="n">
        <f aca="false">INDEX(FieldSites!G:G, MATCH(Ch2_FieldSurvey!B797,FieldSites!C:C,0))</f>
        <v>-119.594572</v>
      </c>
      <c r="G797" s="2" t="n">
        <f aca="false">INDEX(FieldSites!H:H, MATCH(Ch2_FieldSurvey!B797,FieldSites!C:C,0))</f>
        <v>37.842693</v>
      </c>
      <c r="H797" s="18" t="n">
        <v>4</v>
      </c>
      <c r="I797" s="21" t="str">
        <f aca="false">CONCATENATE(B797,"_",C797,H797)</f>
        <v>OSKB_M. laciniatus4</v>
      </c>
      <c r="J797" s="22" t="n">
        <v>44714</v>
      </c>
      <c r="K797" s="23" t="n">
        <v>0.513888888888889</v>
      </c>
      <c r="L797" s="22" t="n">
        <v>44715</v>
      </c>
      <c r="M797" s="23" t="n">
        <v>0.406944444444445</v>
      </c>
      <c r="O797" s="1" t="s">
        <v>665</v>
      </c>
      <c r="P797" s="16" t="s">
        <v>656</v>
      </c>
      <c r="Q797" s="16" t="s">
        <v>657</v>
      </c>
      <c r="R797" s="16" t="s">
        <v>658</v>
      </c>
      <c r="S797" s="4" t="s">
        <v>666</v>
      </c>
      <c r="T797" s="24" t="n">
        <v>295</v>
      </c>
      <c r="U797" s="18"/>
      <c r="V797" s="24" t="n">
        <v>0.41</v>
      </c>
      <c r="Z797" s="18" t="s">
        <v>662</v>
      </c>
      <c r="AA797" s="20"/>
      <c r="AB797" s="20"/>
      <c r="AC797" s="19" t="e">
        <f aca="false">(AB797-AA797)/AB797</f>
        <v>#DIV/0!</v>
      </c>
    </row>
    <row r="798" customFormat="false" ht="14.25" hidden="false" customHeight="true" outlineLevel="0" collapsed="false">
      <c r="A798" s="18" t="s">
        <v>654</v>
      </c>
      <c r="B798" s="18" t="s">
        <v>654</v>
      </c>
      <c r="C798" s="18" t="s">
        <v>31</v>
      </c>
      <c r="E798" s="2" t="n">
        <f aca="false">INDEX(FieldSites!F:F, MATCH(Ch2_FieldSurvey!B798,FieldSites!C:C,0))</f>
        <v>2399</v>
      </c>
      <c r="F798" s="2" t="n">
        <f aca="false">INDEX(FieldSites!G:G, MATCH(Ch2_FieldSurvey!B798,FieldSites!C:C,0))</f>
        <v>-119.594572</v>
      </c>
      <c r="G798" s="2" t="n">
        <f aca="false">INDEX(FieldSites!H:H, MATCH(Ch2_FieldSurvey!B798,FieldSites!C:C,0))</f>
        <v>37.842693</v>
      </c>
      <c r="H798" s="18" t="n">
        <v>5</v>
      </c>
      <c r="I798" s="21" t="str">
        <f aca="false">CONCATENATE(B798,"_",C798,H798)</f>
        <v>OSKB_M. laciniatus5</v>
      </c>
      <c r="J798" s="22" t="n">
        <v>44714</v>
      </c>
      <c r="K798" s="23" t="n">
        <v>0.513888888888889</v>
      </c>
      <c r="L798" s="22" t="n">
        <v>44715</v>
      </c>
      <c r="M798" s="23" t="n">
        <v>0.411111111111111</v>
      </c>
      <c r="O798" s="1" t="s">
        <v>667</v>
      </c>
      <c r="P798" s="16" t="s">
        <v>656</v>
      </c>
      <c r="Q798" s="16" t="s">
        <v>657</v>
      </c>
      <c r="R798" s="16" t="s">
        <v>658</v>
      </c>
      <c r="S798" s="4" t="s">
        <v>668</v>
      </c>
      <c r="T798" s="24" t="n">
        <v>275</v>
      </c>
      <c r="U798" s="18"/>
      <c r="V798" s="24" t="n">
        <v>0.46</v>
      </c>
      <c r="Z798" s="18" t="s">
        <v>662</v>
      </c>
      <c r="AA798" s="20" t="n">
        <v>193314</v>
      </c>
      <c r="AB798" s="20" t="n">
        <v>321033</v>
      </c>
      <c r="AC798" s="19" t="n">
        <f aca="false">(AB798-AA798)/AB798</f>
        <v>0.397837605479811</v>
      </c>
    </row>
    <row r="799" customFormat="false" ht="14.25" hidden="false" customHeight="true" outlineLevel="0" collapsed="false">
      <c r="A799" s="18" t="s">
        <v>654</v>
      </c>
      <c r="B799" s="18" t="s">
        <v>654</v>
      </c>
      <c r="C799" s="18" t="s">
        <v>31</v>
      </c>
      <c r="E799" s="2" t="n">
        <f aca="false">INDEX(FieldSites!F:F, MATCH(Ch2_FieldSurvey!B799,FieldSites!C:C,0))</f>
        <v>2399</v>
      </c>
      <c r="F799" s="2" t="n">
        <f aca="false">INDEX(FieldSites!G:G, MATCH(Ch2_FieldSurvey!B799,FieldSites!C:C,0))</f>
        <v>-119.594572</v>
      </c>
      <c r="G799" s="2" t="n">
        <f aca="false">INDEX(FieldSites!H:H, MATCH(Ch2_FieldSurvey!B799,FieldSites!C:C,0))</f>
        <v>37.842693</v>
      </c>
      <c r="H799" s="18" t="n">
        <v>5</v>
      </c>
      <c r="I799" s="21" t="str">
        <f aca="false">CONCATENATE(B799,"_",C799,H799)</f>
        <v>OSKB_M. laciniatus5</v>
      </c>
      <c r="J799" s="22" t="n">
        <v>44714</v>
      </c>
      <c r="K799" s="23" t="n">
        <v>0.513888888888889</v>
      </c>
      <c r="L799" s="22" t="n">
        <v>44715</v>
      </c>
      <c r="M799" s="23" t="n">
        <v>0.411111111111111</v>
      </c>
      <c r="O799" s="1" t="s">
        <v>667</v>
      </c>
      <c r="P799" s="16" t="s">
        <v>656</v>
      </c>
      <c r="Q799" s="16" t="s">
        <v>657</v>
      </c>
      <c r="R799" s="16" t="s">
        <v>658</v>
      </c>
      <c r="S799" s="4" t="s">
        <v>668</v>
      </c>
      <c r="T799" s="24" t="n">
        <v>260</v>
      </c>
      <c r="U799" s="18"/>
      <c r="V799" s="24" t="n">
        <v>0.29</v>
      </c>
      <c r="Z799" s="18" t="s">
        <v>662</v>
      </c>
      <c r="AA799" s="20"/>
      <c r="AB799" s="20"/>
      <c r="AC799" s="19" t="e">
        <f aca="false">(AB799-AA799)/AB799</f>
        <v>#DIV/0!</v>
      </c>
    </row>
    <row r="800" customFormat="false" ht="14.25" hidden="false" customHeight="true" outlineLevel="0" collapsed="false">
      <c r="A800" s="18" t="s">
        <v>654</v>
      </c>
      <c r="B800" s="18" t="s">
        <v>654</v>
      </c>
      <c r="C800" s="18" t="s">
        <v>31</v>
      </c>
      <c r="E800" s="2" t="n">
        <f aca="false">INDEX(FieldSites!F:F, MATCH(Ch2_FieldSurvey!B800,FieldSites!C:C,0))</f>
        <v>2399</v>
      </c>
      <c r="F800" s="2" t="n">
        <f aca="false">INDEX(FieldSites!G:G, MATCH(Ch2_FieldSurvey!B800,FieldSites!C:C,0))</f>
        <v>-119.594572</v>
      </c>
      <c r="G800" s="2" t="n">
        <f aca="false">INDEX(FieldSites!H:H, MATCH(Ch2_FieldSurvey!B800,FieldSites!C:C,0))</f>
        <v>37.842693</v>
      </c>
      <c r="H800" s="18" t="n">
        <v>5</v>
      </c>
      <c r="I800" s="21" t="str">
        <f aca="false">CONCATENATE(B800,"_",C800,H800)</f>
        <v>OSKB_M. laciniatus5</v>
      </c>
      <c r="J800" s="22" t="n">
        <v>44714</v>
      </c>
      <c r="K800" s="23" t="n">
        <v>0.513888888888889</v>
      </c>
      <c r="L800" s="22" t="n">
        <v>44715</v>
      </c>
      <c r="M800" s="23" t="n">
        <v>0.411111111111111</v>
      </c>
      <c r="O800" s="1" t="s">
        <v>667</v>
      </c>
      <c r="P800" s="16" t="s">
        <v>656</v>
      </c>
      <c r="Q800" s="16" t="s">
        <v>657</v>
      </c>
      <c r="R800" s="16" t="s">
        <v>658</v>
      </c>
      <c r="S800" s="4" t="s">
        <v>668</v>
      </c>
      <c r="T800" s="24" t="n">
        <v>265</v>
      </c>
      <c r="U800" s="18"/>
      <c r="V800" s="24" t="n">
        <v>0.29</v>
      </c>
      <c r="Z800" s="18" t="s">
        <v>662</v>
      </c>
      <c r="AA800" s="20"/>
      <c r="AB800" s="20"/>
      <c r="AC800" s="19" t="e">
        <f aca="false">(AB800-AA800)/AB800</f>
        <v>#DIV/0!</v>
      </c>
    </row>
    <row r="801" customFormat="false" ht="14.25" hidden="false" customHeight="true" outlineLevel="0" collapsed="false">
      <c r="A801" s="18" t="s">
        <v>654</v>
      </c>
      <c r="B801" s="18" t="s">
        <v>654</v>
      </c>
      <c r="C801" s="18" t="s">
        <v>31</v>
      </c>
      <c r="E801" s="2" t="n">
        <f aca="false">INDEX(FieldSites!F:F, MATCH(Ch2_FieldSurvey!B801,FieldSites!C:C,0))</f>
        <v>2399</v>
      </c>
      <c r="F801" s="2" t="n">
        <f aca="false">INDEX(FieldSites!G:G, MATCH(Ch2_FieldSurvey!B801,FieldSites!C:C,0))</f>
        <v>-119.594572</v>
      </c>
      <c r="G801" s="2" t="n">
        <f aca="false">INDEX(FieldSites!H:H, MATCH(Ch2_FieldSurvey!B801,FieldSites!C:C,0))</f>
        <v>37.842693</v>
      </c>
      <c r="H801" s="18" t="n">
        <v>6</v>
      </c>
      <c r="I801" s="21" t="str">
        <f aca="false">CONCATENATE(B801,"_",C801,H801)</f>
        <v>OSKB_M. laciniatus6</v>
      </c>
      <c r="J801" s="22" t="n">
        <v>44714</v>
      </c>
      <c r="K801" s="23" t="n">
        <v>0.513888888888889</v>
      </c>
      <c r="L801" s="22" t="n">
        <v>44715</v>
      </c>
      <c r="M801" s="23" t="n">
        <v>0.415972222222222</v>
      </c>
      <c r="O801" s="1" t="s">
        <v>669</v>
      </c>
      <c r="P801" s="16" t="s">
        <v>656</v>
      </c>
      <c r="Q801" s="16" t="s">
        <v>657</v>
      </c>
      <c r="R801" s="16" t="s">
        <v>658</v>
      </c>
      <c r="S801" s="4" t="s">
        <v>670</v>
      </c>
      <c r="T801" s="24" t="n">
        <v>205</v>
      </c>
      <c r="U801" s="18"/>
      <c r="V801" s="24" t="n">
        <v>0.4</v>
      </c>
      <c r="Z801" s="18" t="s">
        <v>662</v>
      </c>
      <c r="AA801" s="20" t="n">
        <v>36064</v>
      </c>
      <c r="AB801" s="20" t="n">
        <v>102575</v>
      </c>
      <c r="AC801" s="19" t="n">
        <f aca="false">(AB801-AA801)/AB801</f>
        <v>0.648413356080916</v>
      </c>
    </row>
    <row r="802" customFormat="false" ht="14.25" hidden="false" customHeight="true" outlineLevel="0" collapsed="false">
      <c r="A802" s="18" t="s">
        <v>654</v>
      </c>
      <c r="B802" s="18" t="s">
        <v>654</v>
      </c>
      <c r="C802" s="18" t="s">
        <v>31</v>
      </c>
      <c r="E802" s="2" t="n">
        <f aca="false">INDEX(FieldSites!F:F, MATCH(Ch2_FieldSurvey!B802,FieldSites!C:C,0))</f>
        <v>2399</v>
      </c>
      <c r="F802" s="2" t="n">
        <f aca="false">INDEX(FieldSites!G:G, MATCH(Ch2_FieldSurvey!B802,FieldSites!C:C,0))</f>
        <v>-119.594572</v>
      </c>
      <c r="G802" s="2" t="n">
        <f aca="false">INDEX(FieldSites!H:H, MATCH(Ch2_FieldSurvey!B802,FieldSites!C:C,0))</f>
        <v>37.842693</v>
      </c>
      <c r="H802" s="18" t="n">
        <v>6</v>
      </c>
      <c r="I802" s="21" t="str">
        <f aca="false">CONCATENATE(B802,"_",C802,H802)</f>
        <v>OSKB_M. laciniatus6</v>
      </c>
      <c r="J802" s="22" t="n">
        <v>44714</v>
      </c>
      <c r="K802" s="23" t="n">
        <v>0.513888888888889</v>
      </c>
      <c r="L802" s="22" t="n">
        <v>44715</v>
      </c>
      <c r="M802" s="23" t="n">
        <v>0.415972222222222</v>
      </c>
      <c r="O802" s="1" t="s">
        <v>669</v>
      </c>
      <c r="P802" s="16" t="s">
        <v>656</v>
      </c>
      <c r="Q802" s="16" t="s">
        <v>657</v>
      </c>
      <c r="R802" s="16" t="s">
        <v>658</v>
      </c>
      <c r="S802" s="4" t="s">
        <v>670</v>
      </c>
      <c r="T802" s="24" t="n">
        <v>327</v>
      </c>
      <c r="U802" s="18"/>
      <c r="V802" s="24" t="n">
        <v>0.32</v>
      </c>
      <c r="Z802" s="18" t="s">
        <v>662</v>
      </c>
      <c r="AA802" s="20"/>
      <c r="AB802" s="20"/>
      <c r="AC802" s="19" t="e">
        <f aca="false">(AB802-AA802)/AB802</f>
        <v>#DIV/0!</v>
      </c>
    </row>
    <row r="803" customFormat="false" ht="14.25" hidden="false" customHeight="true" outlineLevel="0" collapsed="false">
      <c r="A803" s="18" t="s">
        <v>654</v>
      </c>
      <c r="B803" s="18" t="s">
        <v>654</v>
      </c>
      <c r="C803" s="18" t="s">
        <v>31</v>
      </c>
      <c r="E803" s="2" t="n">
        <f aca="false">INDEX(FieldSites!F:F, MATCH(Ch2_FieldSurvey!B803,FieldSites!C:C,0))</f>
        <v>2399</v>
      </c>
      <c r="F803" s="2" t="n">
        <f aca="false">INDEX(FieldSites!G:G, MATCH(Ch2_FieldSurvey!B803,FieldSites!C:C,0))</f>
        <v>-119.594572</v>
      </c>
      <c r="G803" s="2" t="n">
        <f aca="false">INDEX(FieldSites!H:H, MATCH(Ch2_FieldSurvey!B803,FieldSites!C:C,0))</f>
        <v>37.842693</v>
      </c>
      <c r="H803" s="18" t="n">
        <v>6</v>
      </c>
      <c r="I803" s="21" t="str">
        <f aca="false">CONCATENATE(B803,"_",C803,H803)</f>
        <v>OSKB_M. laciniatus6</v>
      </c>
      <c r="J803" s="22" t="n">
        <v>44714</v>
      </c>
      <c r="K803" s="23" t="n">
        <v>0.513888888888889</v>
      </c>
      <c r="L803" s="22" t="n">
        <v>44715</v>
      </c>
      <c r="M803" s="23" t="n">
        <v>0.415972222222222</v>
      </c>
      <c r="O803" s="1" t="s">
        <v>669</v>
      </c>
      <c r="P803" s="16" t="s">
        <v>656</v>
      </c>
      <c r="Q803" s="16" t="s">
        <v>657</v>
      </c>
      <c r="R803" s="16" t="s">
        <v>658</v>
      </c>
      <c r="S803" s="4" t="s">
        <v>670</v>
      </c>
      <c r="T803" s="24" t="n">
        <v>345</v>
      </c>
      <c r="U803" s="18"/>
      <c r="V803" s="24" t="n">
        <v>0.41</v>
      </c>
      <c r="Z803" s="18" t="s">
        <v>662</v>
      </c>
      <c r="AA803" s="20"/>
      <c r="AB803" s="20"/>
      <c r="AC803" s="19" t="e">
        <f aca="false">(AB803-AA803)/AB803</f>
        <v>#DIV/0!</v>
      </c>
    </row>
    <row r="804" customFormat="false" ht="14.25" hidden="false" customHeight="true" outlineLevel="0" collapsed="false">
      <c r="A804" s="18" t="s">
        <v>654</v>
      </c>
      <c r="B804" s="18" t="s">
        <v>654</v>
      </c>
      <c r="C804" s="18" t="s">
        <v>31</v>
      </c>
      <c r="E804" s="2" t="n">
        <f aca="false">INDEX(FieldSites!F:F, MATCH(Ch2_FieldSurvey!B804,FieldSites!C:C,0))</f>
        <v>2399</v>
      </c>
      <c r="F804" s="2" t="n">
        <f aca="false">INDEX(FieldSites!G:G, MATCH(Ch2_FieldSurvey!B804,FieldSites!C:C,0))</f>
        <v>-119.594572</v>
      </c>
      <c r="G804" s="2" t="n">
        <f aca="false">INDEX(FieldSites!H:H, MATCH(Ch2_FieldSurvey!B804,FieldSites!C:C,0))</f>
        <v>37.842693</v>
      </c>
      <c r="H804" s="18" t="n">
        <v>7</v>
      </c>
      <c r="I804" s="21" t="str">
        <f aca="false">CONCATENATE(B804,"_",C804,H804)</f>
        <v>OSKB_M. laciniatus7</v>
      </c>
      <c r="J804" s="22" t="n">
        <v>44714</v>
      </c>
      <c r="K804" s="23" t="n">
        <v>0.513888888888889</v>
      </c>
      <c r="L804" s="22" t="n">
        <v>44715</v>
      </c>
      <c r="M804" s="23" t="n">
        <v>0.420138888888889</v>
      </c>
      <c r="O804" s="1" t="s">
        <v>671</v>
      </c>
      <c r="P804" s="16" t="s">
        <v>656</v>
      </c>
      <c r="Q804" s="16" t="s">
        <v>657</v>
      </c>
      <c r="R804" s="16" t="s">
        <v>658</v>
      </c>
      <c r="S804" s="4" t="s">
        <v>672</v>
      </c>
      <c r="T804" s="24" t="n">
        <v>257</v>
      </c>
      <c r="U804" s="18"/>
      <c r="V804" s="24"/>
      <c r="Z804" s="18" t="s">
        <v>673</v>
      </c>
      <c r="AA804" s="20" t="n">
        <v>52920</v>
      </c>
      <c r="AB804" s="20" t="n">
        <v>121789</v>
      </c>
      <c r="AC804" s="19" t="n">
        <f aca="false">(AB804-AA804)/AB804</f>
        <v>0.565477998834049</v>
      </c>
    </row>
    <row r="805" customFormat="false" ht="14.25" hidden="false" customHeight="true" outlineLevel="0" collapsed="false">
      <c r="A805" s="18" t="s">
        <v>654</v>
      </c>
      <c r="B805" s="18" t="s">
        <v>654</v>
      </c>
      <c r="C805" s="18" t="s">
        <v>31</v>
      </c>
      <c r="E805" s="2" t="n">
        <f aca="false">INDEX(FieldSites!F:F, MATCH(Ch2_FieldSurvey!B805,FieldSites!C:C,0))</f>
        <v>2399</v>
      </c>
      <c r="F805" s="2" t="n">
        <f aca="false">INDEX(FieldSites!G:G, MATCH(Ch2_FieldSurvey!B805,FieldSites!C:C,0))</f>
        <v>-119.594572</v>
      </c>
      <c r="G805" s="2" t="n">
        <f aca="false">INDEX(FieldSites!H:H, MATCH(Ch2_FieldSurvey!B805,FieldSites!C:C,0))</f>
        <v>37.842693</v>
      </c>
      <c r="H805" s="18" t="n">
        <v>7</v>
      </c>
      <c r="I805" s="21" t="str">
        <f aca="false">CONCATENATE(B805,"_",C805,H805)</f>
        <v>OSKB_M. laciniatus7</v>
      </c>
      <c r="J805" s="22" t="n">
        <v>44714</v>
      </c>
      <c r="K805" s="23" t="n">
        <v>0.513888888888889</v>
      </c>
      <c r="L805" s="22" t="n">
        <v>44715</v>
      </c>
      <c r="M805" s="23" t="n">
        <v>0.420138888888889</v>
      </c>
      <c r="O805" s="1" t="s">
        <v>671</v>
      </c>
      <c r="P805" s="16" t="s">
        <v>656</v>
      </c>
      <c r="Q805" s="16" t="s">
        <v>657</v>
      </c>
      <c r="R805" s="16" t="s">
        <v>658</v>
      </c>
      <c r="S805" s="4" t="s">
        <v>672</v>
      </c>
      <c r="T805" s="24" t="n">
        <v>210</v>
      </c>
      <c r="U805" s="18"/>
      <c r="V805" s="24"/>
      <c r="Z805" s="18" t="s">
        <v>673</v>
      </c>
      <c r="AA805" s="20"/>
      <c r="AB805" s="20"/>
      <c r="AC805" s="19" t="e">
        <f aca="false">(AB805-AA805)/AB805</f>
        <v>#DIV/0!</v>
      </c>
    </row>
    <row r="806" customFormat="false" ht="14.25" hidden="false" customHeight="true" outlineLevel="0" collapsed="false">
      <c r="A806" s="18" t="s">
        <v>654</v>
      </c>
      <c r="B806" s="18" t="s">
        <v>654</v>
      </c>
      <c r="C806" s="18" t="s">
        <v>31</v>
      </c>
      <c r="E806" s="2" t="n">
        <f aca="false">INDEX(FieldSites!F:F, MATCH(Ch2_FieldSurvey!B806,FieldSites!C:C,0))</f>
        <v>2399</v>
      </c>
      <c r="F806" s="2" t="n">
        <f aca="false">INDEX(FieldSites!G:G, MATCH(Ch2_FieldSurvey!B806,FieldSites!C:C,0))</f>
        <v>-119.594572</v>
      </c>
      <c r="G806" s="2" t="n">
        <f aca="false">INDEX(FieldSites!H:H, MATCH(Ch2_FieldSurvey!B806,FieldSites!C:C,0))</f>
        <v>37.842693</v>
      </c>
      <c r="H806" s="18" t="n">
        <v>7</v>
      </c>
      <c r="I806" s="21" t="str">
        <f aca="false">CONCATENATE(B806,"_",C806,H806)</f>
        <v>OSKB_M. laciniatus7</v>
      </c>
      <c r="J806" s="22" t="n">
        <v>44714</v>
      </c>
      <c r="K806" s="23" t="n">
        <v>0.513888888888889</v>
      </c>
      <c r="L806" s="22" t="n">
        <v>44715</v>
      </c>
      <c r="M806" s="23" t="n">
        <v>0.420138888888889</v>
      </c>
      <c r="O806" s="1" t="s">
        <v>671</v>
      </c>
      <c r="P806" s="16" t="s">
        <v>656</v>
      </c>
      <c r="Q806" s="16" t="s">
        <v>657</v>
      </c>
      <c r="R806" s="16" t="s">
        <v>658</v>
      </c>
      <c r="S806" s="4" t="s">
        <v>672</v>
      </c>
      <c r="T806" s="24" t="n">
        <v>253</v>
      </c>
      <c r="U806" s="18"/>
      <c r="V806" s="24"/>
      <c r="Z806" s="18" t="s">
        <v>673</v>
      </c>
      <c r="AA806" s="20"/>
      <c r="AB806" s="20"/>
      <c r="AC806" s="19" t="e">
        <f aca="false">(AB806-AA806)/AB806</f>
        <v>#DIV/0!</v>
      </c>
    </row>
    <row r="807" customFormat="false" ht="14.25" hidden="false" customHeight="true" outlineLevel="0" collapsed="false">
      <c r="A807" s="18" t="s">
        <v>674</v>
      </c>
      <c r="B807" s="18" t="s">
        <v>674</v>
      </c>
      <c r="C807" s="18" t="s">
        <v>31</v>
      </c>
      <c r="E807" s="2" t="n">
        <f aca="false">INDEX(FieldSites!F:F, MATCH(Ch2_FieldSurvey!B807,FieldSites!C:C,0))</f>
        <v>2348</v>
      </c>
      <c r="F807" s="2" t="n">
        <f aca="false">INDEX(FieldSites!G:G, MATCH(Ch2_FieldSurvey!B807,FieldSites!C:C,0))</f>
        <v>-119.586129</v>
      </c>
      <c r="G807" s="2" t="n">
        <f aca="false">INDEX(FieldSites!H:H, MATCH(Ch2_FieldSurvey!B807,FieldSites!C:C,0))</f>
        <v>37.847194</v>
      </c>
      <c r="H807" s="18" t="n">
        <v>1</v>
      </c>
      <c r="I807" s="21" t="str">
        <f aca="false">CONCATENATE(B807,"_",C807,H807)</f>
        <v>SPLB_M. laciniatus1</v>
      </c>
      <c r="J807" s="22" t="n">
        <v>44714</v>
      </c>
      <c r="K807" s="23" t="n">
        <v>0.498611111111111</v>
      </c>
      <c r="L807" s="22" t="n">
        <v>44715</v>
      </c>
      <c r="M807" s="23" t="n">
        <v>0.428472222222222</v>
      </c>
      <c r="O807" s="1" t="s">
        <v>675</v>
      </c>
      <c r="P807" s="16" t="s">
        <v>656</v>
      </c>
      <c r="Q807" s="16" t="s">
        <v>676</v>
      </c>
      <c r="R807" s="16" t="s">
        <v>658</v>
      </c>
      <c r="S807" s="4" t="s">
        <v>677</v>
      </c>
      <c r="T807" s="24" t="n">
        <v>227</v>
      </c>
      <c r="U807" s="18" t="n">
        <v>3.3</v>
      </c>
      <c r="V807" s="24" t="n">
        <v>0.19</v>
      </c>
      <c r="W807" s="2" t="n">
        <v>0.6</v>
      </c>
      <c r="Z807" s="18"/>
      <c r="AA807" s="20" t="n">
        <v>316997</v>
      </c>
      <c r="AB807" s="20" t="n">
        <v>1051068</v>
      </c>
      <c r="AC807" s="19" t="n">
        <f aca="false">(AB807-AA807)/AB807</f>
        <v>0.698404860579905</v>
      </c>
    </row>
    <row r="808" customFormat="false" ht="14.25" hidden="false" customHeight="true" outlineLevel="0" collapsed="false">
      <c r="A808" s="18" t="s">
        <v>674</v>
      </c>
      <c r="B808" s="18" t="s">
        <v>674</v>
      </c>
      <c r="C808" s="18" t="s">
        <v>31</v>
      </c>
      <c r="E808" s="2" t="n">
        <f aca="false">INDEX(FieldSites!F:F, MATCH(Ch2_FieldSurvey!B808,FieldSites!C:C,0))</f>
        <v>2348</v>
      </c>
      <c r="F808" s="2" t="n">
        <f aca="false">INDEX(FieldSites!G:G, MATCH(Ch2_FieldSurvey!B808,FieldSites!C:C,0))</f>
        <v>-119.586129</v>
      </c>
      <c r="G808" s="2" t="n">
        <f aca="false">INDEX(FieldSites!H:H, MATCH(Ch2_FieldSurvey!B808,FieldSites!C:C,0))</f>
        <v>37.847194</v>
      </c>
      <c r="H808" s="18" t="n">
        <v>1</v>
      </c>
      <c r="I808" s="21" t="str">
        <f aca="false">CONCATENATE(B808,"_",C808,H808)</f>
        <v>SPLB_M. laciniatus1</v>
      </c>
      <c r="J808" s="22" t="n">
        <v>44714</v>
      </c>
      <c r="K808" s="23" t="n">
        <v>0.498611111111111</v>
      </c>
      <c r="L808" s="22" t="n">
        <v>44715</v>
      </c>
      <c r="M808" s="23" t="n">
        <v>0.428472222222222</v>
      </c>
      <c r="O808" s="1" t="s">
        <v>675</v>
      </c>
      <c r="P808" s="16" t="s">
        <v>656</v>
      </c>
      <c r="Q808" s="16" t="s">
        <v>676</v>
      </c>
      <c r="R808" s="16" t="s">
        <v>658</v>
      </c>
      <c r="S808" s="4" t="s">
        <v>677</v>
      </c>
      <c r="T808" s="24" t="n">
        <v>274</v>
      </c>
      <c r="U808" s="18" t="n">
        <v>3</v>
      </c>
      <c r="V808" s="24" t="n">
        <v>0.33</v>
      </c>
      <c r="W808" s="2" t="n">
        <v>0.5</v>
      </c>
      <c r="Z808" s="18"/>
      <c r="AA808" s="20"/>
      <c r="AB808" s="20"/>
      <c r="AC808" s="19" t="e">
        <f aca="false">(AB808-AA808)/AB808</f>
        <v>#DIV/0!</v>
      </c>
    </row>
    <row r="809" customFormat="false" ht="14.25" hidden="false" customHeight="true" outlineLevel="0" collapsed="false">
      <c r="A809" s="18" t="s">
        <v>674</v>
      </c>
      <c r="B809" s="18" t="s">
        <v>674</v>
      </c>
      <c r="C809" s="18" t="s">
        <v>31</v>
      </c>
      <c r="E809" s="2" t="n">
        <f aca="false">INDEX(FieldSites!F:F, MATCH(Ch2_FieldSurvey!B809,FieldSites!C:C,0))</f>
        <v>2348</v>
      </c>
      <c r="F809" s="2" t="n">
        <f aca="false">INDEX(FieldSites!G:G, MATCH(Ch2_FieldSurvey!B809,FieldSites!C:C,0))</f>
        <v>-119.586129</v>
      </c>
      <c r="G809" s="2" t="n">
        <f aca="false">INDEX(FieldSites!H:H, MATCH(Ch2_FieldSurvey!B809,FieldSites!C:C,0))</f>
        <v>37.847194</v>
      </c>
      <c r="H809" s="18" t="n">
        <v>1</v>
      </c>
      <c r="I809" s="21" t="str">
        <f aca="false">CONCATENATE(B809,"_",C809,H809)</f>
        <v>SPLB_M. laciniatus1</v>
      </c>
      <c r="J809" s="22" t="n">
        <v>44714</v>
      </c>
      <c r="K809" s="23" t="n">
        <v>0.498611111111111</v>
      </c>
      <c r="L809" s="22" t="n">
        <v>44715</v>
      </c>
      <c r="M809" s="23" t="n">
        <v>0.428472222222222</v>
      </c>
      <c r="O809" s="1" t="s">
        <v>675</v>
      </c>
      <c r="P809" s="16" t="s">
        <v>656</v>
      </c>
      <c r="Q809" s="16" t="s">
        <v>676</v>
      </c>
      <c r="R809" s="16" t="s">
        <v>658</v>
      </c>
      <c r="S809" s="4" t="s">
        <v>677</v>
      </c>
      <c r="T809" s="24" t="n">
        <v>342</v>
      </c>
      <c r="U809" s="18" t="n">
        <v>4</v>
      </c>
      <c r="V809" s="24" t="n">
        <v>0.39</v>
      </c>
      <c r="W809" s="2" t="n">
        <v>0.4</v>
      </c>
      <c r="Z809" s="18"/>
      <c r="AA809" s="20"/>
      <c r="AB809" s="20"/>
      <c r="AC809" s="19" t="e">
        <f aca="false">(AB809-AA809)/AB809</f>
        <v>#DIV/0!</v>
      </c>
    </row>
    <row r="810" customFormat="false" ht="14.25" hidden="false" customHeight="true" outlineLevel="0" collapsed="false">
      <c r="A810" s="18" t="s">
        <v>674</v>
      </c>
      <c r="B810" s="18" t="s">
        <v>674</v>
      </c>
      <c r="C810" s="18" t="s">
        <v>31</v>
      </c>
      <c r="E810" s="2" t="n">
        <f aca="false">INDEX(FieldSites!F:F, MATCH(Ch2_FieldSurvey!B810,FieldSites!C:C,0))</f>
        <v>2348</v>
      </c>
      <c r="F810" s="2" t="n">
        <f aca="false">INDEX(FieldSites!G:G, MATCH(Ch2_FieldSurvey!B810,FieldSites!C:C,0))</f>
        <v>-119.586129</v>
      </c>
      <c r="G810" s="2" t="n">
        <f aca="false">INDEX(FieldSites!H:H, MATCH(Ch2_FieldSurvey!B810,FieldSites!C:C,0))</f>
        <v>37.847194</v>
      </c>
      <c r="H810" s="18" t="n">
        <v>2</v>
      </c>
      <c r="I810" s="21" t="str">
        <f aca="false">CONCATENATE(B810,"_",C810,H810)</f>
        <v>SPLB_M. laciniatus2</v>
      </c>
      <c r="J810" s="22" t="n">
        <v>44714</v>
      </c>
      <c r="K810" s="23" t="n">
        <v>0.498611111111111</v>
      </c>
      <c r="L810" s="22" t="n">
        <v>44715</v>
      </c>
      <c r="M810" s="23" t="n">
        <v>0.434027777777778</v>
      </c>
      <c r="O810" s="1" t="s">
        <v>678</v>
      </c>
      <c r="P810" s="16" t="s">
        <v>656</v>
      </c>
      <c r="Q810" s="16" t="s">
        <v>676</v>
      </c>
      <c r="R810" s="16" t="s">
        <v>658</v>
      </c>
      <c r="S810" s="4" t="s">
        <v>679</v>
      </c>
      <c r="T810" s="24" t="n">
        <v>405</v>
      </c>
      <c r="U810" s="18" t="n">
        <v>3.8</v>
      </c>
      <c r="V810" s="24" t="n">
        <v>0.38</v>
      </c>
      <c r="W810" s="2" t="n">
        <v>0.5</v>
      </c>
      <c r="Z810" s="18"/>
      <c r="AA810" s="20" t="n">
        <v>525311</v>
      </c>
      <c r="AB810" s="20" t="n">
        <v>1688687</v>
      </c>
      <c r="AC810" s="19" t="n">
        <f aca="false">(AB810-AA810)/AB810</f>
        <v>0.688923406172962</v>
      </c>
    </row>
    <row r="811" customFormat="false" ht="14.25" hidden="false" customHeight="true" outlineLevel="0" collapsed="false">
      <c r="A811" s="18" t="s">
        <v>674</v>
      </c>
      <c r="B811" s="18" t="s">
        <v>674</v>
      </c>
      <c r="C811" s="18" t="s">
        <v>31</v>
      </c>
      <c r="E811" s="2" t="n">
        <f aca="false">INDEX(FieldSites!F:F, MATCH(Ch2_FieldSurvey!B811,FieldSites!C:C,0))</f>
        <v>2348</v>
      </c>
      <c r="F811" s="2" t="n">
        <f aca="false">INDEX(FieldSites!G:G, MATCH(Ch2_FieldSurvey!B811,FieldSites!C:C,0))</f>
        <v>-119.586129</v>
      </c>
      <c r="G811" s="2" t="n">
        <f aca="false">INDEX(FieldSites!H:H, MATCH(Ch2_FieldSurvey!B811,FieldSites!C:C,0))</f>
        <v>37.847194</v>
      </c>
      <c r="H811" s="18" t="n">
        <v>2</v>
      </c>
      <c r="I811" s="21" t="str">
        <f aca="false">CONCATENATE(B811,"_",C811,H811)</f>
        <v>SPLB_M. laciniatus2</v>
      </c>
      <c r="J811" s="22" t="n">
        <v>44714</v>
      </c>
      <c r="K811" s="23" t="n">
        <v>0.498611111111111</v>
      </c>
      <c r="L811" s="22" t="n">
        <v>44715</v>
      </c>
      <c r="M811" s="23" t="n">
        <v>0.434027777777778</v>
      </c>
      <c r="O811" s="1" t="s">
        <v>678</v>
      </c>
      <c r="P811" s="16" t="s">
        <v>656</v>
      </c>
      <c r="Q811" s="16" t="s">
        <v>676</v>
      </c>
      <c r="R811" s="16" t="s">
        <v>658</v>
      </c>
      <c r="S811" s="4" t="s">
        <v>679</v>
      </c>
      <c r="T811" s="24" t="n">
        <v>342</v>
      </c>
      <c r="U811" s="18" t="n">
        <v>3.6</v>
      </c>
      <c r="V811" s="24" t="n">
        <v>0.31</v>
      </c>
      <c r="W811" s="2" t="n">
        <v>0.5</v>
      </c>
      <c r="Z811" s="18"/>
      <c r="AA811" s="20"/>
      <c r="AB811" s="20"/>
      <c r="AC811" s="19" t="e">
        <f aca="false">(AB811-AA811)/AB811</f>
        <v>#DIV/0!</v>
      </c>
    </row>
    <row r="812" customFormat="false" ht="14.25" hidden="false" customHeight="true" outlineLevel="0" collapsed="false">
      <c r="A812" s="18" t="s">
        <v>674</v>
      </c>
      <c r="B812" s="18" t="s">
        <v>674</v>
      </c>
      <c r="C812" s="18" t="s">
        <v>31</v>
      </c>
      <c r="E812" s="2" t="n">
        <f aca="false">INDEX(FieldSites!F:F, MATCH(Ch2_FieldSurvey!B812,FieldSites!C:C,0))</f>
        <v>2348</v>
      </c>
      <c r="F812" s="2" t="n">
        <f aca="false">INDEX(FieldSites!G:G, MATCH(Ch2_FieldSurvey!B812,FieldSites!C:C,0))</f>
        <v>-119.586129</v>
      </c>
      <c r="G812" s="2" t="n">
        <f aca="false">INDEX(FieldSites!H:H, MATCH(Ch2_FieldSurvey!B812,FieldSites!C:C,0))</f>
        <v>37.847194</v>
      </c>
      <c r="H812" s="18" t="n">
        <v>2</v>
      </c>
      <c r="I812" s="21" t="str">
        <f aca="false">CONCATENATE(B812,"_",C812,H812)</f>
        <v>SPLB_M. laciniatus2</v>
      </c>
      <c r="J812" s="22" t="n">
        <v>44714</v>
      </c>
      <c r="K812" s="23" t="n">
        <v>0.498611111111111</v>
      </c>
      <c r="L812" s="22" t="n">
        <v>44715</v>
      </c>
      <c r="M812" s="23" t="n">
        <v>0.434027777777778</v>
      </c>
      <c r="O812" s="1" t="s">
        <v>678</v>
      </c>
      <c r="P812" s="16" t="s">
        <v>656</v>
      </c>
      <c r="Q812" s="16" t="s">
        <v>676</v>
      </c>
      <c r="R812" s="16" t="s">
        <v>658</v>
      </c>
      <c r="S812" s="4" t="s">
        <v>679</v>
      </c>
      <c r="T812" s="24" t="n">
        <v>410</v>
      </c>
      <c r="U812" s="18" t="n">
        <v>5.7</v>
      </c>
      <c r="V812" s="24" t="n">
        <v>0.29</v>
      </c>
      <c r="W812" s="2" t="n">
        <v>0.5</v>
      </c>
      <c r="Z812" s="18"/>
      <c r="AA812" s="20"/>
      <c r="AB812" s="20"/>
      <c r="AC812" s="19" t="e">
        <f aca="false">(AB812-AA812)/AB812</f>
        <v>#DIV/0!</v>
      </c>
    </row>
    <row r="813" customFormat="false" ht="14.25" hidden="false" customHeight="true" outlineLevel="0" collapsed="false">
      <c r="A813" s="18" t="s">
        <v>674</v>
      </c>
      <c r="B813" s="18" t="s">
        <v>674</v>
      </c>
      <c r="C813" s="18" t="s">
        <v>31</v>
      </c>
      <c r="E813" s="2" t="n">
        <f aca="false">INDEX(FieldSites!F:F, MATCH(Ch2_FieldSurvey!B813,FieldSites!C:C,0))</f>
        <v>2348</v>
      </c>
      <c r="F813" s="2" t="n">
        <f aca="false">INDEX(FieldSites!G:G, MATCH(Ch2_FieldSurvey!B813,FieldSites!C:C,0))</f>
        <v>-119.586129</v>
      </c>
      <c r="G813" s="2" t="n">
        <f aca="false">INDEX(FieldSites!H:H, MATCH(Ch2_FieldSurvey!B813,FieldSites!C:C,0))</f>
        <v>37.847194</v>
      </c>
      <c r="H813" s="18" t="n">
        <v>3</v>
      </c>
      <c r="I813" s="21" t="str">
        <f aca="false">CONCATENATE(B813,"_",C813,H813)</f>
        <v>SPLB_M. laciniatus3</v>
      </c>
      <c r="J813" s="22" t="n">
        <v>44714</v>
      </c>
      <c r="K813" s="23" t="n">
        <v>0.498611111111111</v>
      </c>
      <c r="L813" s="22" t="n">
        <v>44715</v>
      </c>
      <c r="M813" s="23" t="n">
        <v>0.438194444444445</v>
      </c>
      <c r="O813" s="1" t="s">
        <v>680</v>
      </c>
      <c r="P813" s="16" t="s">
        <v>656</v>
      </c>
      <c r="Q813" s="16" t="s">
        <v>676</v>
      </c>
      <c r="R813" s="16" t="s">
        <v>658</v>
      </c>
      <c r="S813" s="4" t="s">
        <v>565</v>
      </c>
      <c r="T813" s="24" t="n">
        <v>265</v>
      </c>
      <c r="U813" s="18" t="n">
        <v>2.7</v>
      </c>
      <c r="V813" s="24" t="n">
        <v>0.31</v>
      </c>
      <c r="W813" s="2" t="n">
        <v>0.6</v>
      </c>
      <c r="Z813" s="18"/>
      <c r="AA813" s="20" t="n">
        <v>99938</v>
      </c>
      <c r="AB813" s="20" t="n">
        <v>235709</v>
      </c>
      <c r="AC813" s="19" t="n">
        <f aca="false">(AB813-AA813)/AB813</f>
        <v>0.576011098430692</v>
      </c>
    </row>
    <row r="814" customFormat="false" ht="14.25" hidden="false" customHeight="true" outlineLevel="0" collapsed="false">
      <c r="A814" s="18" t="s">
        <v>674</v>
      </c>
      <c r="B814" s="18" t="s">
        <v>674</v>
      </c>
      <c r="C814" s="18" t="s">
        <v>31</v>
      </c>
      <c r="E814" s="2" t="n">
        <f aca="false">INDEX(FieldSites!F:F, MATCH(Ch2_FieldSurvey!B814,FieldSites!C:C,0))</f>
        <v>2348</v>
      </c>
      <c r="F814" s="2" t="n">
        <f aca="false">INDEX(FieldSites!G:G, MATCH(Ch2_FieldSurvey!B814,FieldSites!C:C,0))</f>
        <v>-119.586129</v>
      </c>
      <c r="G814" s="2" t="n">
        <f aca="false">INDEX(FieldSites!H:H, MATCH(Ch2_FieldSurvey!B814,FieldSites!C:C,0))</f>
        <v>37.847194</v>
      </c>
      <c r="H814" s="18" t="n">
        <v>3</v>
      </c>
      <c r="I814" s="21" t="str">
        <f aca="false">CONCATENATE(B814,"_",C814,H814)</f>
        <v>SPLB_M. laciniatus3</v>
      </c>
      <c r="J814" s="22" t="n">
        <v>44714</v>
      </c>
      <c r="K814" s="23" t="n">
        <v>0.498611111111111</v>
      </c>
      <c r="L814" s="22" t="n">
        <v>44715</v>
      </c>
      <c r="M814" s="23" t="n">
        <v>0.438194444444445</v>
      </c>
      <c r="O814" s="1" t="s">
        <v>680</v>
      </c>
      <c r="P814" s="16" t="s">
        <v>656</v>
      </c>
      <c r="Q814" s="16" t="s">
        <v>676</v>
      </c>
      <c r="R814" s="16" t="s">
        <v>658</v>
      </c>
      <c r="S814" s="4" t="s">
        <v>565</v>
      </c>
      <c r="T814" s="24" t="n">
        <v>445</v>
      </c>
      <c r="U814" s="18" t="n">
        <v>4</v>
      </c>
      <c r="V814" s="24" t="n">
        <v>0.37</v>
      </c>
      <c r="W814" s="2" t="n">
        <v>0.6</v>
      </c>
      <c r="Z814" s="18"/>
      <c r="AA814" s="20"/>
      <c r="AB814" s="20"/>
      <c r="AC814" s="19" t="e">
        <f aca="false">(AB814-AA814)/AB814</f>
        <v>#DIV/0!</v>
      </c>
    </row>
    <row r="815" customFormat="false" ht="14.25" hidden="false" customHeight="true" outlineLevel="0" collapsed="false">
      <c r="A815" s="18" t="s">
        <v>674</v>
      </c>
      <c r="B815" s="18" t="s">
        <v>674</v>
      </c>
      <c r="C815" s="18" t="s">
        <v>31</v>
      </c>
      <c r="E815" s="2" t="n">
        <f aca="false">INDEX(FieldSites!F:F, MATCH(Ch2_FieldSurvey!B815,FieldSites!C:C,0))</f>
        <v>2348</v>
      </c>
      <c r="F815" s="2" t="n">
        <f aca="false">INDEX(FieldSites!G:G, MATCH(Ch2_FieldSurvey!B815,FieldSites!C:C,0))</f>
        <v>-119.586129</v>
      </c>
      <c r="G815" s="2" t="n">
        <f aca="false">INDEX(FieldSites!H:H, MATCH(Ch2_FieldSurvey!B815,FieldSites!C:C,0))</f>
        <v>37.847194</v>
      </c>
      <c r="H815" s="18" t="n">
        <v>3</v>
      </c>
      <c r="I815" s="21" t="str">
        <f aca="false">CONCATENATE(B815,"_",C815,H815)</f>
        <v>SPLB_M. laciniatus3</v>
      </c>
      <c r="J815" s="22" t="n">
        <v>44714</v>
      </c>
      <c r="K815" s="23" t="n">
        <v>0.498611111111111</v>
      </c>
      <c r="L815" s="22" t="n">
        <v>44715</v>
      </c>
      <c r="M815" s="23" t="n">
        <v>0.438194444444445</v>
      </c>
      <c r="O815" s="1" t="s">
        <v>680</v>
      </c>
      <c r="P815" s="16" t="s">
        <v>656</v>
      </c>
      <c r="Q815" s="16" t="s">
        <v>676</v>
      </c>
      <c r="R815" s="16" t="s">
        <v>658</v>
      </c>
      <c r="S815" s="4" t="s">
        <v>565</v>
      </c>
      <c r="T815" s="24" t="n">
        <v>403</v>
      </c>
      <c r="U815" s="18" t="n">
        <v>4.2</v>
      </c>
      <c r="V815" s="24" t="n">
        <v>0.32</v>
      </c>
      <c r="W815" s="2" t="n">
        <v>0.7</v>
      </c>
      <c r="Z815" s="18"/>
      <c r="AA815" s="20"/>
      <c r="AB815" s="20"/>
      <c r="AC815" s="19" t="e">
        <f aca="false">(AB815-AA815)/AB815</f>
        <v>#DIV/0!</v>
      </c>
    </row>
    <row r="816" customFormat="false" ht="14.25" hidden="false" customHeight="true" outlineLevel="0" collapsed="false">
      <c r="A816" s="18" t="s">
        <v>674</v>
      </c>
      <c r="B816" s="18" t="s">
        <v>674</v>
      </c>
      <c r="C816" s="18" t="s">
        <v>31</v>
      </c>
      <c r="E816" s="2" t="n">
        <f aca="false">INDEX(FieldSites!F:F, MATCH(Ch2_FieldSurvey!B816,FieldSites!C:C,0))</f>
        <v>2348</v>
      </c>
      <c r="F816" s="2" t="n">
        <f aca="false">INDEX(FieldSites!G:G, MATCH(Ch2_FieldSurvey!B816,FieldSites!C:C,0))</f>
        <v>-119.586129</v>
      </c>
      <c r="G816" s="2" t="n">
        <f aca="false">INDEX(FieldSites!H:H, MATCH(Ch2_FieldSurvey!B816,FieldSites!C:C,0))</f>
        <v>37.847194</v>
      </c>
      <c r="H816" s="18" t="n">
        <v>4</v>
      </c>
      <c r="I816" s="21" t="str">
        <f aca="false">CONCATENATE(B816,"_",C816,H816)</f>
        <v>SPLB_M. laciniatus4</v>
      </c>
      <c r="J816" s="22" t="n">
        <v>44714</v>
      </c>
      <c r="K816" s="23" t="n">
        <v>0.498611111111111</v>
      </c>
      <c r="L816" s="22" t="n">
        <v>44715</v>
      </c>
      <c r="M816" s="23" t="n">
        <v>0.444444444444444</v>
      </c>
      <c r="O816" s="1" t="s">
        <v>681</v>
      </c>
      <c r="P816" s="16" t="s">
        <v>656</v>
      </c>
      <c r="Q816" s="16" t="s">
        <v>676</v>
      </c>
      <c r="R816" s="16" t="s">
        <v>658</v>
      </c>
      <c r="S816" s="4" t="s">
        <v>682</v>
      </c>
      <c r="T816" s="24" t="n">
        <v>370</v>
      </c>
      <c r="U816" s="18" t="n">
        <v>2.4</v>
      </c>
      <c r="V816" s="24" t="n">
        <v>0.49</v>
      </c>
      <c r="W816" s="2" t="n">
        <v>0.7</v>
      </c>
      <c r="Z816" s="18"/>
      <c r="AA816" s="20" t="n">
        <v>359149</v>
      </c>
      <c r="AB816" s="20" t="n">
        <v>786569</v>
      </c>
      <c r="AC816" s="19" t="n">
        <f aca="false">(AB816-AA816)/AB816</f>
        <v>0.543397972714409</v>
      </c>
    </row>
    <row r="817" customFormat="false" ht="14.25" hidden="false" customHeight="true" outlineLevel="0" collapsed="false">
      <c r="A817" s="18" t="s">
        <v>674</v>
      </c>
      <c r="B817" s="18" t="s">
        <v>674</v>
      </c>
      <c r="C817" s="18" t="s">
        <v>31</v>
      </c>
      <c r="E817" s="2" t="n">
        <f aca="false">INDEX(FieldSites!F:F, MATCH(Ch2_FieldSurvey!B817,FieldSites!C:C,0))</f>
        <v>2348</v>
      </c>
      <c r="F817" s="2" t="n">
        <f aca="false">INDEX(FieldSites!G:G, MATCH(Ch2_FieldSurvey!B817,FieldSites!C:C,0))</f>
        <v>-119.586129</v>
      </c>
      <c r="G817" s="2" t="n">
        <f aca="false">INDEX(FieldSites!H:H, MATCH(Ch2_FieldSurvey!B817,FieldSites!C:C,0))</f>
        <v>37.847194</v>
      </c>
      <c r="H817" s="18" t="n">
        <v>4</v>
      </c>
      <c r="I817" s="21" t="str">
        <f aca="false">CONCATENATE(B817,"_",C817,H817)</f>
        <v>SPLB_M. laciniatus4</v>
      </c>
      <c r="J817" s="22" t="n">
        <v>44714</v>
      </c>
      <c r="K817" s="23" t="n">
        <v>0.498611111111111</v>
      </c>
      <c r="L817" s="22" t="n">
        <v>44715</v>
      </c>
      <c r="M817" s="23" t="n">
        <v>0.444444444444444</v>
      </c>
      <c r="O817" s="1" t="s">
        <v>681</v>
      </c>
      <c r="P817" s="16" t="s">
        <v>656</v>
      </c>
      <c r="Q817" s="16" t="s">
        <v>676</v>
      </c>
      <c r="R817" s="16" t="s">
        <v>658</v>
      </c>
      <c r="S817" s="4" t="s">
        <v>682</v>
      </c>
      <c r="T817" s="24" t="n">
        <v>343</v>
      </c>
      <c r="U817" s="18" t="n">
        <v>2.9</v>
      </c>
      <c r="V817" s="24" t="n">
        <v>0.46</v>
      </c>
      <c r="W817" s="2" t="n">
        <v>0.4</v>
      </c>
      <c r="Z817" s="18"/>
      <c r="AA817" s="20"/>
      <c r="AB817" s="20"/>
      <c r="AC817" s="19" t="e">
        <f aca="false">(AB817-AA817)/AB817</f>
        <v>#DIV/0!</v>
      </c>
    </row>
    <row r="818" customFormat="false" ht="14.25" hidden="false" customHeight="true" outlineLevel="0" collapsed="false">
      <c r="A818" s="18" t="s">
        <v>674</v>
      </c>
      <c r="B818" s="18" t="s">
        <v>674</v>
      </c>
      <c r="C818" s="18" t="s">
        <v>31</v>
      </c>
      <c r="E818" s="2" t="n">
        <f aca="false">INDEX(FieldSites!F:F, MATCH(Ch2_FieldSurvey!B818,FieldSites!C:C,0))</f>
        <v>2348</v>
      </c>
      <c r="F818" s="2" t="n">
        <f aca="false">INDEX(FieldSites!G:G, MATCH(Ch2_FieldSurvey!B818,FieldSites!C:C,0))</f>
        <v>-119.586129</v>
      </c>
      <c r="G818" s="2" t="n">
        <f aca="false">INDEX(FieldSites!H:H, MATCH(Ch2_FieldSurvey!B818,FieldSites!C:C,0))</f>
        <v>37.847194</v>
      </c>
      <c r="H818" s="18" t="n">
        <v>4</v>
      </c>
      <c r="I818" s="21" t="str">
        <f aca="false">CONCATENATE(B818,"_",C818,H818)</f>
        <v>SPLB_M. laciniatus4</v>
      </c>
      <c r="J818" s="22" t="n">
        <v>44714</v>
      </c>
      <c r="K818" s="23" t="n">
        <v>0.498611111111111</v>
      </c>
      <c r="L818" s="22" t="n">
        <v>44715</v>
      </c>
      <c r="M818" s="23" t="n">
        <v>0.444444444444444</v>
      </c>
      <c r="O818" s="1" t="s">
        <v>681</v>
      </c>
      <c r="P818" s="16" t="s">
        <v>656</v>
      </c>
      <c r="Q818" s="16" t="s">
        <v>676</v>
      </c>
      <c r="R818" s="16" t="s">
        <v>658</v>
      </c>
      <c r="S818" s="4" t="s">
        <v>682</v>
      </c>
      <c r="T818" s="24" t="n">
        <v>323</v>
      </c>
      <c r="U818" s="18" t="n">
        <v>3.1</v>
      </c>
      <c r="V818" s="24" t="n">
        <v>0.37</v>
      </c>
      <c r="W818" s="2" t="n">
        <v>0.7</v>
      </c>
      <c r="Z818" s="18"/>
      <c r="AA818" s="20"/>
      <c r="AB818" s="20"/>
      <c r="AC818" s="19" t="e">
        <f aca="false">(AB818-AA818)/AB818</f>
        <v>#DIV/0!</v>
      </c>
    </row>
    <row r="819" customFormat="false" ht="14.25" hidden="false" customHeight="true" outlineLevel="0" collapsed="false">
      <c r="A819" s="18" t="s">
        <v>674</v>
      </c>
      <c r="B819" s="18" t="s">
        <v>674</v>
      </c>
      <c r="C819" s="18" t="s">
        <v>31</v>
      </c>
      <c r="E819" s="2" t="n">
        <f aca="false">INDEX(FieldSites!F:F, MATCH(Ch2_FieldSurvey!B819,FieldSites!C:C,0))</f>
        <v>2348</v>
      </c>
      <c r="F819" s="2" t="n">
        <f aca="false">INDEX(FieldSites!G:G, MATCH(Ch2_FieldSurvey!B819,FieldSites!C:C,0))</f>
        <v>-119.586129</v>
      </c>
      <c r="G819" s="2" t="n">
        <f aca="false">INDEX(FieldSites!H:H, MATCH(Ch2_FieldSurvey!B819,FieldSites!C:C,0))</f>
        <v>37.847194</v>
      </c>
      <c r="H819" s="18" t="n">
        <v>5</v>
      </c>
      <c r="I819" s="21" t="str">
        <f aca="false">CONCATENATE(B819,"_",C819,H819)</f>
        <v>SPLB_M. laciniatus5</v>
      </c>
      <c r="J819" s="22" t="n">
        <v>44714</v>
      </c>
      <c r="K819" s="23" t="n">
        <v>0.498611111111111</v>
      </c>
      <c r="L819" s="22" t="n">
        <v>44715</v>
      </c>
      <c r="M819" s="23" t="n">
        <v>0.452777777777778</v>
      </c>
      <c r="O819" s="1" t="s">
        <v>683</v>
      </c>
      <c r="P819" s="16" t="s">
        <v>656</v>
      </c>
      <c r="Q819" s="16" t="s">
        <v>676</v>
      </c>
      <c r="R819" s="16" t="s">
        <v>658</v>
      </c>
      <c r="S819" s="4" t="s">
        <v>271</v>
      </c>
      <c r="T819" s="24" t="n">
        <v>325</v>
      </c>
      <c r="U819" s="18"/>
      <c r="V819" s="24" t="n">
        <v>0.55</v>
      </c>
      <c r="Z819" s="18" t="s">
        <v>662</v>
      </c>
      <c r="AA819" s="20" t="n">
        <v>381555</v>
      </c>
      <c r="AB819" s="20" t="n">
        <v>1790058</v>
      </c>
      <c r="AC819" s="19" t="n">
        <f aca="false">(AB819-AA819)/AB819</f>
        <v>0.786847688734108</v>
      </c>
    </row>
    <row r="820" customFormat="false" ht="14.25" hidden="false" customHeight="true" outlineLevel="0" collapsed="false">
      <c r="A820" s="18" t="s">
        <v>674</v>
      </c>
      <c r="B820" s="18" t="s">
        <v>674</v>
      </c>
      <c r="C820" s="18" t="s">
        <v>31</v>
      </c>
      <c r="E820" s="2" t="n">
        <f aca="false">INDEX(FieldSites!F:F, MATCH(Ch2_FieldSurvey!B820,FieldSites!C:C,0))</f>
        <v>2348</v>
      </c>
      <c r="F820" s="2" t="n">
        <f aca="false">INDEX(FieldSites!G:G, MATCH(Ch2_FieldSurvey!B820,FieldSites!C:C,0))</f>
        <v>-119.586129</v>
      </c>
      <c r="G820" s="2" t="n">
        <f aca="false">INDEX(FieldSites!H:H, MATCH(Ch2_FieldSurvey!B820,FieldSites!C:C,0))</f>
        <v>37.847194</v>
      </c>
      <c r="H820" s="18" t="n">
        <v>5</v>
      </c>
      <c r="I820" s="21" t="str">
        <f aca="false">CONCATENATE(B820,"_",C820,H820)</f>
        <v>SPLB_M. laciniatus5</v>
      </c>
      <c r="J820" s="22" t="n">
        <v>44714</v>
      </c>
      <c r="K820" s="23" t="n">
        <v>0.498611111111111</v>
      </c>
      <c r="L820" s="22" t="n">
        <v>44715</v>
      </c>
      <c r="M820" s="23" t="n">
        <v>0.452777777777778</v>
      </c>
      <c r="O820" s="1" t="s">
        <v>683</v>
      </c>
      <c r="P820" s="16" t="s">
        <v>656</v>
      </c>
      <c r="Q820" s="16" t="s">
        <v>676</v>
      </c>
      <c r="R820" s="16" t="s">
        <v>658</v>
      </c>
      <c r="S820" s="4" t="s">
        <v>271</v>
      </c>
      <c r="T820" s="24" t="n">
        <v>239</v>
      </c>
      <c r="U820" s="18"/>
      <c r="V820" s="24" t="n">
        <v>0.41</v>
      </c>
      <c r="Z820" s="18" t="s">
        <v>662</v>
      </c>
      <c r="AA820" s="20"/>
      <c r="AB820" s="20"/>
      <c r="AC820" s="19" t="e">
        <f aca="false">(AB820-AA820)/AB820</f>
        <v>#DIV/0!</v>
      </c>
    </row>
    <row r="821" customFormat="false" ht="14.25" hidden="false" customHeight="true" outlineLevel="0" collapsed="false">
      <c r="A821" s="18" t="s">
        <v>674</v>
      </c>
      <c r="B821" s="18" t="s">
        <v>674</v>
      </c>
      <c r="C821" s="18" t="s">
        <v>31</v>
      </c>
      <c r="E821" s="2" t="n">
        <f aca="false">INDEX(FieldSites!F:F, MATCH(Ch2_FieldSurvey!B821,FieldSites!C:C,0))</f>
        <v>2348</v>
      </c>
      <c r="F821" s="2" t="n">
        <f aca="false">INDEX(FieldSites!G:G, MATCH(Ch2_FieldSurvey!B821,FieldSites!C:C,0))</f>
        <v>-119.586129</v>
      </c>
      <c r="G821" s="2" t="n">
        <f aca="false">INDEX(FieldSites!H:H, MATCH(Ch2_FieldSurvey!B821,FieldSites!C:C,0))</f>
        <v>37.847194</v>
      </c>
      <c r="H821" s="18" t="n">
        <v>5</v>
      </c>
      <c r="I821" s="21" t="str">
        <f aca="false">CONCATENATE(B821,"_",C821,H821)</f>
        <v>SPLB_M. laciniatus5</v>
      </c>
      <c r="J821" s="22" t="n">
        <v>44714</v>
      </c>
      <c r="K821" s="23" t="n">
        <v>0.498611111111111</v>
      </c>
      <c r="L821" s="22" t="n">
        <v>44715</v>
      </c>
      <c r="M821" s="23" t="n">
        <v>0.452777777777778</v>
      </c>
      <c r="O821" s="1" t="s">
        <v>683</v>
      </c>
      <c r="P821" s="16" t="s">
        <v>656</v>
      </c>
      <c r="Q821" s="16" t="s">
        <v>676</v>
      </c>
      <c r="R821" s="16" t="s">
        <v>658</v>
      </c>
      <c r="S821" s="4" t="s">
        <v>271</v>
      </c>
      <c r="T821" s="24" t="n">
        <v>273</v>
      </c>
      <c r="U821" s="18"/>
      <c r="V821" s="24" t="n">
        <v>0.62</v>
      </c>
      <c r="Z821" s="18" t="s">
        <v>662</v>
      </c>
      <c r="AA821" s="20"/>
      <c r="AB821" s="20"/>
      <c r="AC821" s="19" t="e">
        <f aca="false">(AB821-AA821)/AB821</f>
        <v>#DIV/0!</v>
      </c>
    </row>
    <row r="822" customFormat="false" ht="14.25" hidden="false" customHeight="true" outlineLevel="0" collapsed="false">
      <c r="A822" s="18" t="s">
        <v>674</v>
      </c>
      <c r="B822" s="18" t="s">
        <v>674</v>
      </c>
      <c r="C822" s="18" t="s">
        <v>31</v>
      </c>
      <c r="E822" s="2" t="n">
        <f aca="false">INDEX(FieldSites!F:F, MATCH(Ch2_FieldSurvey!B822,FieldSites!C:C,0))</f>
        <v>2348</v>
      </c>
      <c r="F822" s="2" t="n">
        <f aca="false">INDEX(FieldSites!G:G, MATCH(Ch2_FieldSurvey!B822,FieldSites!C:C,0))</f>
        <v>-119.586129</v>
      </c>
      <c r="G822" s="2" t="n">
        <f aca="false">INDEX(FieldSites!H:H, MATCH(Ch2_FieldSurvey!B822,FieldSites!C:C,0))</f>
        <v>37.847194</v>
      </c>
      <c r="H822" s="18" t="n">
        <v>6</v>
      </c>
      <c r="I822" s="21" t="str">
        <f aca="false">CONCATENATE(B822,"_",C822,H822)</f>
        <v>SPLB_M. laciniatus6</v>
      </c>
      <c r="J822" s="22" t="n">
        <v>44714</v>
      </c>
      <c r="K822" s="23" t="n">
        <v>0.498611111111111</v>
      </c>
      <c r="L822" s="22" t="n">
        <v>44715</v>
      </c>
      <c r="M822" s="23" t="n">
        <v>0.457638888888889</v>
      </c>
      <c r="O822" s="1" t="s">
        <v>684</v>
      </c>
      <c r="P822" s="16" t="s">
        <v>656</v>
      </c>
      <c r="Q822" s="16" t="s">
        <v>676</v>
      </c>
      <c r="R822" s="16" t="s">
        <v>658</v>
      </c>
      <c r="S822" s="4" t="s">
        <v>572</v>
      </c>
      <c r="T822" s="24" t="n">
        <v>386</v>
      </c>
      <c r="U822" s="18" t="n">
        <v>4.7</v>
      </c>
      <c r="V822" s="24" t="n">
        <v>0.34</v>
      </c>
      <c r="W822" s="2" t="n">
        <v>0.6</v>
      </c>
      <c r="Z822" s="18"/>
      <c r="AA822" s="20" t="n">
        <v>403294</v>
      </c>
      <c r="AB822" s="20" t="n">
        <v>1189949</v>
      </c>
      <c r="AC822" s="19" t="n">
        <f aca="false">(AB822-AA822)/AB822</f>
        <v>0.661082953975338</v>
      </c>
    </row>
    <row r="823" customFormat="false" ht="14.25" hidden="false" customHeight="true" outlineLevel="0" collapsed="false">
      <c r="A823" s="18" t="s">
        <v>674</v>
      </c>
      <c r="B823" s="18" t="s">
        <v>674</v>
      </c>
      <c r="C823" s="18" t="s">
        <v>31</v>
      </c>
      <c r="E823" s="2" t="n">
        <f aca="false">INDEX(FieldSites!F:F, MATCH(Ch2_FieldSurvey!B823,FieldSites!C:C,0))</f>
        <v>2348</v>
      </c>
      <c r="F823" s="2" t="n">
        <f aca="false">INDEX(FieldSites!G:G, MATCH(Ch2_FieldSurvey!B823,FieldSites!C:C,0))</f>
        <v>-119.586129</v>
      </c>
      <c r="G823" s="2" t="n">
        <f aca="false">INDEX(FieldSites!H:H, MATCH(Ch2_FieldSurvey!B823,FieldSites!C:C,0))</f>
        <v>37.847194</v>
      </c>
      <c r="H823" s="18" t="n">
        <v>6</v>
      </c>
      <c r="I823" s="21" t="str">
        <f aca="false">CONCATENATE(B823,"_",C823,H823)</f>
        <v>SPLB_M. laciniatus6</v>
      </c>
      <c r="J823" s="22" t="n">
        <v>44714</v>
      </c>
      <c r="K823" s="23" t="n">
        <v>0.498611111111111</v>
      </c>
      <c r="L823" s="22" t="n">
        <v>44715</v>
      </c>
      <c r="M823" s="23" t="n">
        <v>0.457638888888889</v>
      </c>
      <c r="O823" s="1" t="s">
        <v>684</v>
      </c>
      <c r="P823" s="16" t="s">
        <v>656</v>
      </c>
      <c r="Q823" s="16" t="s">
        <v>676</v>
      </c>
      <c r="R823" s="16" t="s">
        <v>658</v>
      </c>
      <c r="S823" s="4" t="s">
        <v>572</v>
      </c>
      <c r="T823" s="24" t="n">
        <v>338</v>
      </c>
      <c r="U823" s="18" t="n">
        <v>4.4</v>
      </c>
      <c r="V823" s="24" t="n">
        <v>0.61</v>
      </c>
      <c r="W823" s="2" t="n">
        <v>0.7</v>
      </c>
      <c r="Z823" s="18"/>
      <c r="AA823" s="20"/>
      <c r="AB823" s="20"/>
      <c r="AC823" s="19" t="e">
        <f aca="false">(AB823-AA823)/AB823</f>
        <v>#DIV/0!</v>
      </c>
    </row>
    <row r="824" customFormat="false" ht="14.25" hidden="false" customHeight="true" outlineLevel="0" collapsed="false">
      <c r="A824" s="18" t="s">
        <v>674</v>
      </c>
      <c r="B824" s="18" t="s">
        <v>674</v>
      </c>
      <c r="C824" s="18" t="s">
        <v>31</v>
      </c>
      <c r="E824" s="2" t="n">
        <f aca="false">INDEX(FieldSites!F:F, MATCH(Ch2_FieldSurvey!B824,FieldSites!C:C,0))</f>
        <v>2348</v>
      </c>
      <c r="F824" s="2" t="n">
        <f aca="false">INDEX(FieldSites!G:G, MATCH(Ch2_FieldSurvey!B824,FieldSites!C:C,0))</f>
        <v>-119.586129</v>
      </c>
      <c r="G824" s="2" t="n">
        <f aca="false">INDEX(FieldSites!H:H, MATCH(Ch2_FieldSurvey!B824,FieldSites!C:C,0))</f>
        <v>37.847194</v>
      </c>
      <c r="H824" s="18" t="n">
        <v>6</v>
      </c>
      <c r="I824" s="21" t="str">
        <f aca="false">CONCATENATE(B824,"_",C824,H824)</f>
        <v>SPLB_M. laciniatus6</v>
      </c>
      <c r="J824" s="22" t="n">
        <v>44714</v>
      </c>
      <c r="K824" s="23" t="n">
        <v>0.498611111111111</v>
      </c>
      <c r="L824" s="22" t="n">
        <v>44715</v>
      </c>
      <c r="M824" s="23" t="n">
        <v>0.457638888888889</v>
      </c>
      <c r="O824" s="1" t="s">
        <v>684</v>
      </c>
      <c r="P824" s="16" t="s">
        <v>656</v>
      </c>
      <c r="Q824" s="16" t="s">
        <v>676</v>
      </c>
      <c r="R824" s="16" t="s">
        <v>658</v>
      </c>
      <c r="S824" s="4" t="s">
        <v>572</v>
      </c>
      <c r="T824" s="24" t="n">
        <v>451</v>
      </c>
      <c r="U824" s="18" t="n">
        <v>4</v>
      </c>
      <c r="V824" s="24" t="n">
        <v>0.44</v>
      </c>
      <c r="W824" s="2" t="n">
        <v>0.7</v>
      </c>
      <c r="Z824" s="18"/>
      <c r="AA824" s="20"/>
      <c r="AB824" s="20"/>
      <c r="AC824" s="19" t="e">
        <f aca="false">(AB824-AA824)/AB824</f>
        <v>#DIV/0!</v>
      </c>
    </row>
    <row r="825" customFormat="false" ht="14.25" hidden="false" customHeight="true" outlineLevel="0" collapsed="false">
      <c r="A825" s="18" t="s">
        <v>674</v>
      </c>
      <c r="B825" s="18" t="s">
        <v>674</v>
      </c>
      <c r="C825" s="18" t="s">
        <v>31</v>
      </c>
      <c r="E825" s="2" t="n">
        <f aca="false">INDEX(FieldSites!F:F, MATCH(Ch2_FieldSurvey!B825,FieldSites!C:C,0))</f>
        <v>2348</v>
      </c>
      <c r="F825" s="2" t="n">
        <f aca="false">INDEX(FieldSites!G:G, MATCH(Ch2_FieldSurvey!B825,FieldSites!C:C,0))</f>
        <v>-119.586129</v>
      </c>
      <c r="G825" s="2" t="n">
        <f aca="false">INDEX(FieldSites!H:H, MATCH(Ch2_FieldSurvey!B825,FieldSites!C:C,0))</f>
        <v>37.847194</v>
      </c>
      <c r="H825" s="18" t="n">
        <v>7</v>
      </c>
      <c r="I825" s="21" t="str">
        <f aca="false">CONCATENATE(B825,"_",C825,H825)</f>
        <v>SPLB_M. laciniatus7</v>
      </c>
      <c r="J825" s="22" t="n">
        <v>44714</v>
      </c>
      <c r="K825" s="23" t="n">
        <v>0.498611111111111</v>
      </c>
      <c r="L825" s="22" t="n">
        <v>44715</v>
      </c>
      <c r="M825" s="23" t="n">
        <v>0.461805555555556</v>
      </c>
      <c r="O825" s="1" t="s">
        <v>685</v>
      </c>
      <c r="P825" s="16" t="s">
        <v>656</v>
      </c>
      <c r="Q825" s="16" t="s">
        <v>676</v>
      </c>
      <c r="R825" s="16" t="s">
        <v>658</v>
      </c>
      <c r="S825" s="4" t="s">
        <v>276</v>
      </c>
      <c r="T825" s="24" t="n">
        <v>465</v>
      </c>
      <c r="U825" s="18" t="n">
        <v>3.8</v>
      </c>
      <c r="V825" s="24" t="n">
        <v>0.35</v>
      </c>
      <c r="W825" s="2" t="n">
        <v>0.5</v>
      </c>
      <c r="Z825" s="18"/>
      <c r="AA825" s="20" t="n">
        <v>159818</v>
      </c>
      <c r="AB825" s="20" t="n">
        <v>378172</v>
      </c>
      <c r="AC825" s="19" t="n">
        <f aca="false">(AB825-AA825)/AB825</f>
        <v>0.577393355404419</v>
      </c>
    </row>
    <row r="826" customFormat="false" ht="14.25" hidden="false" customHeight="true" outlineLevel="0" collapsed="false">
      <c r="A826" s="18" t="s">
        <v>674</v>
      </c>
      <c r="B826" s="18" t="s">
        <v>674</v>
      </c>
      <c r="C826" s="18" t="s">
        <v>31</v>
      </c>
      <c r="E826" s="2" t="n">
        <f aca="false">INDEX(FieldSites!F:F, MATCH(Ch2_FieldSurvey!B826,FieldSites!C:C,0))</f>
        <v>2348</v>
      </c>
      <c r="F826" s="2" t="n">
        <f aca="false">INDEX(FieldSites!G:G, MATCH(Ch2_FieldSurvey!B826,FieldSites!C:C,0))</f>
        <v>-119.586129</v>
      </c>
      <c r="G826" s="2" t="n">
        <f aca="false">INDEX(FieldSites!H:H, MATCH(Ch2_FieldSurvey!B826,FieldSites!C:C,0))</f>
        <v>37.847194</v>
      </c>
      <c r="H826" s="18" t="n">
        <v>7</v>
      </c>
      <c r="I826" s="21" t="str">
        <f aca="false">CONCATENATE(B826,"_",C826,H826)</f>
        <v>SPLB_M. laciniatus7</v>
      </c>
      <c r="J826" s="22" t="n">
        <v>44714</v>
      </c>
      <c r="K826" s="23" t="n">
        <v>0.498611111111111</v>
      </c>
      <c r="L826" s="22" t="n">
        <v>44715</v>
      </c>
      <c r="M826" s="23" t="n">
        <v>0.461805555555556</v>
      </c>
      <c r="O826" s="1" t="s">
        <v>685</v>
      </c>
      <c r="P826" s="16" t="s">
        <v>656</v>
      </c>
      <c r="Q826" s="16" t="s">
        <v>676</v>
      </c>
      <c r="R826" s="16" t="s">
        <v>658</v>
      </c>
      <c r="S826" s="4" t="s">
        <v>276</v>
      </c>
      <c r="T826" s="24" t="n">
        <v>405</v>
      </c>
      <c r="U826" s="18" t="n">
        <v>4.3</v>
      </c>
      <c r="V826" s="24" t="n">
        <v>0.43</v>
      </c>
      <c r="W826" s="2" t="n">
        <v>0.6</v>
      </c>
      <c r="Z826" s="18"/>
      <c r="AA826" s="20"/>
      <c r="AB826" s="20"/>
      <c r="AC826" s="19" t="e">
        <f aca="false">(AB826-AA826)/AB826</f>
        <v>#DIV/0!</v>
      </c>
    </row>
    <row r="827" customFormat="false" ht="14.25" hidden="false" customHeight="true" outlineLevel="0" collapsed="false">
      <c r="A827" s="18" t="s">
        <v>674</v>
      </c>
      <c r="B827" s="18" t="s">
        <v>674</v>
      </c>
      <c r="C827" s="18" t="s">
        <v>31</v>
      </c>
      <c r="E827" s="2" t="n">
        <f aca="false">INDEX(FieldSites!F:F, MATCH(Ch2_FieldSurvey!B827,FieldSites!C:C,0))</f>
        <v>2348</v>
      </c>
      <c r="F827" s="2" t="n">
        <f aca="false">INDEX(FieldSites!G:G, MATCH(Ch2_FieldSurvey!B827,FieldSites!C:C,0))</f>
        <v>-119.586129</v>
      </c>
      <c r="G827" s="2" t="n">
        <f aca="false">INDEX(FieldSites!H:H, MATCH(Ch2_FieldSurvey!B827,FieldSites!C:C,0))</f>
        <v>37.847194</v>
      </c>
      <c r="H827" s="18" t="n">
        <v>7</v>
      </c>
      <c r="I827" s="21" t="str">
        <f aca="false">CONCATENATE(B827,"_",C827,H827)</f>
        <v>SPLB_M. laciniatus7</v>
      </c>
      <c r="J827" s="22" t="n">
        <v>44714</v>
      </c>
      <c r="K827" s="23" t="n">
        <v>0.498611111111111</v>
      </c>
      <c r="L827" s="22" t="n">
        <v>44715</v>
      </c>
      <c r="M827" s="23" t="n">
        <v>0.461805555555556</v>
      </c>
      <c r="O827" s="1" t="s">
        <v>685</v>
      </c>
      <c r="P827" s="16" t="s">
        <v>656</v>
      </c>
      <c r="Q827" s="16" t="s">
        <v>676</v>
      </c>
      <c r="R827" s="16" t="s">
        <v>658</v>
      </c>
      <c r="S827" s="4" t="s">
        <v>276</v>
      </c>
      <c r="T827" s="24" t="n">
        <v>416</v>
      </c>
      <c r="U827" s="18" t="n">
        <v>3.4</v>
      </c>
      <c r="V827" s="24" t="n">
        <v>0.37</v>
      </c>
      <c r="W827" s="2" t="n">
        <v>0.6</v>
      </c>
      <c r="Z827" s="18"/>
      <c r="AA827" s="20"/>
      <c r="AB827" s="20"/>
      <c r="AC827" s="19" t="e">
        <f aca="false">(AB827-AA827)/AB827</f>
        <v>#DIV/0!</v>
      </c>
    </row>
    <row r="828" customFormat="false" ht="14.25" hidden="false" customHeight="true" outlineLevel="0" collapsed="false">
      <c r="A828" s="18" t="s">
        <v>674</v>
      </c>
      <c r="B828" s="18" t="s">
        <v>674</v>
      </c>
      <c r="C828" s="18" t="s">
        <v>31</v>
      </c>
      <c r="E828" s="2" t="n">
        <f aca="false">INDEX(FieldSites!F:F, MATCH(Ch2_FieldSurvey!B828,FieldSites!C:C,0))</f>
        <v>2348</v>
      </c>
      <c r="F828" s="2" t="n">
        <f aca="false">INDEX(FieldSites!G:G, MATCH(Ch2_FieldSurvey!B828,FieldSites!C:C,0))</f>
        <v>-119.586129</v>
      </c>
      <c r="G828" s="2" t="n">
        <f aca="false">INDEX(FieldSites!H:H, MATCH(Ch2_FieldSurvey!B828,FieldSites!C:C,0))</f>
        <v>37.847194</v>
      </c>
      <c r="H828" s="18" t="n">
        <v>8</v>
      </c>
      <c r="I828" s="21" t="str">
        <f aca="false">CONCATENATE(B828,"_",C828,H828)</f>
        <v>SPLB_M. laciniatus8</v>
      </c>
      <c r="J828" s="22" t="n">
        <v>44714</v>
      </c>
      <c r="K828" s="23" t="n">
        <v>0.498611111111111</v>
      </c>
      <c r="L828" s="22" t="n">
        <v>44715</v>
      </c>
      <c r="M828" s="23" t="n">
        <v>0.472222222222222</v>
      </c>
      <c r="O828" s="1" t="s">
        <v>686</v>
      </c>
      <c r="P828" s="16" t="s">
        <v>656</v>
      </c>
      <c r="Q828" s="16" t="s">
        <v>676</v>
      </c>
      <c r="R828" s="16" t="s">
        <v>658</v>
      </c>
      <c r="S828" s="4" t="s">
        <v>140</v>
      </c>
      <c r="T828" s="24" t="n">
        <v>321</v>
      </c>
      <c r="U828" s="18" t="n">
        <v>2.8</v>
      </c>
      <c r="V828" s="24" t="n">
        <v>0.49</v>
      </c>
      <c r="W828" s="2" t="n">
        <v>0.3</v>
      </c>
      <c r="Z828" s="18"/>
      <c r="AA828" s="20" t="n">
        <v>138165</v>
      </c>
      <c r="AB828" s="20" t="n">
        <v>519723</v>
      </c>
      <c r="AC828" s="19" t="n">
        <f aca="false">(AB828-AA828)/AB828</f>
        <v>0.734156464116462</v>
      </c>
    </row>
    <row r="829" customFormat="false" ht="14.25" hidden="false" customHeight="true" outlineLevel="0" collapsed="false">
      <c r="A829" s="18" t="s">
        <v>674</v>
      </c>
      <c r="B829" s="18" t="s">
        <v>674</v>
      </c>
      <c r="C829" s="18" t="s">
        <v>31</v>
      </c>
      <c r="E829" s="2" t="n">
        <f aca="false">INDEX(FieldSites!F:F, MATCH(Ch2_FieldSurvey!B829,FieldSites!C:C,0))</f>
        <v>2348</v>
      </c>
      <c r="F829" s="2" t="n">
        <f aca="false">INDEX(FieldSites!G:G, MATCH(Ch2_FieldSurvey!B829,FieldSites!C:C,0))</f>
        <v>-119.586129</v>
      </c>
      <c r="G829" s="2" t="n">
        <f aca="false">INDEX(FieldSites!H:H, MATCH(Ch2_FieldSurvey!B829,FieldSites!C:C,0))</f>
        <v>37.847194</v>
      </c>
      <c r="H829" s="18" t="n">
        <v>8</v>
      </c>
      <c r="I829" s="21" t="str">
        <f aca="false">CONCATENATE(B829,"_",C829,H829)</f>
        <v>SPLB_M. laciniatus8</v>
      </c>
      <c r="J829" s="22" t="n">
        <v>44714</v>
      </c>
      <c r="K829" s="23" t="n">
        <v>0.498611111111111</v>
      </c>
      <c r="L829" s="22" t="n">
        <v>44715</v>
      </c>
      <c r="M829" s="23" t="n">
        <v>0.472222222222222</v>
      </c>
      <c r="O829" s="1" t="s">
        <v>686</v>
      </c>
      <c r="P829" s="16" t="s">
        <v>656</v>
      </c>
      <c r="Q829" s="16" t="s">
        <v>676</v>
      </c>
      <c r="R829" s="16" t="s">
        <v>658</v>
      </c>
      <c r="S829" s="4" t="s">
        <v>140</v>
      </c>
      <c r="T829" s="24" t="n">
        <v>343</v>
      </c>
      <c r="U829" s="18" t="n">
        <v>2.7</v>
      </c>
      <c r="V829" s="24" t="n">
        <v>0.52</v>
      </c>
      <c r="W829" s="2" t="n">
        <v>0.2</v>
      </c>
      <c r="Z829" s="18"/>
      <c r="AA829" s="20"/>
      <c r="AB829" s="20"/>
      <c r="AC829" s="19" t="e">
        <f aca="false">(AB829-AA829)/AB829</f>
        <v>#DIV/0!</v>
      </c>
    </row>
    <row r="830" customFormat="false" ht="14.25" hidden="false" customHeight="true" outlineLevel="0" collapsed="false">
      <c r="A830" s="18" t="s">
        <v>674</v>
      </c>
      <c r="B830" s="18" t="s">
        <v>674</v>
      </c>
      <c r="C830" s="18" t="s">
        <v>31</v>
      </c>
      <c r="E830" s="2" t="n">
        <f aca="false">INDEX(FieldSites!F:F, MATCH(Ch2_FieldSurvey!B830,FieldSites!C:C,0))</f>
        <v>2348</v>
      </c>
      <c r="F830" s="2" t="n">
        <f aca="false">INDEX(FieldSites!G:G, MATCH(Ch2_FieldSurvey!B830,FieldSites!C:C,0))</f>
        <v>-119.586129</v>
      </c>
      <c r="G830" s="2" t="n">
        <f aca="false">INDEX(FieldSites!H:H, MATCH(Ch2_FieldSurvey!B830,FieldSites!C:C,0))</f>
        <v>37.847194</v>
      </c>
      <c r="H830" s="18" t="n">
        <v>8</v>
      </c>
      <c r="I830" s="21" t="str">
        <f aca="false">CONCATENATE(B830,"_",C830,H830)</f>
        <v>SPLB_M. laciniatus8</v>
      </c>
      <c r="J830" s="22" t="n">
        <v>44714</v>
      </c>
      <c r="K830" s="23" t="n">
        <v>0.498611111111111</v>
      </c>
      <c r="L830" s="22" t="n">
        <v>44715</v>
      </c>
      <c r="M830" s="23" t="n">
        <v>0.472222222222222</v>
      </c>
      <c r="O830" s="1" t="s">
        <v>686</v>
      </c>
      <c r="P830" s="16" t="s">
        <v>656</v>
      </c>
      <c r="Q830" s="16" t="s">
        <v>676</v>
      </c>
      <c r="R830" s="16" t="s">
        <v>658</v>
      </c>
      <c r="S830" s="4" t="s">
        <v>140</v>
      </c>
      <c r="T830" s="24" t="n">
        <v>305</v>
      </c>
      <c r="U830" s="18" t="n">
        <v>3.2</v>
      </c>
      <c r="V830" s="24" t="n">
        <v>0.39</v>
      </c>
      <c r="Z830" s="18" t="s">
        <v>581</v>
      </c>
      <c r="AA830" s="20"/>
      <c r="AB830" s="20"/>
      <c r="AC830" s="19" t="e">
        <f aca="false">(AB830-AA830)/AB830</f>
        <v>#DIV/0!</v>
      </c>
    </row>
    <row r="831" customFormat="false" ht="14.25" hidden="false" customHeight="true" outlineLevel="0" collapsed="false">
      <c r="A831" s="18" t="s">
        <v>674</v>
      </c>
      <c r="B831" s="18" t="s">
        <v>674</v>
      </c>
      <c r="C831" s="18" t="s">
        <v>31</v>
      </c>
      <c r="E831" s="2" t="n">
        <f aca="false">INDEX(FieldSites!F:F, MATCH(Ch2_FieldSurvey!B831,FieldSites!C:C,0))</f>
        <v>2348</v>
      </c>
      <c r="F831" s="2" t="n">
        <f aca="false">INDEX(FieldSites!G:G, MATCH(Ch2_FieldSurvey!B831,FieldSites!C:C,0))</f>
        <v>-119.586129</v>
      </c>
      <c r="G831" s="2" t="n">
        <f aca="false">INDEX(FieldSites!H:H, MATCH(Ch2_FieldSurvey!B831,FieldSites!C:C,0))</f>
        <v>37.847194</v>
      </c>
      <c r="H831" s="18" t="n">
        <v>9</v>
      </c>
      <c r="I831" s="21" t="str">
        <f aca="false">CONCATENATE(B831,"_",C831,H831)</f>
        <v>SPLB_M. laciniatus9</v>
      </c>
      <c r="J831" s="22" t="n">
        <v>44714</v>
      </c>
      <c r="K831" s="23" t="n">
        <v>0.498611111111111</v>
      </c>
      <c r="L831" s="22" t="n">
        <v>44715</v>
      </c>
      <c r="M831" s="23" t="n">
        <v>0.477777777777778</v>
      </c>
      <c r="O831" s="1" t="s">
        <v>687</v>
      </c>
      <c r="P831" s="16" t="s">
        <v>656</v>
      </c>
      <c r="Q831" s="16" t="s">
        <v>676</v>
      </c>
      <c r="R831" s="16" t="s">
        <v>658</v>
      </c>
      <c r="S831" s="4" t="s">
        <v>426</v>
      </c>
      <c r="T831" s="24" t="n">
        <v>461</v>
      </c>
      <c r="U831" s="18" t="n">
        <v>6</v>
      </c>
      <c r="V831" s="24" t="n">
        <v>0.61</v>
      </c>
      <c r="W831" s="2" t="n">
        <v>0.9</v>
      </c>
      <c r="Z831" s="18"/>
      <c r="AA831" s="20" t="n">
        <v>318723</v>
      </c>
      <c r="AB831" s="20" t="n">
        <v>1370418</v>
      </c>
      <c r="AC831" s="19" t="n">
        <f aca="false">(AB831-AA831)/AB831</f>
        <v>0.767426434854183</v>
      </c>
    </row>
    <row r="832" customFormat="false" ht="14.25" hidden="false" customHeight="true" outlineLevel="0" collapsed="false">
      <c r="A832" s="18" t="s">
        <v>674</v>
      </c>
      <c r="B832" s="18" t="s">
        <v>674</v>
      </c>
      <c r="C832" s="18" t="s">
        <v>31</v>
      </c>
      <c r="E832" s="2" t="n">
        <f aca="false">INDEX(FieldSites!F:F, MATCH(Ch2_FieldSurvey!B832,FieldSites!C:C,0))</f>
        <v>2348</v>
      </c>
      <c r="F832" s="2" t="n">
        <f aca="false">INDEX(FieldSites!G:G, MATCH(Ch2_FieldSurvey!B832,FieldSites!C:C,0))</f>
        <v>-119.586129</v>
      </c>
      <c r="G832" s="2" t="n">
        <f aca="false">INDEX(FieldSites!H:H, MATCH(Ch2_FieldSurvey!B832,FieldSites!C:C,0))</f>
        <v>37.847194</v>
      </c>
      <c r="H832" s="18" t="n">
        <v>9</v>
      </c>
      <c r="I832" s="21" t="str">
        <f aca="false">CONCATENATE(B832,"_",C832,H832)</f>
        <v>SPLB_M. laciniatus9</v>
      </c>
      <c r="J832" s="22" t="n">
        <v>44714</v>
      </c>
      <c r="K832" s="23" t="n">
        <v>0.498611111111111</v>
      </c>
      <c r="L832" s="22" t="n">
        <v>44715</v>
      </c>
      <c r="M832" s="23" t="n">
        <v>0.477777777777778</v>
      </c>
      <c r="O832" s="1" t="s">
        <v>687</v>
      </c>
      <c r="P832" s="16" t="s">
        <v>656</v>
      </c>
      <c r="Q832" s="16" t="s">
        <v>676</v>
      </c>
      <c r="R832" s="16" t="s">
        <v>658</v>
      </c>
      <c r="S832" s="4" t="s">
        <v>426</v>
      </c>
      <c r="T832" s="24" t="n">
        <v>327</v>
      </c>
      <c r="U832" s="18" t="n">
        <v>4.4</v>
      </c>
      <c r="V832" s="24" t="n">
        <v>0.63</v>
      </c>
      <c r="W832" s="2" t="n">
        <v>0.8</v>
      </c>
      <c r="Z832" s="18"/>
      <c r="AA832" s="20"/>
      <c r="AB832" s="20"/>
      <c r="AC832" s="19" t="e">
        <f aca="false">(AB832-AA832)/AB832</f>
        <v>#DIV/0!</v>
      </c>
    </row>
    <row r="833" customFormat="false" ht="14.25" hidden="false" customHeight="true" outlineLevel="0" collapsed="false">
      <c r="A833" s="18" t="s">
        <v>674</v>
      </c>
      <c r="B833" s="18" t="s">
        <v>674</v>
      </c>
      <c r="C833" s="18" t="s">
        <v>31</v>
      </c>
      <c r="E833" s="2" t="n">
        <f aca="false">INDEX(FieldSites!F:F, MATCH(Ch2_FieldSurvey!B833,FieldSites!C:C,0))</f>
        <v>2348</v>
      </c>
      <c r="F833" s="2" t="n">
        <f aca="false">INDEX(FieldSites!G:G, MATCH(Ch2_FieldSurvey!B833,FieldSites!C:C,0))</f>
        <v>-119.586129</v>
      </c>
      <c r="G833" s="2" t="n">
        <f aca="false">INDEX(FieldSites!H:H, MATCH(Ch2_FieldSurvey!B833,FieldSites!C:C,0))</f>
        <v>37.847194</v>
      </c>
      <c r="H833" s="18" t="n">
        <v>9</v>
      </c>
      <c r="I833" s="21" t="str">
        <f aca="false">CONCATENATE(B833,"_",C833,H833)</f>
        <v>SPLB_M. laciniatus9</v>
      </c>
      <c r="J833" s="22" t="n">
        <v>44714</v>
      </c>
      <c r="K833" s="23" t="n">
        <v>0.498611111111111</v>
      </c>
      <c r="L833" s="22" t="n">
        <v>44715</v>
      </c>
      <c r="M833" s="23" t="n">
        <v>0.477777777777778</v>
      </c>
      <c r="O833" s="1" t="s">
        <v>687</v>
      </c>
      <c r="P833" s="16" t="s">
        <v>656</v>
      </c>
      <c r="Q833" s="16" t="s">
        <v>676</v>
      </c>
      <c r="R833" s="16" t="s">
        <v>658</v>
      </c>
      <c r="S833" s="4" t="s">
        <v>426</v>
      </c>
      <c r="T833" s="24" t="n">
        <v>382</v>
      </c>
      <c r="U833" s="18" t="n">
        <v>6.5</v>
      </c>
      <c r="V833" s="24" t="n">
        <v>0.64</v>
      </c>
      <c r="W833" s="2" t="n">
        <v>1</v>
      </c>
      <c r="Z833" s="18"/>
      <c r="AA833" s="20"/>
      <c r="AB833" s="20"/>
      <c r="AC833" s="19" t="e">
        <f aca="false">(AB833-AA833)/AB833</f>
        <v>#DIV/0!</v>
      </c>
    </row>
    <row r="834" customFormat="false" ht="14.25" hidden="false" customHeight="true" outlineLevel="0" collapsed="false">
      <c r="A834" s="18" t="s">
        <v>688</v>
      </c>
      <c r="B834" s="18" t="s">
        <v>688</v>
      </c>
      <c r="C834" s="18" t="s">
        <v>31</v>
      </c>
      <c r="E834" s="2" t="n">
        <f aca="false">INDEX(FieldSites!F:F, MATCH(Ch2_FieldSurvey!B834,FieldSites!C:C,0))</f>
        <v>2357</v>
      </c>
      <c r="F834" s="2" t="n">
        <f aca="false">INDEX(FieldSites!G:G, MATCH(Ch2_FieldSurvey!B834,FieldSites!C:C,0))</f>
        <v>-119.572754</v>
      </c>
      <c r="G834" s="2" t="n">
        <f aca="false">INDEX(FieldSites!H:H, MATCH(Ch2_FieldSurvey!B834,FieldSites!C:C,0))</f>
        <v>37.843904</v>
      </c>
      <c r="H834" s="18" t="n">
        <v>1</v>
      </c>
      <c r="I834" s="21" t="str">
        <f aca="false">CONCATENATE(B834,"_",C834,H834)</f>
        <v>YCNB_M. laciniatus1</v>
      </c>
      <c r="J834" s="22" t="n">
        <v>44714</v>
      </c>
      <c r="K834" s="23" t="n">
        <v>0.463194444444444</v>
      </c>
      <c r="L834" s="22" t="n">
        <v>44715</v>
      </c>
      <c r="M834" s="23" t="n">
        <v>0.50625</v>
      </c>
      <c r="O834" s="1" t="s">
        <v>689</v>
      </c>
      <c r="P834" s="16" t="s">
        <v>656</v>
      </c>
      <c r="Q834" s="16" t="s">
        <v>471</v>
      </c>
      <c r="R834" s="16" t="s">
        <v>658</v>
      </c>
      <c r="S834" s="4" t="s">
        <v>646</v>
      </c>
      <c r="T834" s="24" t="n">
        <v>254</v>
      </c>
      <c r="U834" s="18" t="n">
        <v>2.5</v>
      </c>
      <c r="V834" s="24" t="n">
        <v>0.22</v>
      </c>
      <c r="Z834" s="18" t="s">
        <v>581</v>
      </c>
      <c r="AA834" s="20" t="n">
        <v>76824</v>
      </c>
      <c r="AB834" s="20" t="n">
        <v>113595</v>
      </c>
      <c r="AC834" s="19" t="n">
        <f aca="false">(AB834-AA834)/AB834</f>
        <v>0.323702627756503</v>
      </c>
    </row>
    <row r="835" customFormat="false" ht="14.25" hidden="false" customHeight="true" outlineLevel="0" collapsed="false">
      <c r="A835" s="18" t="s">
        <v>688</v>
      </c>
      <c r="B835" s="18" t="s">
        <v>688</v>
      </c>
      <c r="C835" s="18" t="s">
        <v>31</v>
      </c>
      <c r="E835" s="2" t="n">
        <f aca="false">INDEX(FieldSites!F:F, MATCH(Ch2_FieldSurvey!B835,FieldSites!C:C,0))</f>
        <v>2357</v>
      </c>
      <c r="F835" s="2" t="n">
        <f aca="false">INDEX(FieldSites!G:G, MATCH(Ch2_FieldSurvey!B835,FieldSites!C:C,0))</f>
        <v>-119.572754</v>
      </c>
      <c r="G835" s="2" t="n">
        <f aca="false">INDEX(FieldSites!H:H, MATCH(Ch2_FieldSurvey!B835,FieldSites!C:C,0))</f>
        <v>37.843904</v>
      </c>
      <c r="H835" s="18" t="n">
        <v>1</v>
      </c>
      <c r="I835" s="21" t="str">
        <f aca="false">CONCATENATE(B835,"_",C835,H835)</f>
        <v>YCNB_M. laciniatus1</v>
      </c>
      <c r="J835" s="22" t="n">
        <v>44714</v>
      </c>
      <c r="K835" s="23" t="n">
        <v>0.463194444444444</v>
      </c>
      <c r="L835" s="22" t="n">
        <v>44715</v>
      </c>
      <c r="M835" s="23" t="n">
        <v>0.50625</v>
      </c>
      <c r="O835" s="1" t="s">
        <v>689</v>
      </c>
      <c r="P835" s="16" t="s">
        <v>656</v>
      </c>
      <c r="Q835" s="16" t="s">
        <v>471</v>
      </c>
      <c r="R835" s="16" t="s">
        <v>658</v>
      </c>
      <c r="S835" s="4" t="s">
        <v>646</v>
      </c>
      <c r="T835" s="24" t="n">
        <v>262</v>
      </c>
      <c r="U835" s="18" t="n">
        <v>2.4</v>
      </c>
      <c r="V835" s="24" t="n">
        <v>0.2</v>
      </c>
      <c r="Z835" s="18" t="s">
        <v>581</v>
      </c>
      <c r="AA835" s="20"/>
      <c r="AB835" s="20"/>
      <c r="AC835" s="19" t="e">
        <f aca="false">(AB835-AA835)/AB835</f>
        <v>#DIV/0!</v>
      </c>
    </row>
    <row r="836" customFormat="false" ht="14.25" hidden="false" customHeight="true" outlineLevel="0" collapsed="false">
      <c r="A836" s="18" t="s">
        <v>688</v>
      </c>
      <c r="B836" s="18" t="s">
        <v>688</v>
      </c>
      <c r="C836" s="18" t="s">
        <v>31</v>
      </c>
      <c r="E836" s="2" t="n">
        <f aca="false">INDEX(FieldSites!F:F, MATCH(Ch2_FieldSurvey!B836,FieldSites!C:C,0))</f>
        <v>2357</v>
      </c>
      <c r="F836" s="2" t="n">
        <f aca="false">INDEX(FieldSites!G:G, MATCH(Ch2_FieldSurvey!B836,FieldSites!C:C,0))</f>
        <v>-119.572754</v>
      </c>
      <c r="G836" s="2" t="n">
        <f aca="false">INDEX(FieldSites!H:H, MATCH(Ch2_FieldSurvey!B836,FieldSites!C:C,0))</f>
        <v>37.843904</v>
      </c>
      <c r="H836" s="18" t="n">
        <v>1</v>
      </c>
      <c r="I836" s="21" t="str">
        <f aca="false">CONCATENATE(B836,"_",C836,H836)</f>
        <v>YCNB_M. laciniatus1</v>
      </c>
      <c r="J836" s="22" t="n">
        <v>44714</v>
      </c>
      <c r="K836" s="23" t="n">
        <v>0.463194444444444</v>
      </c>
      <c r="L836" s="22" t="n">
        <v>44715</v>
      </c>
      <c r="M836" s="23" t="n">
        <v>0.50625</v>
      </c>
      <c r="O836" s="1" t="s">
        <v>689</v>
      </c>
      <c r="P836" s="16" t="s">
        <v>656</v>
      </c>
      <c r="Q836" s="16" t="s">
        <v>471</v>
      </c>
      <c r="R836" s="16" t="s">
        <v>658</v>
      </c>
      <c r="S836" s="4" t="s">
        <v>646</v>
      </c>
      <c r="T836" s="24" t="n">
        <v>326</v>
      </c>
      <c r="U836" s="18" t="n">
        <v>2.5</v>
      </c>
      <c r="V836" s="24" t="n">
        <v>0.23</v>
      </c>
      <c r="Z836" s="18" t="s">
        <v>581</v>
      </c>
      <c r="AA836" s="20"/>
      <c r="AB836" s="20"/>
      <c r="AC836" s="19" t="e">
        <f aca="false">(AB836-AA836)/AB836</f>
        <v>#DIV/0!</v>
      </c>
    </row>
    <row r="837" customFormat="false" ht="14.25" hidden="false" customHeight="true" outlineLevel="0" collapsed="false">
      <c r="A837" s="18" t="s">
        <v>688</v>
      </c>
      <c r="B837" s="18" t="s">
        <v>688</v>
      </c>
      <c r="C837" s="18" t="s">
        <v>31</v>
      </c>
      <c r="E837" s="2" t="n">
        <f aca="false">INDEX(FieldSites!F:F, MATCH(Ch2_FieldSurvey!B837,FieldSites!C:C,0))</f>
        <v>2357</v>
      </c>
      <c r="F837" s="2" t="n">
        <f aca="false">INDEX(FieldSites!G:G, MATCH(Ch2_FieldSurvey!B837,FieldSites!C:C,0))</f>
        <v>-119.572754</v>
      </c>
      <c r="G837" s="2" t="n">
        <f aca="false">INDEX(FieldSites!H:H, MATCH(Ch2_FieldSurvey!B837,FieldSites!C:C,0))</f>
        <v>37.843904</v>
      </c>
      <c r="H837" s="18" t="n">
        <v>2</v>
      </c>
      <c r="I837" s="21" t="str">
        <f aca="false">CONCATENATE(B837,"_",C837,H837)</f>
        <v>YCNB_M. laciniatus2</v>
      </c>
      <c r="J837" s="22" t="n">
        <v>44714</v>
      </c>
      <c r="K837" s="23" t="n">
        <v>0.463194444444444</v>
      </c>
      <c r="L837" s="22" t="n">
        <v>44715</v>
      </c>
      <c r="M837" s="23" t="n">
        <v>0.5125</v>
      </c>
      <c r="O837" s="1" t="s">
        <v>690</v>
      </c>
      <c r="P837" s="16" t="s">
        <v>656</v>
      </c>
      <c r="Q837" s="16" t="s">
        <v>471</v>
      </c>
      <c r="R837" s="16" t="s">
        <v>658</v>
      </c>
      <c r="S837" s="4" t="s">
        <v>691</v>
      </c>
      <c r="T837" s="24" t="n">
        <v>292</v>
      </c>
      <c r="U837" s="18" t="n">
        <v>3.3</v>
      </c>
      <c r="V837" s="24" t="n">
        <v>0.28</v>
      </c>
      <c r="Z837" s="18" t="s">
        <v>581</v>
      </c>
      <c r="AA837" s="20" t="n">
        <v>89640</v>
      </c>
      <c r="AB837" s="20" t="n">
        <v>148212</v>
      </c>
      <c r="AC837" s="19" t="n">
        <f aca="false">(AB837-AA837)/AB837</f>
        <v>0.395190672820015</v>
      </c>
    </row>
    <row r="838" customFormat="false" ht="14.25" hidden="false" customHeight="true" outlineLevel="0" collapsed="false">
      <c r="A838" s="18" t="s">
        <v>688</v>
      </c>
      <c r="B838" s="18" t="s">
        <v>688</v>
      </c>
      <c r="C838" s="18" t="s">
        <v>31</v>
      </c>
      <c r="E838" s="2" t="n">
        <f aca="false">INDEX(FieldSites!F:F, MATCH(Ch2_FieldSurvey!B838,FieldSites!C:C,0))</f>
        <v>2357</v>
      </c>
      <c r="F838" s="2" t="n">
        <f aca="false">INDEX(FieldSites!G:G, MATCH(Ch2_FieldSurvey!B838,FieldSites!C:C,0))</f>
        <v>-119.572754</v>
      </c>
      <c r="G838" s="2" t="n">
        <f aca="false">INDEX(FieldSites!H:H, MATCH(Ch2_FieldSurvey!B838,FieldSites!C:C,0))</f>
        <v>37.843904</v>
      </c>
      <c r="H838" s="18" t="n">
        <v>2</v>
      </c>
      <c r="I838" s="21" t="str">
        <f aca="false">CONCATENATE(B838,"_",C838,H838)</f>
        <v>YCNB_M. laciniatus2</v>
      </c>
      <c r="J838" s="22" t="n">
        <v>44714</v>
      </c>
      <c r="K838" s="23" t="n">
        <v>0.463194444444444</v>
      </c>
      <c r="L838" s="22" t="n">
        <v>44715</v>
      </c>
      <c r="M838" s="23" t="n">
        <v>0.5125</v>
      </c>
      <c r="O838" s="1" t="s">
        <v>690</v>
      </c>
      <c r="P838" s="16" t="s">
        <v>656</v>
      </c>
      <c r="Q838" s="16" t="s">
        <v>471</v>
      </c>
      <c r="R838" s="16" t="s">
        <v>658</v>
      </c>
      <c r="S838" s="4" t="s">
        <v>691</v>
      </c>
      <c r="T838" s="24" t="n">
        <v>510</v>
      </c>
      <c r="U838" s="18" t="n">
        <v>3.1</v>
      </c>
      <c r="V838" s="24" t="n">
        <v>0.32</v>
      </c>
      <c r="Z838" s="18" t="s">
        <v>581</v>
      </c>
      <c r="AA838" s="20"/>
      <c r="AB838" s="20"/>
      <c r="AC838" s="19" t="e">
        <f aca="false">(AB838-AA838)/AB838</f>
        <v>#DIV/0!</v>
      </c>
    </row>
    <row r="839" customFormat="false" ht="14.25" hidden="false" customHeight="true" outlineLevel="0" collapsed="false">
      <c r="A839" s="18" t="s">
        <v>688</v>
      </c>
      <c r="B839" s="18" t="s">
        <v>688</v>
      </c>
      <c r="C839" s="18" t="s">
        <v>31</v>
      </c>
      <c r="E839" s="2" t="n">
        <f aca="false">INDEX(FieldSites!F:F, MATCH(Ch2_FieldSurvey!B839,FieldSites!C:C,0))</f>
        <v>2357</v>
      </c>
      <c r="F839" s="2" t="n">
        <f aca="false">INDEX(FieldSites!G:G, MATCH(Ch2_FieldSurvey!B839,FieldSites!C:C,0))</f>
        <v>-119.572754</v>
      </c>
      <c r="G839" s="2" t="n">
        <f aca="false">INDEX(FieldSites!H:H, MATCH(Ch2_FieldSurvey!B839,FieldSites!C:C,0))</f>
        <v>37.843904</v>
      </c>
      <c r="H839" s="18" t="n">
        <v>2</v>
      </c>
      <c r="I839" s="21" t="str">
        <f aca="false">CONCATENATE(B839,"_",C839,H839)</f>
        <v>YCNB_M. laciniatus2</v>
      </c>
      <c r="J839" s="22" t="n">
        <v>44714</v>
      </c>
      <c r="K839" s="23" t="n">
        <v>0.463194444444444</v>
      </c>
      <c r="L839" s="22" t="n">
        <v>44715</v>
      </c>
      <c r="M839" s="23" t="n">
        <v>0.5125</v>
      </c>
      <c r="O839" s="1" t="s">
        <v>690</v>
      </c>
      <c r="P839" s="16" t="s">
        <v>656</v>
      </c>
      <c r="Q839" s="16" t="s">
        <v>471</v>
      </c>
      <c r="R839" s="16" t="s">
        <v>658</v>
      </c>
      <c r="S839" s="4" t="s">
        <v>691</v>
      </c>
      <c r="T839" s="24" t="n">
        <v>365</v>
      </c>
      <c r="U839" s="18" t="n">
        <v>2.6</v>
      </c>
      <c r="V839" s="24" t="n">
        <v>0.29</v>
      </c>
      <c r="Z839" s="18" t="s">
        <v>581</v>
      </c>
      <c r="AA839" s="20"/>
      <c r="AB839" s="20"/>
      <c r="AC839" s="19" t="e">
        <f aca="false">(AB839-AA839)/AB839</f>
        <v>#DIV/0!</v>
      </c>
    </row>
    <row r="840" customFormat="false" ht="14.25" hidden="false" customHeight="true" outlineLevel="0" collapsed="false">
      <c r="A840" s="18" t="s">
        <v>688</v>
      </c>
      <c r="B840" s="18" t="s">
        <v>688</v>
      </c>
      <c r="C840" s="18" t="s">
        <v>31</v>
      </c>
      <c r="E840" s="2" t="n">
        <f aca="false">INDEX(FieldSites!F:F, MATCH(Ch2_FieldSurvey!B840,FieldSites!C:C,0))</f>
        <v>2357</v>
      </c>
      <c r="F840" s="2" t="n">
        <f aca="false">INDEX(FieldSites!G:G, MATCH(Ch2_FieldSurvey!B840,FieldSites!C:C,0))</f>
        <v>-119.572754</v>
      </c>
      <c r="G840" s="2" t="n">
        <f aca="false">INDEX(FieldSites!H:H, MATCH(Ch2_FieldSurvey!B840,FieldSites!C:C,0))</f>
        <v>37.843904</v>
      </c>
      <c r="H840" s="18" t="n">
        <v>3</v>
      </c>
      <c r="I840" s="21" t="str">
        <f aca="false">CONCATENATE(B840,"_",C840,H840)</f>
        <v>YCNB_M. laciniatus3</v>
      </c>
      <c r="J840" s="22" t="n">
        <v>44714</v>
      </c>
      <c r="K840" s="23" t="n">
        <v>0.463194444444444</v>
      </c>
      <c r="L840" s="22" t="n">
        <v>44715</v>
      </c>
      <c r="M840" s="23" t="n">
        <v>0.518055555555556</v>
      </c>
      <c r="O840" s="1" t="s">
        <v>692</v>
      </c>
      <c r="P840" s="16" t="s">
        <v>656</v>
      </c>
      <c r="Q840" s="16" t="s">
        <v>471</v>
      </c>
      <c r="R840" s="16" t="s">
        <v>658</v>
      </c>
      <c r="S840" s="4" t="s">
        <v>507</v>
      </c>
      <c r="T840" s="24" t="n">
        <v>337</v>
      </c>
      <c r="U840" s="18" t="n">
        <v>3</v>
      </c>
      <c r="V840" s="24" t="n">
        <v>0.25</v>
      </c>
      <c r="W840" s="2" t="n">
        <v>0.3</v>
      </c>
      <c r="Z840" s="18"/>
      <c r="AA840" s="20" t="n">
        <v>194059</v>
      </c>
      <c r="AB840" s="20" t="n">
        <v>300780</v>
      </c>
      <c r="AC840" s="19" t="n">
        <f aca="false">(AB840-AA840)/AB840</f>
        <v>0.354814149876987</v>
      </c>
    </row>
    <row r="841" customFormat="false" ht="14.25" hidden="false" customHeight="true" outlineLevel="0" collapsed="false">
      <c r="A841" s="18" t="s">
        <v>688</v>
      </c>
      <c r="B841" s="18" t="s">
        <v>688</v>
      </c>
      <c r="C841" s="18" t="s">
        <v>31</v>
      </c>
      <c r="E841" s="2" t="n">
        <f aca="false">INDEX(FieldSites!F:F, MATCH(Ch2_FieldSurvey!B841,FieldSites!C:C,0))</f>
        <v>2357</v>
      </c>
      <c r="F841" s="2" t="n">
        <f aca="false">INDEX(FieldSites!G:G, MATCH(Ch2_FieldSurvey!B841,FieldSites!C:C,0))</f>
        <v>-119.572754</v>
      </c>
      <c r="G841" s="2" t="n">
        <f aca="false">INDEX(FieldSites!H:H, MATCH(Ch2_FieldSurvey!B841,FieldSites!C:C,0))</f>
        <v>37.843904</v>
      </c>
      <c r="H841" s="18" t="n">
        <v>3</v>
      </c>
      <c r="I841" s="21" t="str">
        <f aca="false">CONCATENATE(B841,"_",C841,H841)</f>
        <v>YCNB_M. laciniatus3</v>
      </c>
      <c r="J841" s="22" t="n">
        <v>44714</v>
      </c>
      <c r="K841" s="23" t="n">
        <v>0.463194444444444</v>
      </c>
      <c r="L841" s="22" t="n">
        <v>44715</v>
      </c>
      <c r="M841" s="23" t="n">
        <v>0.518055555555556</v>
      </c>
      <c r="O841" s="1" t="s">
        <v>692</v>
      </c>
      <c r="P841" s="16" t="s">
        <v>656</v>
      </c>
      <c r="Q841" s="16" t="s">
        <v>471</v>
      </c>
      <c r="R841" s="16" t="s">
        <v>658</v>
      </c>
      <c r="S841" s="4" t="s">
        <v>507</v>
      </c>
      <c r="T841" s="24" t="n">
        <v>329</v>
      </c>
      <c r="U841" s="18" t="n">
        <v>3.4</v>
      </c>
      <c r="V841" s="24" t="n">
        <v>0.21</v>
      </c>
      <c r="W841" s="2" t="n">
        <v>0.2</v>
      </c>
      <c r="Z841" s="18"/>
      <c r="AA841" s="20"/>
      <c r="AB841" s="20"/>
      <c r="AC841" s="19" t="e">
        <f aca="false">(AB841-AA841)/AB841</f>
        <v>#DIV/0!</v>
      </c>
    </row>
    <row r="842" customFormat="false" ht="14.25" hidden="false" customHeight="true" outlineLevel="0" collapsed="false">
      <c r="A842" s="18" t="s">
        <v>688</v>
      </c>
      <c r="B842" s="18" t="s">
        <v>688</v>
      </c>
      <c r="C842" s="18" t="s">
        <v>31</v>
      </c>
      <c r="E842" s="2" t="n">
        <f aca="false">INDEX(FieldSites!F:F, MATCH(Ch2_FieldSurvey!B842,FieldSites!C:C,0))</f>
        <v>2357</v>
      </c>
      <c r="F842" s="2" t="n">
        <f aca="false">INDEX(FieldSites!G:G, MATCH(Ch2_FieldSurvey!B842,FieldSites!C:C,0))</f>
        <v>-119.572754</v>
      </c>
      <c r="G842" s="2" t="n">
        <f aca="false">INDEX(FieldSites!H:H, MATCH(Ch2_FieldSurvey!B842,FieldSites!C:C,0))</f>
        <v>37.843904</v>
      </c>
      <c r="H842" s="18" t="n">
        <v>3</v>
      </c>
      <c r="I842" s="21" t="str">
        <f aca="false">CONCATENATE(B842,"_",C842,H842)</f>
        <v>YCNB_M. laciniatus3</v>
      </c>
      <c r="J842" s="22" t="n">
        <v>44714</v>
      </c>
      <c r="K842" s="23" t="n">
        <v>0.463194444444444</v>
      </c>
      <c r="L842" s="22" t="n">
        <v>44715</v>
      </c>
      <c r="M842" s="23" t="n">
        <v>0.518055555555556</v>
      </c>
      <c r="O842" s="1" t="s">
        <v>692</v>
      </c>
      <c r="P842" s="16" t="s">
        <v>656</v>
      </c>
      <c r="Q842" s="16" t="s">
        <v>471</v>
      </c>
      <c r="R842" s="16" t="s">
        <v>658</v>
      </c>
      <c r="S842" s="4" t="s">
        <v>507</v>
      </c>
      <c r="T842" s="24" t="n">
        <v>251</v>
      </c>
      <c r="U842" s="18" t="n">
        <v>3.1</v>
      </c>
      <c r="V842" s="24" t="n">
        <v>0.21</v>
      </c>
      <c r="W842" s="2" t="n">
        <v>0.2</v>
      </c>
      <c r="Z842" s="18"/>
      <c r="AA842" s="20"/>
      <c r="AB842" s="20"/>
      <c r="AC842" s="19" t="e">
        <f aca="false">(AB842-AA842)/AB842</f>
        <v>#DIV/0!</v>
      </c>
    </row>
    <row r="843" customFormat="false" ht="14.25" hidden="false" customHeight="true" outlineLevel="0" collapsed="false">
      <c r="A843" s="18" t="s">
        <v>688</v>
      </c>
      <c r="B843" s="18" t="s">
        <v>688</v>
      </c>
      <c r="C843" s="18" t="s">
        <v>31</v>
      </c>
      <c r="E843" s="2" t="n">
        <f aca="false">INDEX(FieldSites!F:F, MATCH(Ch2_FieldSurvey!B843,FieldSites!C:C,0))</f>
        <v>2357</v>
      </c>
      <c r="F843" s="2" t="n">
        <f aca="false">INDEX(FieldSites!G:G, MATCH(Ch2_FieldSurvey!B843,FieldSites!C:C,0))</f>
        <v>-119.572754</v>
      </c>
      <c r="G843" s="2" t="n">
        <f aca="false">INDEX(FieldSites!H:H, MATCH(Ch2_FieldSurvey!B843,FieldSites!C:C,0))</f>
        <v>37.843904</v>
      </c>
      <c r="H843" s="18" t="n">
        <v>4</v>
      </c>
      <c r="I843" s="21" t="str">
        <f aca="false">CONCATENATE(B843,"_",C843,H843)</f>
        <v>YCNB_M. laciniatus4</v>
      </c>
      <c r="J843" s="22" t="n">
        <v>44714</v>
      </c>
      <c r="K843" s="23" t="n">
        <v>0.463194444444444</v>
      </c>
      <c r="L843" s="22" t="n">
        <v>44715</v>
      </c>
      <c r="M843" s="23" t="n">
        <v>0.524305555555556</v>
      </c>
      <c r="O843" s="1" t="s">
        <v>693</v>
      </c>
      <c r="P843" s="16" t="s">
        <v>656</v>
      </c>
      <c r="Q843" s="16" t="s">
        <v>471</v>
      </c>
      <c r="R843" s="16" t="s">
        <v>658</v>
      </c>
      <c r="S843" s="4" t="s">
        <v>511</v>
      </c>
      <c r="T843" s="24" t="n">
        <v>292</v>
      </c>
      <c r="U843" s="18" t="n">
        <v>3.8</v>
      </c>
      <c r="V843" s="24" t="n">
        <v>0.23</v>
      </c>
      <c r="W843" s="2" t="n">
        <v>0.2</v>
      </c>
      <c r="Z843" s="18"/>
      <c r="AA843" s="20" t="n">
        <v>157001</v>
      </c>
      <c r="AB843" s="20" t="n">
        <v>235458</v>
      </c>
      <c r="AC843" s="19" t="n">
        <f aca="false">(AB843-AA843)/AB843</f>
        <v>0.33321016911721</v>
      </c>
    </row>
    <row r="844" customFormat="false" ht="14.25" hidden="false" customHeight="true" outlineLevel="0" collapsed="false">
      <c r="A844" s="18" t="s">
        <v>688</v>
      </c>
      <c r="B844" s="18" t="s">
        <v>688</v>
      </c>
      <c r="C844" s="18" t="s">
        <v>31</v>
      </c>
      <c r="E844" s="2" t="n">
        <f aca="false">INDEX(FieldSites!F:F, MATCH(Ch2_FieldSurvey!B844,FieldSites!C:C,0))</f>
        <v>2357</v>
      </c>
      <c r="F844" s="2" t="n">
        <f aca="false">INDEX(FieldSites!G:G, MATCH(Ch2_FieldSurvey!B844,FieldSites!C:C,0))</f>
        <v>-119.572754</v>
      </c>
      <c r="G844" s="2" t="n">
        <f aca="false">INDEX(FieldSites!H:H, MATCH(Ch2_FieldSurvey!B844,FieldSites!C:C,0))</f>
        <v>37.843904</v>
      </c>
      <c r="H844" s="18" t="n">
        <v>4</v>
      </c>
      <c r="I844" s="21" t="str">
        <f aca="false">CONCATENATE(B844,"_",C844,H844)</f>
        <v>YCNB_M. laciniatus4</v>
      </c>
      <c r="J844" s="22" t="n">
        <v>44714</v>
      </c>
      <c r="K844" s="23" t="n">
        <v>0.463194444444444</v>
      </c>
      <c r="L844" s="22" t="n">
        <v>44715</v>
      </c>
      <c r="M844" s="23" t="n">
        <v>0.524305555555556</v>
      </c>
      <c r="O844" s="1" t="s">
        <v>693</v>
      </c>
      <c r="P844" s="16" t="s">
        <v>656</v>
      </c>
      <c r="Q844" s="16" t="s">
        <v>471</v>
      </c>
      <c r="R844" s="16" t="s">
        <v>658</v>
      </c>
      <c r="S844" s="4" t="s">
        <v>511</v>
      </c>
      <c r="T844" s="24" t="n">
        <v>339</v>
      </c>
      <c r="U844" s="18" t="n">
        <v>4.7</v>
      </c>
      <c r="V844" s="24" t="n">
        <v>0.24</v>
      </c>
      <c r="W844" s="2" t="n">
        <v>0.2</v>
      </c>
      <c r="Z844" s="18"/>
      <c r="AA844" s="20"/>
      <c r="AB844" s="20"/>
      <c r="AC844" s="19" t="e">
        <f aca="false">(AB844-AA844)/AB844</f>
        <v>#DIV/0!</v>
      </c>
    </row>
    <row r="845" customFormat="false" ht="14.25" hidden="false" customHeight="true" outlineLevel="0" collapsed="false">
      <c r="A845" s="18" t="s">
        <v>688</v>
      </c>
      <c r="B845" s="18" t="s">
        <v>688</v>
      </c>
      <c r="C845" s="18" t="s">
        <v>31</v>
      </c>
      <c r="E845" s="2" t="n">
        <f aca="false">INDEX(FieldSites!F:F, MATCH(Ch2_FieldSurvey!B845,FieldSites!C:C,0))</f>
        <v>2357</v>
      </c>
      <c r="F845" s="2" t="n">
        <f aca="false">INDEX(FieldSites!G:G, MATCH(Ch2_FieldSurvey!B845,FieldSites!C:C,0))</f>
        <v>-119.572754</v>
      </c>
      <c r="G845" s="2" t="n">
        <f aca="false">INDEX(FieldSites!H:H, MATCH(Ch2_FieldSurvey!B845,FieldSites!C:C,0))</f>
        <v>37.843904</v>
      </c>
      <c r="H845" s="18" t="n">
        <v>4</v>
      </c>
      <c r="I845" s="21" t="str">
        <f aca="false">CONCATENATE(B845,"_",C845,H845)</f>
        <v>YCNB_M. laciniatus4</v>
      </c>
      <c r="J845" s="22" t="n">
        <v>44714</v>
      </c>
      <c r="K845" s="23" t="n">
        <v>0.463194444444444</v>
      </c>
      <c r="L845" s="22" t="n">
        <v>44715</v>
      </c>
      <c r="M845" s="23" t="n">
        <v>0.524305555555556</v>
      </c>
      <c r="O845" s="1" t="s">
        <v>693</v>
      </c>
      <c r="P845" s="16" t="s">
        <v>656</v>
      </c>
      <c r="Q845" s="16" t="s">
        <v>471</v>
      </c>
      <c r="R845" s="16" t="s">
        <v>658</v>
      </c>
      <c r="S845" s="4" t="s">
        <v>511</v>
      </c>
      <c r="T845" s="24" t="n">
        <v>461</v>
      </c>
      <c r="U845" s="18" t="n">
        <v>3.9</v>
      </c>
      <c r="V845" s="24" t="n">
        <v>0.38</v>
      </c>
      <c r="W845" s="2" t="n">
        <v>0.1</v>
      </c>
      <c r="Z845" s="18"/>
      <c r="AA845" s="20"/>
      <c r="AB845" s="20"/>
      <c r="AC845" s="19" t="e">
        <f aca="false">(AB845-AA845)/AB845</f>
        <v>#DIV/0!</v>
      </c>
    </row>
    <row r="846" customFormat="false" ht="14.25" hidden="false" customHeight="true" outlineLevel="0" collapsed="false">
      <c r="A846" s="18" t="s">
        <v>688</v>
      </c>
      <c r="B846" s="18" t="s">
        <v>688</v>
      </c>
      <c r="C846" s="18" t="s">
        <v>31</v>
      </c>
      <c r="E846" s="2" t="n">
        <f aca="false">INDEX(FieldSites!F:F, MATCH(Ch2_FieldSurvey!B846,FieldSites!C:C,0))</f>
        <v>2357</v>
      </c>
      <c r="F846" s="2" t="n">
        <f aca="false">INDEX(FieldSites!G:G, MATCH(Ch2_FieldSurvey!B846,FieldSites!C:C,0))</f>
        <v>-119.572754</v>
      </c>
      <c r="G846" s="2" t="n">
        <f aca="false">INDEX(FieldSites!H:H, MATCH(Ch2_FieldSurvey!B846,FieldSites!C:C,0))</f>
        <v>37.843904</v>
      </c>
      <c r="H846" s="18" t="n">
        <v>5</v>
      </c>
      <c r="I846" s="21" t="str">
        <f aca="false">CONCATENATE(B846,"_",C846,H846)</f>
        <v>YCNB_M. laciniatus5</v>
      </c>
      <c r="J846" s="22" t="n">
        <v>44714</v>
      </c>
      <c r="K846" s="23" t="n">
        <v>0.463194444444444</v>
      </c>
      <c r="L846" s="22" t="n">
        <v>44715</v>
      </c>
      <c r="M846" s="23" t="n">
        <v>0.529166666666667</v>
      </c>
      <c r="O846" s="1" t="s">
        <v>694</v>
      </c>
      <c r="P846" s="16" t="s">
        <v>656</v>
      </c>
      <c r="Q846" s="16" t="s">
        <v>471</v>
      </c>
      <c r="R846" s="16" t="s">
        <v>658</v>
      </c>
      <c r="S846" s="4" t="s">
        <v>695</v>
      </c>
      <c r="T846" s="24" t="n">
        <v>375</v>
      </c>
      <c r="U846" s="18" t="n">
        <v>4</v>
      </c>
      <c r="V846" s="24" t="n">
        <v>0.3</v>
      </c>
      <c r="W846" s="2" t="n">
        <v>0.2</v>
      </c>
      <c r="Z846" s="18"/>
      <c r="AA846" s="20" t="n">
        <v>178324</v>
      </c>
      <c r="AB846" s="20" t="n">
        <v>321544</v>
      </c>
      <c r="AC846" s="19" t="n">
        <f aca="false">(AB846-AA846)/AB846</f>
        <v>0.44541338043938</v>
      </c>
    </row>
    <row r="847" customFormat="false" ht="14.25" hidden="false" customHeight="true" outlineLevel="0" collapsed="false">
      <c r="A847" s="18" t="s">
        <v>688</v>
      </c>
      <c r="B847" s="18" t="s">
        <v>688</v>
      </c>
      <c r="C847" s="18" t="s">
        <v>31</v>
      </c>
      <c r="E847" s="2" t="n">
        <f aca="false">INDEX(FieldSites!F:F, MATCH(Ch2_FieldSurvey!B847,FieldSites!C:C,0))</f>
        <v>2357</v>
      </c>
      <c r="F847" s="2" t="n">
        <f aca="false">INDEX(FieldSites!G:G, MATCH(Ch2_FieldSurvey!B847,FieldSites!C:C,0))</f>
        <v>-119.572754</v>
      </c>
      <c r="G847" s="2" t="n">
        <f aca="false">INDEX(FieldSites!H:H, MATCH(Ch2_FieldSurvey!B847,FieldSites!C:C,0))</f>
        <v>37.843904</v>
      </c>
      <c r="H847" s="18" t="n">
        <v>5</v>
      </c>
      <c r="I847" s="21" t="str">
        <f aca="false">CONCATENATE(B847,"_",C847,H847)</f>
        <v>YCNB_M. laciniatus5</v>
      </c>
      <c r="J847" s="22" t="n">
        <v>44714</v>
      </c>
      <c r="K847" s="23" t="n">
        <v>0.463194444444444</v>
      </c>
      <c r="L847" s="22" t="n">
        <v>44715</v>
      </c>
      <c r="M847" s="23" t="n">
        <v>0.529166666666667</v>
      </c>
      <c r="O847" s="1" t="s">
        <v>694</v>
      </c>
      <c r="P847" s="16" t="s">
        <v>656</v>
      </c>
      <c r="Q847" s="16" t="s">
        <v>471</v>
      </c>
      <c r="R847" s="16" t="s">
        <v>658</v>
      </c>
      <c r="S847" s="4" t="s">
        <v>695</v>
      </c>
      <c r="T847" s="24" t="n">
        <v>340</v>
      </c>
      <c r="U847" s="18" t="n">
        <v>4.2</v>
      </c>
      <c r="V847" s="24" t="n">
        <v>0.3</v>
      </c>
      <c r="W847" s="2" t="n">
        <v>0.3</v>
      </c>
      <c r="Z847" s="18"/>
      <c r="AA847" s="20"/>
      <c r="AB847" s="20"/>
      <c r="AC847" s="19" t="e">
        <f aca="false">(AB847-AA847)/AB847</f>
        <v>#DIV/0!</v>
      </c>
    </row>
    <row r="848" customFormat="false" ht="14.25" hidden="false" customHeight="true" outlineLevel="0" collapsed="false">
      <c r="A848" s="18" t="s">
        <v>688</v>
      </c>
      <c r="B848" s="18" t="s">
        <v>688</v>
      </c>
      <c r="C848" s="18" t="s">
        <v>31</v>
      </c>
      <c r="E848" s="2" t="n">
        <f aca="false">INDEX(FieldSites!F:F, MATCH(Ch2_FieldSurvey!B848,FieldSites!C:C,0))</f>
        <v>2357</v>
      </c>
      <c r="F848" s="2" t="n">
        <f aca="false">INDEX(FieldSites!G:G, MATCH(Ch2_FieldSurvey!B848,FieldSites!C:C,0))</f>
        <v>-119.572754</v>
      </c>
      <c r="G848" s="2" t="n">
        <f aca="false">INDEX(FieldSites!H:H, MATCH(Ch2_FieldSurvey!B848,FieldSites!C:C,0))</f>
        <v>37.843904</v>
      </c>
      <c r="H848" s="18" t="n">
        <v>5</v>
      </c>
      <c r="I848" s="21" t="str">
        <f aca="false">CONCATENATE(B848,"_",C848,H848)</f>
        <v>YCNB_M. laciniatus5</v>
      </c>
      <c r="J848" s="22" t="n">
        <v>44714</v>
      </c>
      <c r="K848" s="23" t="n">
        <v>0.463194444444444</v>
      </c>
      <c r="L848" s="22" t="n">
        <v>44715</v>
      </c>
      <c r="M848" s="23" t="n">
        <v>0.529166666666667</v>
      </c>
      <c r="O848" s="1" t="s">
        <v>694</v>
      </c>
      <c r="P848" s="16" t="s">
        <v>656</v>
      </c>
      <c r="Q848" s="16" t="s">
        <v>471</v>
      </c>
      <c r="R848" s="16" t="s">
        <v>658</v>
      </c>
      <c r="S848" s="4" t="s">
        <v>695</v>
      </c>
      <c r="T848" s="24" t="n">
        <v>427</v>
      </c>
      <c r="U848" s="18" t="n">
        <v>4.3</v>
      </c>
      <c r="V848" s="24" t="n">
        <v>0.32</v>
      </c>
      <c r="W848" s="2" t="n">
        <v>0.2</v>
      </c>
      <c r="Z848" s="18"/>
      <c r="AA848" s="20"/>
      <c r="AB848" s="20"/>
      <c r="AC848" s="19" t="e">
        <f aca="false">(AB848-AA848)/AB848</f>
        <v>#DIV/0!</v>
      </c>
    </row>
    <row r="849" customFormat="false" ht="14.25" hidden="false" customHeight="true" outlineLevel="0" collapsed="false">
      <c r="A849" s="18" t="s">
        <v>688</v>
      </c>
      <c r="B849" s="18" t="s">
        <v>688</v>
      </c>
      <c r="C849" s="18" t="s">
        <v>31</v>
      </c>
      <c r="E849" s="2" t="n">
        <f aca="false">INDEX(FieldSites!F:F, MATCH(Ch2_FieldSurvey!B849,FieldSites!C:C,0))</f>
        <v>2357</v>
      </c>
      <c r="F849" s="2" t="n">
        <f aca="false">INDEX(FieldSites!G:G, MATCH(Ch2_FieldSurvey!B849,FieldSites!C:C,0))</f>
        <v>-119.572754</v>
      </c>
      <c r="G849" s="2" t="n">
        <f aca="false">INDEX(FieldSites!H:H, MATCH(Ch2_FieldSurvey!B849,FieldSites!C:C,0))</f>
        <v>37.843904</v>
      </c>
      <c r="H849" s="18" t="n">
        <v>6</v>
      </c>
      <c r="I849" s="21" t="str">
        <f aca="false">CONCATENATE(B849,"_",C849,H849)</f>
        <v>YCNB_M. laciniatus6</v>
      </c>
      <c r="J849" s="22" t="n">
        <v>44714</v>
      </c>
      <c r="K849" s="23" t="n">
        <v>0.463194444444444</v>
      </c>
      <c r="L849" s="22" t="n">
        <v>44715</v>
      </c>
      <c r="M849" s="23" t="n">
        <v>0.533333333333333</v>
      </c>
      <c r="O849" s="1" t="s">
        <v>696</v>
      </c>
      <c r="P849" s="16" t="s">
        <v>656</v>
      </c>
      <c r="Q849" s="16" t="s">
        <v>471</v>
      </c>
      <c r="R849" s="16" t="s">
        <v>658</v>
      </c>
      <c r="S849" s="4" t="s">
        <v>293</v>
      </c>
      <c r="T849" s="24" t="n">
        <v>429</v>
      </c>
      <c r="U849" s="18" t="n">
        <v>6.5</v>
      </c>
      <c r="V849" s="24" t="n">
        <v>0.57</v>
      </c>
      <c r="W849" s="2" t="n">
        <v>0.7</v>
      </c>
      <c r="Z849" s="18"/>
      <c r="AA849" s="20" t="n">
        <v>182275</v>
      </c>
      <c r="AB849" s="20" t="n">
        <v>239376</v>
      </c>
      <c r="AC849" s="19" t="n">
        <f aca="false">(AB849-AA849)/AB849</f>
        <v>0.238541040037431</v>
      </c>
    </row>
    <row r="850" customFormat="false" ht="14.25" hidden="false" customHeight="true" outlineLevel="0" collapsed="false">
      <c r="A850" s="18" t="s">
        <v>688</v>
      </c>
      <c r="B850" s="18" t="s">
        <v>688</v>
      </c>
      <c r="C850" s="18" t="s">
        <v>31</v>
      </c>
      <c r="E850" s="2" t="n">
        <f aca="false">INDEX(FieldSites!F:F, MATCH(Ch2_FieldSurvey!B850,FieldSites!C:C,0))</f>
        <v>2357</v>
      </c>
      <c r="F850" s="2" t="n">
        <f aca="false">INDEX(FieldSites!G:G, MATCH(Ch2_FieldSurvey!B850,FieldSites!C:C,0))</f>
        <v>-119.572754</v>
      </c>
      <c r="G850" s="2" t="n">
        <f aca="false">INDEX(FieldSites!H:H, MATCH(Ch2_FieldSurvey!B850,FieldSites!C:C,0))</f>
        <v>37.843904</v>
      </c>
      <c r="H850" s="18" t="n">
        <v>6</v>
      </c>
      <c r="I850" s="21" t="str">
        <f aca="false">CONCATENATE(B850,"_",C850,H850)</f>
        <v>YCNB_M. laciniatus6</v>
      </c>
      <c r="J850" s="22" t="n">
        <v>44714</v>
      </c>
      <c r="K850" s="23" t="n">
        <v>0.463194444444444</v>
      </c>
      <c r="L850" s="22" t="n">
        <v>44715</v>
      </c>
      <c r="M850" s="23" t="n">
        <v>0.533333333333333</v>
      </c>
      <c r="O850" s="1" t="s">
        <v>696</v>
      </c>
      <c r="P850" s="16" t="s">
        <v>656</v>
      </c>
      <c r="Q850" s="16" t="s">
        <v>471</v>
      </c>
      <c r="R850" s="16" t="s">
        <v>658</v>
      </c>
      <c r="S850" s="4" t="s">
        <v>293</v>
      </c>
      <c r="T850" s="24" t="n">
        <v>315</v>
      </c>
      <c r="U850" s="18" t="n">
        <v>5.2</v>
      </c>
      <c r="V850" s="24" t="n">
        <v>0.61</v>
      </c>
      <c r="W850" s="2" t="n">
        <v>0.6</v>
      </c>
      <c r="Z850" s="18"/>
      <c r="AA850" s="20"/>
      <c r="AB850" s="20"/>
      <c r="AC850" s="19" t="e">
        <f aca="false">(AB850-AA850)/AB850</f>
        <v>#DIV/0!</v>
      </c>
    </row>
    <row r="851" customFormat="false" ht="14.25" hidden="false" customHeight="true" outlineLevel="0" collapsed="false">
      <c r="A851" s="18" t="s">
        <v>688</v>
      </c>
      <c r="B851" s="18" t="s">
        <v>688</v>
      </c>
      <c r="C851" s="18" t="s">
        <v>31</v>
      </c>
      <c r="E851" s="2" t="n">
        <f aca="false">INDEX(FieldSites!F:F, MATCH(Ch2_FieldSurvey!B851,FieldSites!C:C,0))</f>
        <v>2357</v>
      </c>
      <c r="F851" s="2" t="n">
        <f aca="false">INDEX(FieldSites!G:G, MATCH(Ch2_FieldSurvey!B851,FieldSites!C:C,0))</f>
        <v>-119.572754</v>
      </c>
      <c r="G851" s="2" t="n">
        <f aca="false">INDEX(FieldSites!H:H, MATCH(Ch2_FieldSurvey!B851,FieldSites!C:C,0))</f>
        <v>37.843904</v>
      </c>
      <c r="H851" s="18" t="n">
        <v>6</v>
      </c>
      <c r="I851" s="21" t="str">
        <f aca="false">CONCATENATE(B851,"_",C851,H851)</f>
        <v>YCNB_M. laciniatus6</v>
      </c>
      <c r="J851" s="22" t="n">
        <v>44714</v>
      </c>
      <c r="K851" s="23" t="n">
        <v>0.463194444444444</v>
      </c>
      <c r="L851" s="22" t="n">
        <v>44715</v>
      </c>
      <c r="M851" s="23" t="n">
        <v>0.533333333333333</v>
      </c>
      <c r="O851" s="1" t="s">
        <v>696</v>
      </c>
      <c r="P851" s="16" t="s">
        <v>656</v>
      </c>
      <c r="Q851" s="16" t="s">
        <v>471</v>
      </c>
      <c r="R851" s="16" t="s">
        <v>658</v>
      </c>
      <c r="S851" s="4" t="s">
        <v>293</v>
      </c>
      <c r="T851" s="24" t="n">
        <v>272</v>
      </c>
      <c r="U851" s="18" t="n">
        <v>6.9</v>
      </c>
      <c r="V851" s="24" t="n">
        <v>0.33</v>
      </c>
      <c r="W851" s="2" t="n">
        <v>0.5</v>
      </c>
      <c r="Z851" s="18"/>
      <c r="AA851" s="20"/>
      <c r="AB851" s="20"/>
      <c r="AC851" s="19" t="e">
        <f aca="false">(AB851-AA851)/AB851</f>
        <v>#DIV/0!</v>
      </c>
    </row>
    <row r="852" customFormat="false" ht="14.25" hidden="false" customHeight="true" outlineLevel="0" collapsed="false">
      <c r="A852" s="18" t="s">
        <v>688</v>
      </c>
      <c r="B852" s="18" t="s">
        <v>688</v>
      </c>
      <c r="C852" s="18" t="s">
        <v>31</v>
      </c>
      <c r="E852" s="2" t="n">
        <f aca="false">INDEX(FieldSites!F:F, MATCH(Ch2_FieldSurvey!B852,FieldSites!C:C,0))</f>
        <v>2357</v>
      </c>
      <c r="F852" s="2" t="n">
        <f aca="false">INDEX(FieldSites!G:G, MATCH(Ch2_FieldSurvey!B852,FieldSites!C:C,0))</f>
        <v>-119.572754</v>
      </c>
      <c r="G852" s="2" t="n">
        <f aca="false">INDEX(FieldSites!H:H, MATCH(Ch2_FieldSurvey!B852,FieldSites!C:C,0))</f>
        <v>37.843904</v>
      </c>
      <c r="H852" s="18" t="n">
        <v>7</v>
      </c>
      <c r="I852" s="21" t="str">
        <f aca="false">CONCATENATE(B852,"_",C852,H852)</f>
        <v>YCNB_M. laciniatus7</v>
      </c>
      <c r="J852" s="22" t="n">
        <v>44714</v>
      </c>
      <c r="K852" s="23" t="n">
        <v>0.463194444444444</v>
      </c>
      <c r="L852" s="22" t="n">
        <v>44715</v>
      </c>
      <c r="M852" s="23" t="n">
        <v>0.536805555555556</v>
      </c>
      <c r="O852" s="1" t="s">
        <v>697</v>
      </c>
      <c r="P852" s="16" t="s">
        <v>656</v>
      </c>
      <c r="Q852" s="16" t="s">
        <v>471</v>
      </c>
      <c r="R852" s="16" t="s">
        <v>658</v>
      </c>
      <c r="S852" s="4" t="s">
        <v>698</v>
      </c>
      <c r="T852" s="24" t="n">
        <v>450</v>
      </c>
      <c r="U852" s="18" t="n">
        <v>5.3</v>
      </c>
      <c r="V852" s="24" t="n">
        <v>0.37</v>
      </c>
      <c r="W852" s="2" t="n">
        <v>0.6</v>
      </c>
      <c r="Z852" s="18"/>
      <c r="AA852" s="20" t="n">
        <v>13114</v>
      </c>
      <c r="AB852" s="20" t="n">
        <v>271046</v>
      </c>
      <c r="AC852" s="19" t="n">
        <f aca="false">(AB852-AA852)/AB852</f>
        <v>0.951617068689448</v>
      </c>
    </row>
    <row r="853" customFormat="false" ht="14.25" hidden="false" customHeight="true" outlineLevel="0" collapsed="false">
      <c r="A853" s="18" t="s">
        <v>688</v>
      </c>
      <c r="B853" s="18" t="s">
        <v>688</v>
      </c>
      <c r="C853" s="18" t="s">
        <v>31</v>
      </c>
      <c r="E853" s="2" t="n">
        <f aca="false">INDEX(FieldSites!F:F, MATCH(Ch2_FieldSurvey!B853,FieldSites!C:C,0))</f>
        <v>2357</v>
      </c>
      <c r="F853" s="2" t="n">
        <f aca="false">INDEX(FieldSites!G:G, MATCH(Ch2_FieldSurvey!B853,FieldSites!C:C,0))</f>
        <v>-119.572754</v>
      </c>
      <c r="G853" s="2" t="n">
        <f aca="false">INDEX(FieldSites!H:H, MATCH(Ch2_FieldSurvey!B853,FieldSites!C:C,0))</f>
        <v>37.843904</v>
      </c>
      <c r="H853" s="18" t="n">
        <v>7</v>
      </c>
      <c r="I853" s="21" t="str">
        <f aca="false">CONCATENATE(B853,"_",C853,H853)</f>
        <v>YCNB_M. laciniatus7</v>
      </c>
      <c r="J853" s="22" t="n">
        <v>44714</v>
      </c>
      <c r="K853" s="23" t="n">
        <v>0.463194444444444</v>
      </c>
      <c r="L853" s="22" t="n">
        <v>44715</v>
      </c>
      <c r="M853" s="23" t="n">
        <v>0.536805555555556</v>
      </c>
      <c r="O853" s="1" t="s">
        <v>697</v>
      </c>
      <c r="P853" s="16" t="s">
        <v>656</v>
      </c>
      <c r="Q853" s="16" t="s">
        <v>471</v>
      </c>
      <c r="R853" s="16" t="s">
        <v>658</v>
      </c>
      <c r="S853" s="4" t="s">
        <v>698</v>
      </c>
      <c r="T853" s="24" t="n">
        <v>515</v>
      </c>
      <c r="U853" s="18" t="n">
        <v>4.3</v>
      </c>
      <c r="V853" s="24" t="n">
        <v>0.35</v>
      </c>
      <c r="W853" s="2" t="n">
        <v>0.5</v>
      </c>
      <c r="Z853" s="18"/>
      <c r="AA853" s="20"/>
      <c r="AB853" s="20"/>
      <c r="AC853" s="19" t="e">
        <f aca="false">(AB853-AA853)/AB853</f>
        <v>#DIV/0!</v>
      </c>
    </row>
    <row r="854" customFormat="false" ht="14.25" hidden="false" customHeight="true" outlineLevel="0" collapsed="false">
      <c r="A854" s="18" t="s">
        <v>688</v>
      </c>
      <c r="B854" s="18" t="s">
        <v>688</v>
      </c>
      <c r="C854" s="18" t="s">
        <v>31</v>
      </c>
      <c r="E854" s="2" t="n">
        <f aca="false">INDEX(FieldSites!F:F, MATCH(Ch2_FieldSurvey!B854,FieldSites!C:C,0))</f>
        <v>2357</v>
      </c>
      <c r="F854" s="2" t="n">
        <f aca="false">INDEX(FieldSites!G:G, MATCH(Ch2_FieldSurvey!B854,FieldSites!C:C,0))</f>
        <v>-119.572754</v>
      </c>
      <c r="G854" s="2" t="n">
        <f aca="false">INDEX(FieldSites!H:H, MATCH(Ch2_FieldSurvey!B854,FieldSites!C:C,0))</f>
        <v>37.843904</v>
      </c>
      <c r="H854" s="18" t="n">
        <v>7</v>
      </c>
      <c r="I854" s="21" t="str">
        <f aca="false">CONCATENATE(B854,"_",C854,H854)</f>
        <v>YCNB_M. laciniatus7</v>
      </c>
      <c r="J854" s="22" t="n">
        <v>44714</v>
      </c>
      <c r="K854" s="23" t="n">
        <v>0.463194444444444</v>
      </c>
      <c r="L854" s="22" t="n">
        <v>44715</v>
      </c>
      <c r="M854" s="23" t="n">
        <v>0.536805555555556</v>
      </c>
      <c r="O854" s="1" t="s">
        <v>697</v>
      </c>
      <c r="P854" s="16" t="s">
        <v>656</v>
      </c>
      <c r="Q854" s="16" t="s">
        <v>471</v>
      </c>
      <c r="R854" s="16" t="s">
        <v>658</v>
      </c>
      <c r="S854" s="4" t="s">
        <v>698</v>
      </c>
      <c r="T854" s="24" t="n">
        <v>508</v>
      </c>
      <c r="U854" s="18" t="n">
        <v>4.7</v>
      </c>
      <c r="V854" s="24" t="n">
        <v>0.42</v>
      </c>
      <c r="W854" s="2" t="n">
        <v>0.5</v>
      </c>
      <c r="Z854" s="18"/>
      <c r="AA854" s="20"/>
      <c r="AB854" s="20"/>
      <c r="AC854" s="19" t="e">
        <f aca="false">(AB854-AA854)/AB854</f>
        <v>#DIV/0!</v>
      </c>
    </row>
    <row r="855" customFormat="false" ht="14.25" hidden="false" customHeight="true" outlineLevel="0" collapsed="false">
      <c r="A855" s="18" t="s">
        <v>688</v>
      </c>
      <c r="B855" s="18" t="s">
        <v>688</v>
      </c>
      <c r="C855" s="18" t="s">
        <v>31</v>
      </c>
      <c r="E855" s="2" t="n">
        <f aca="false">INDEX(FieldSites!F:F, MATCH(Ch2_FieldSurvey!B855,FieldSites!C:C,0))</f>
        <v>2357</v>
      </c>
      <c r="F855" s="2" t="n">
        <f aca="false">INDEX(FieldSites!G:G, MATCH(Ch2_FieldSurvey!B855,FieldSites!C:C,0))</f>
        <v>-119.572754</v>
      </c>
      <c r="G855" s="2" t="n">
        <f aca="false">INDEX(FieldSites!H:H, MATCH(Ch2_FieldSurvey!B855,FieldSites!C:C,0))</f>
        <v>37.843904</v>
      </c>
      <c r="H855" s="18" t="n">
        <v>8</v>
      </c>
      <c r="I855" s="21" t="str">
        <f aca="false">CONCATENATE(B855,"_",C855,H855)</f>
        <v>YCNB_M. laciniatus8</v>
      </c>
      <c r="J855" s="22" t="n">
        <v>44714</v>
      </c>
      <c r="K855" s="23" t="n">
        <v>0.463194444444444</v>
      </c>
      <c r="L855" s="22" t="n">
        <v>44715</v>
      </c>
      <c r="M855" s="23" t="n">
        <v>0.540972222222222</v>
      </c>
      <c r="O855" s="1" t="s">
        <v>699</v>
      </c>
      <c r="P855" s="16" t="s">
        <v>656</v>
      </c>
      <c r="Q855" s="16" t="s">
        <v>471</v>
      </c>
      <c r="R855" s="16" t="s">
        <v>658</v>
      </c>
      <c r="S855" s="4" t="s">
        <v>700</v>
      </c>
      <c r="T855" s="24" t="n">
        <v>278</v>
      </c>
      <c r="U855" s="18" t="n">
        <v>3.2</v>
      </c>
      <c r="V855" s="24" t="n">
        <v>0.42</v>
      </c>
      <c r="Z855" s="18"/>
      <c r="AA855" s="20" t="n">
        <v>48313</v>
      </c>
      <c r="AB855" s="20" t="n">
        <v>68944</v>
      </c>
      <c r="AC855" s="19" t="n">
        <f aca="false">(AB855-AA855)/AB855</f>
        <v>0.299242863773497</v>
      </c>
    </row>
    <row r="856" customFormat="false" ht="14.25" hidden="false" customHeight="true" outlineLevel="0" collapsed="false">
      <c r="A856" s="18" t="s">
        <v>688</v>
      </c>
      <c r="B856" s="18" t="s">
        <v>688</v>
      </c>
      <c r="C856" s="18" t="s">
        <v>31</v>
      </c>
      <c r="E856" s="2" t="n">
        <f aca="false">INDEX(FieldSites!F:F, MATCH(Ch2_FieldSurvey!B856,FieldSites!C:C,0))</f>
        <v>2357</v>
      </c>
      <c r="F856" s="2" t="n">
        <f aca="false">INDEX(FieldSites!G:G, MATCH(Ch2_FieldSurvey!B856,FieldSites!C:C,0))</f>
        <v>-119.572754</v>
      </c>
      <c r="G856" s="2" t="n">
        <f aca="false">INDEX(FieldSites!H:H, MATCH(Ch2_FieldSurvey!B856,FieldSites!C:C,0))</f>
        <v>37.843904</v>
      </c>
      <c r="H856" s="18" t="n">
        <v>8</v>
      </c>
      <c r="I856" s="21" t="str">
        <f aca="false">CONCATENATE(B856,"_",C856,H856)</f>
        <v>YCNB_M. laciniatus8</v>
      </c>
      <c r="J856" s="22" t="n">
        <v>44714</v>
      </c>
      <c r="K856" s="23" t="n">
        <v>0.463194444444444</v>
      </c>
      <c r="L856" s="22" t="n">
        <v>44715</v>
      </c>
      <c r="M856" s="23" t="n">
        <v>0.540972222222222</v>
      </c>
      <c r="O856" s="1" t="s">
        <v>699</v>
      </c>
      <c r="P856" s="16" t="s">
        <v>656</v>
      </c>
      <c r="Q856" s="16" t="s">
        <v>471</v>
      </c>
      <c r="R856" s="16" t="s">
        <v>658</v>
      </c>
      <c r="S856" s="4" t="s">
        <v>700</v>
      </c>
      <c r="T856" s="24" t="n">
        <v>333</v>
      </c>
      <c r="U856" s="18" t="n">
        <v>3.4</v>
      </c>
      <c r="V856" s="24" t="n">
        <v>0.42</v>
      </c>
      <c r="Z856" s="18"/>
      <c r="AA856" s="20"/>
      <c r="AB856" s="20"/>
      <c r="AC856" s="19" t="e">
        <f aca="false">(AB856-AA856)/AB856</f>
        <v>#DIV/0!</v>
      </c>
    </row>
    <row r="857" customFormat="false" ht="14.25" hidden="false" customHeight="true" outlineLevel="0" collapsed="false">
      <c r="A857" s="18" t="s">
        <v>688</v>
      </c>
      <c r="B857" s="18" t="s">
        <v>688</v>
      </c>
      <c r="C857" s="18" t="s">
        <v>31</v>
      </c>
      <c r="E857" s="2" t="n">
        <f aca="false">INDEX(FieldSites!F:F, MATCH(Ch2_FieldSurvey!B857,FieldSites!C:C,0))</f>
        <v>2357</v>
      </c>
      <c r="F857" s="2" t="n">
        <f aca="false">INDEX(FieldSites!G:G, MATCH(Ch2_FieldSurvey!B857,FieldSites!C:C,0))</f>
        <v>-119.572754</v>
      </c>
      <c r="G857" s="2" t="n">
        <f aca="false">INDEX(FieldSites!H:H, MATCH(Ch2_FieldSurvey!B857,FieldSites!C:C,0))</f>
        <v>37.843904</v>
      </c>
      <c r="H857" s="18" t="n">
        <v>8</v>
      </c>
      <c r="I857" s="21" t="str">
        <f aca="false">CONCATENATE(B857,"_",C857,H857)</f>
        <v>YCNB_M. laciniatus8</v>
      </c>
      <c r="J857" s="22" t="n">
        <v>44714</v>
      </c>
      <c r="K857" s="23" t="n">
        <v>0.463194444444444</v>
      </c>
      <c r="L857" s="22" t="n">
        <v>44715</v>
      </c>
      <c r="M857" s="23" t="n">
        <v>0.540972222222222</v>
      </c>
      <c r="O857" s="1" t="s">
        <v>699</v>
      </c>
      <c r="P857" s="16" t="s">
        <v>656</v>
      </c>
      <c r="Q857" s="16" t="s">
        <v>471</v>
      </c>
      <c r="R857" s="16" t="s">
        <v>658</v>
      </c>
      <c r="S857" s="4" t="s">
        <v>700</v>
      </c>
      <c r="T857" s="24" t="n">
        <v>300</v>
      </c>
      <c r="U857" s="18" t="n">
        <v>2.3</v>
      </c>
      <c r="V857" s="24" t="n">
        <v>0.36</v>
      </c>
      <c r="W857" s="2"/>
      <c r="Z857" s="18"/>
      <c r="AA857" s="20"/>
      <c r="AB857" s="20"/>
      <c r="AC857" s="19" t="e">
        <f aca="false">(AB857-AA857)/AB857</f>
        <v>#DIV/0!</v>
      </c>
    </row>
    <row r="858" customFormat="false" ht="14.25" hidden="false" customHeight="true" outlineLevel="0" collapsed="false">
      <c r="A858" s="18" t="s">
        <v>688</v>
      </c>
      <c r="B858" s="18" t="s">
        <v>688</v>
      </c>
      <c r="C858" s="18" t="s">
        <v>31</v>
      </c>
      <c r="E858" s="2" t="n">
        <f aca="false">INDEX(FieldSites!F:F, MATCH(Ch2_FieldSurvey!B858,FieldSites!C:C,0))</f>
        <v>2357</v>
      </c>
      <c r="F858" s="2" t="n">
        <f aca="false">INDEX(FieldSites!G:G, MATCH(Ch2_FieldSurvey!B858,FieldSites!C:C,0))</f>
        <v>-119.572754</v>
      </c>
      <c r="G858" s="2" t="n">
        <f aca="false">INDEX(FieldSites!H:H, MATCH(Ch2_FieldSurvey!B858,FieldSites!C:C,0))</f>
        <v>37.843904</v>
      </c>
      <c r="H858" s="18" t="n">
        <v>9</v>
      </c>
      <c r="I858" s="21" t="str">
        <f aca="false">CONCATENATE(B858,"_",C858,H858)</f>
        <v>YCNB_M. laciniatus9</v>
      </c>
      <c r="J858" s="22" t="n">
        <v>44714</v>
      </c>
      <c r="K858" s="23" t="n">
        <v>0.463194444444444</v>
      </c>
      <c r="L858" s="22" t="n">
        <v>44715</v>
      </c>
      <c r="M858" s="23" t="n">
        <v>0.544444444444444</v>
      </c>
      <c r="O858" s="1" t="s">
        <v>701</v>
      </c>
      <c r="P858" s="16" t="s">
        <v>656</v>
      </c>
      <c r="Q858" s="16" t="s">
        <v>471</v>
      </c>
      <c r="R858" s="16" t="s">
        <v>658</v>
      </c>
      <c r="S858" s="4" t="s">
        <v>702</v>
      </c>
      <c r="T858" s="24" t="n">
        <v>572</v>
      </c>
      <c r="U858" s="18" t="n">
        <v>5.7</v>
      </c>
      <c r="V858" s="24" t="n">
        <v>0.32</v>
      </c>
      <c r="W858" s="2" t="n">
        <v>0.7</v>
      </c>
      <c r="Z858" s="18"/>
      <c r="AA858" s="20" t="n">
        <v>69788</v>
      </c>
      <c r="AB858" s="20" t="n">
        <v>95792</v>
      </c>
      <c r="AC858" s="19" t="n">
        <f aca="false">(AB858-AA858)/AB858</f>
        <v>0.271463170202105</v>
      </c>
    </row>
    <row r="859" customFormat="false" ht="14.25" hidden="false" customHeight="true" outlineLevel="0" collapsed="false">
      <c r="A859" s="18" t="s">
        <v>688</v>
      </c>
      <c r="B859" s="18" t="s">
        <v>688</v>
      </c>
      <c r="C859" s="18" t="s">
        <v>31</v>
      </c>
      <c r="E859" s="2" t="n">
        <f aca="false">INDEX(FieldSites!F:F, MATCH(Ch2_FieldSurvey!B859,FieldSites!C:C,0))</f>
        <v>2357</v>
      </c>
      <c r="F859" s="2" t="n">
        <f aca="false">INDEX(FieldSites!G:G, MATCH(Ch2_FieldSurvey!B859,FieldSites!C:C,0))</f>
        <v>-119.572754</v>
      </c>
      <c r="G859" s="2" t="n">
        <f aca="false">INDEX(FieldSites!H:H, MATCH(Ch2_FieldSurvey!B859,FieldSites!C:C,0))</f>
        <v>37.843904</v>
      </c>
      <c r="H859" s="18" t="n">
        <v>9</v>
      </c>
      <c r="I859" s="21" t="str">
        <f aca="false">CONCATENATE(B859,"_",C859,H859)</f>
        <v>YCNB_M. laciniatus9</v>
      </c>
      <c r="J859" s="22" t="n">
        <v>44714</v>
      </c>
      <c r="K859" s="23" t="n">
        <v>0.463194444444444</v>
      </c>
      <c r="L859" s="22" t="n">
        <v>44715</v>
      </c>
      <c r="M859" s="23" t="n">
        <v>0.544444444444444</v>
      </c>
      <c r="O859" s="1" t="s">
        <v>701</v>
      </c>
      <c r="P859" s="16" t="s">
        <v>656</v>
      </c>
      <c r="Q859" s="16" t="s">
        <v>471</v>
      </c>
      <c r="R859" s="16" t="s">
        <v>658</v>
      </c>
      <c r="S859" s="4" t="s">
        <v>702</v>
      </c>
      <c r="T859" s="24" t="n">
        <v>551</v>
      </c>
      <c r="U859" s="18" t="n">
        <v>4.8</v>
      </c>
      <c r="V859" s="24" t="n">
        <v>0.31</v>
      </c>
      <c r="W859" s="2" t="n">
        <v>0.7</v>
      </c>
      <c r="Z859" s="18"/>
      <c r="AA859" s="20"/>
      <c r="AB859" s="20"/>
      <c r="AC859" s="19" t="e">
        <f aca="false">(AB859-AA859)/AB859</f>
        <v>#DIV/0!</v>
      </c>
    </row>
    <row r="860" customFormat="false" ht="14.25" hidden="false" customHeight="true" outlineLevel="0" collapsed="false">
      <c r="A860" s="18" t="s">
        <v>688</v>
      </c>
      <c r="B860" s="18" t="s">
        <v>688</v>
      </c>
      <c r="C860" s="18" t="s">
        <v>31</v>
      </c>
      <c r="E860" s="2" t="n">
        <f aca="false">INDEX(FieldSites!F:F, MATCH(Ch2_FieldSurvey!B860,FieldSites!C:C,0))</f>
        <v>2357</v>
      </c>
      <c r="F860" s="2" t="n">
        <f aca="false">INDEX(FieldSites!G:G, MATCH(Ch2_FieldSurvey!B860,FieldSites!C:C,0))</f>
        <v>-119.572754</v>
      </c>
      <c r="G860" s="2" t="n">
        <f aca="false">INDEX(FieldSites!H:H, MATCH(Ch2_FieldSurvey!B860,FieldSites!C:C,0))</f>
        <v>37.843904</v>
      </c>
      <c r="H860" s="18" t="n">
        <v>9</v>
      </c>
      <c r="I860" s="21" t="str">
        <f aca="false">CONCATENATE(B860,"_",C860,H860)</f>
        <v>YCNB_M. laciniatus9</v>
      </c>
      <c r="J860" s="22" t="n">
        <v>44714</v>
      </c>
      <c r="K860" s="23" t="n">
        <v>0.463194444444444</v>
      </c>
      <c r="L860" s="22" t="n">
        <v>44715</v>
      </c>
      <c r="M860" s="23" t="n">
        <v>0.544444444444444</v>
      </c>
      <c r="O860" s="1" t="s">
        <v>701</v>
      </c>
      <c r="P860" s="16" t="s">
        <v>656</v>
      </c>
      <c r="Q860" s="16" t="s">
        <v>471</v>
      </c>
      <c r="R860" s="16" t="s">
        <v>658</v>
      </c>
      <c r="S860" s="4" t="s">
        <v>702</v>
      </c>
      <c r="T860" s="24" t="n">
        <v>510</v>
      </c>
      <c r="U860" s="18" t="n">
        <v>3.1</v>
      </c>
      <c r="V860" s="24" t="n">
        <v>0.29</v>
      </c>
      <c r="W860" s="2" t="n">
        <v>0.6</v>
      </c>
      <c r="Z860" s="18"/>
      <c r="AA860" s="20"/>
      <c r="AB860" s="20"/>
      <c r="AC860" s="19" t="e">
        <f aca="false">(AB860-AA860)/AB860</f>
        <v>#DIV/0!</v>
      </c>
    </row>
    <row r="861" customFormat="false" ht="14.25" hidden="false" customHeight="true" outlineLevel="0" collapsed="false">
      <c r="A861" s="18" t="s">
        <v>688</v>
      </c>
      <c r="B861" s="18" t="s">
        <v>688</v>
      </c>
      <c r="C861" s="18" t="s">
        <v>31</v>
      </c>
      <c r="E861" s="2" t="n">
        <f aca="false">INDEX(FieldSites!F:F, MATCH(Ch2_FieldSurvey!B861,FieldSites!C:C,0))</f>
        <v>2357</v>
      </c>
      <c r="F861" s="2" t="n">
        <f aca="false">INDEX(FieldSites!G:G, MATCH(Ch2_FieldSurvey!B861,FieldSites!C:C,0))</f>
        <v>-119.572754</v>
      </c>
      <c r="G861" s="2" t="n">
        <f aca="false">INDEX(FieldSites!H:H, MATCH(Ch2_FieldSurvey!B861,FieldSites!C:C,0))</f>
        <v>37.843904</v>
      </c>
      <c r="H861" s="18" t="n">
        <v>10</v>
      </c>
      <c r="I861" s="21" t="str">
        <f aca="false">CONCATENATE(B861,"_",C861,H861)</f>
        <v>YCNB_M. laciniatus10</v>
      </c>
      <c r="J861" s="22" t="n">
        <v>44714</v>
      </c>
      <c r="K861" s="23" t="n">
        <v>0.463194444444444</v>
      </c>
      <c r="L861" s="22" t="n">
        <v>44715</v>
      </c>
      <c r="M861" s="23" t="n">
        <v>0.547916666666667</v>
      </c>
      <c r="O861" s="1" t="s">
        <v>703</v>
      </c>
      <c r="P861" s="16" t="s">
        <v>656</v>
      </c>
      <c r="Q861" s="16" t="s">
        <v>471</v>
      </c>
      <c r="R861" s="16" t="s">
        <v>658</v>
      </c>
      <c r="S861" s="4" t="s">
        <v>704</v>
      </c>
      <c r="T861" s="24" t="n">
        <v>461</v>
      </c>
      <c r="U861" s="18" t="n">
        <v>3.6</v>
      </c>
      <c r="V861" s="24" t="n">
        <v>0.29</v>
      </c>
      <c r="W861" s="2" t="n">
        <v>0.6</v>
      </c>
      <c r="Z861" s="18"/>
      <c r="AA861" s="20"/>
      <c r="AB861" s="20"/>
      <c r="AC861" s="19" t="e">
        <f aca="false">(AB861-AA861)/AB861</f>
        <v>#DIV/0!</v>
      </c>
    </row>
    <row r="862" customFormat="false" ht="14.25" hidden="false" customHeight="true" outlineLevel="0" collapsed="false">
      <c r="A862" s="18" t="s">
        <v>688</v>
      </c>
      <c r="B862" s="18" t="s">
        <v>688</v>
      </c>
      <c r="C862" s="18" t="s">
        <v>31</v>
      </c>
      <c r="E862" s="2" t="n">
        <f aca="false">INDEX(FieldSites!F:F, MATCH(Ch2_FieldSurvey!B862,FieldSites!C:C,0))</f>
        <v>2357</v>
      </c>
      <c r="F862" s="2" t="n">
        <f aca="false">INDEX(FieldSites!G:G, MATCH(Ch2_FieldSurvey!B862,FieldSites!C:C,0))</f>
        <v>-119.572754</v>
      </c>
      <c r="G862" s="2" t="n">
        <f aca="false">INDEX(FieldSites!H:H, MATCH(Ch2_FieldSurvey!B862,FieldSites!C:C,0))</f>
        <v>37.843904</v>
      </c>
      <c r="H862" s="18" t="n">
        <v>10</v>
      </c>
      <c r="I862" s="21" t="str">
        <f aca="false">CONCATENATE(B862,"_",C862,H862)</f>
        <v>YCNB_M. laciniatus10</v>
      </c>
      <c r="J862" s="22" t="n">
        <v>44714</v>
      </c>
      <c r="K862" s="23" t="n">
        <v>0.463194444444444</v>
      </c>
      <c r="L862" s="22" t="n">
        <v>44715</v>
      </c>
      <c r="M862" s="23" t="n">
        <v>0.547916666666667</v>
      </c>
      <c r="O862" s="1" t="s">
        <v>703</v>
      </c>
      <c r="P862" s="16" t="s">
        <v>656</v>
      </c>
      <c r="Q862" s="16" t="s">
        <v>471</v>
      </c>
      <c r="R862" s="16" t="s">
        <v>658</v>
      </c>
      <c r="S862" s="4" t="s">
        <v>704</v>
      </c>
      <c r="T862" s="24" t="n">
        <v>453</v>
      </c>
      <c r="U862" s="18" t="n">
        <v>2.8</v>
      </c>
      <c r="V862" s="24" t="n">
        <v>0.28</v>
      </c>
      <c r="Z862" s="18" t="s">
        <v>581</v>
      </c>
      <c r="AA862" s="20"/>
      <c r="AB862" s="20"/>
      <c r="AC862" s="19" t="e">
        <f aca="false">(AB862-AA862)/AB862</f>
        <v>#DIV/0!</v>
      </c>
    </row>
    <row r="863" customFormat="false" ht="14.25" hidden="false" customHeight="true" outlineLevel="0" collapsed="false">
      <c r="A863" s="18" t="s">
        <v>688</v>
      </c>
      <c r="B863" s="18" t="s">
        <v>688</v>
      </c>
      <c r="C863" s="18" t="s">
        <v>31</v>
      </c>
      <c r="E863" s="2" t="n">
        <f aca="false">INDEX(FieldSites!F:F, MATCH(Ch2_FieldSurvey!B863,FieldSites!C:C,0))</f>
        <v>2357</v>
      </c>
      <c r="F863" s="2" t="n">
        <f aca="false">INDEX(FieldSites!G:G, MATCH(Ch2_FieldSurvey!B863,FieldSites!C:C,0))</f>
        <v>-119.572754</v>
      </c>
      <c r="G863" s="2" t="n">
        <f aca="false">INDEX(FieldSites!H:H, MATCH(Ch2_FieldSurvey!B863,FieldSites!C:C,0))</f>
        <v>37.843904</v>
      </c>
      <c r="H863" s="18" t="n">
        <v>10</v>
      </c>
      <c r="I863" s="21" t="str">
        <f aca="false">CONCATENATE(B863,"_",C863,H863)</f>
        <v>YCNB_M. laciniatus10</v>
      </c>
      <c r="J863" s="22" t="n">
        <v>44714</v>
      </c>
      <c r="K863" s="23" t="n">
        <v>0.463194444444444</v>
      </c>
      <c r="L863" s="22" t="n">
        <v>44715</v>
      </c>
      <c r="M863" s="23" t="n">
        <v>0.547916666666667</v>
      </c>
      <c r="O863" s="1" t="s">
        <v>703</v>
      </c>
      <c r="P863" s="16" t="s">
        <v>656</v>
      </c>
      <c r="Q863" s="16" t="s">
        <v>471</v>
      </c>
      <c r="R863" s="16" t="s">
        <v>658</v>
      </c>
      <c r="S863" s="4" t="s">
        <v>704</v>
      </c>
      <c r="T863" s="24" t="n">
        <v>305</v>
      </c>
      <c r="U863" s="18" t="n">
        <v>3.3</v>
      </c>
      <c r="V863" s="24" t="n">
        <v>0.25</v>
      </c>
      <c r="Z863" s="18" t="s">
        <v>581</v>
      </c>
      <c r="AA863" s="20"/>
      <c r="AB863" s="20"/>
      <c r="AC863" s="19" t="e">
        <f aca="false">(AB863-AA863)/AB863</f>
        <v>#DIV/0!</v>
      </c>
    </row>
    <row r="864" customFormat="false" ht="14.25" hidden="false" customHeight="true" outlineLevel="0" collapsed="false">
      <c r="A864" s="18" t="s">
        <v>705</v>
      </c>
      <c r="B864" s="18" t="s">
        <v>705</v>
      </c>
      <c r="C864" s="18" t="s">
        <v>31</v>
      </c>
      <c r="E864" s="2" t="n">
        <f aca="false">INDEX(FieldSites!F:F, MATCH(Ch2_FieldSurvey!B864,FieldSites!C:C,0))</f>
        <v>2572</v>
      </c>
      <c r="F864" s="2" t="n">
        <f aca="false">INDEX(FieldSites!G:G, MATCH(Ch2_FieldSurvey!B864,FieldSites!C:C,0))</f>
        <v>-119.440369</v>
      </c>
      <c r="G864" s="2" t="n">
        <f aca="false">INDEX(FieldSites!H:H, MATCH(Ch2_FieldSurvey!B864,FieldSites!C:C,0))</f>
        <v>37.853852</v>
      </c>
      <c r="H864" s="18" t="n">
        <v>1</v>
      </c>
      <c r="I864" s="21" t="str">
        <f aca="false">CONCATENATE(B864,"_",C864,H864)</f>
        <v>KNOB_M. laciniatus1</v>
      </c>
      <c r="J864" s="22" t="n">
        <v>44726</v>
      </c>
      <c r="K864" s="23" t="n">
        <v>0.666666666666667</v>
      </c>
      <c r="L864" s="22" t="n">
        <v>44727</v>
      </c>
      <c r="M864" s="23" t="n">
        <v>0.420833333333333</v>
      </c>
      <c r="O864" s="1" t="s">
        <v>706</v>
      </c>
      <c r="P864" s="16" t="s">
        <v>707</v>
      </c>
      <c r="Q864" s="16" t="s">
        <v>708</v>
      </c>
      <c r="R864" s="16" t="s">
        <v>709</v>
      </c>
      <c r="S864" s="4" t="s">
        <v>710</v>
      </c>
      <c r="T864" s="24" t="n">
        <v>602</v>
      </c>
      <c r="U864" s="18" t="n">
        <v>8.9</v>
      </c>
      <c r="V864" s="24" t="n">
        <v>0.34</v>
      </c>
      <c r="W864" s="2" t="n">
        <v>0.6</v>
      </c>
      <c r="Z864" s="18"/>
      <c r="AA864" s="20" t="n">
        <v>126913</v>
      </c>
      <c r="AB864" s="20" t="n">
        <v>230499</v>
      </c>
      <c r="AC864" s="19" t="n">
        <f aca="false">(AB864-AA864)/AB864</f>
        <v>0.449398912793548</v>
      </c>
    </row>
    <row r="865" customFormat="false" ht="14.25" hidden="false" customHeight="true" outlineLevel="0" collapsed="false">
      <c r="A865" s="18" t="s">
        <v>705</v>
      </c>
      <c r="B865" s="18" t="s">
        <v>705</v>
      </c>
      <c r="C865" s="18" t="s">
        <v>31</v>
      </c>
      <c r="E865" s="2" t="n">
        <f aca="false">INDEX(FieldSites!F:F, MATCH(Ch2_FieldSurvey!B865,FieldSites!C:C,0))</f>
        <v>2572</v>
      </c>
      <c r="F865" s="2" t="n">
        <f aca="false">INDEX(FieldSites!G:G, MATCH(Ch2_FieldSurvey!B865,FieldSites!C:C,0))</f>
        <v>-119.440369</v>
      </c>
      <c r="G865" s="2" t="n">
        <f aca="false">INDEX(FieldSites!H:H, MATCH(Ch2_FieldSurvey!B865,FieldSites!C:C,0))</f>
        <v>37.853852</v>
      </c>
      <c r="H865" s="18" t="n">
        <v>1</v>
      </c>
      <c r="I865" s="21" t="str">
        <f aca="false">CONCATENATE(B865,"_",C865,H865)</f>
        <v>KNOB_M. laciniatus1</v>
      </c>
      <c r="J865" s="22" t="n">
        <v>44726</v>
      </c>
      <c r="K865" s="23" t="n">
        <v>0.666666666666667</v>
      </c>
      <c r="L865" s="22" t="n">
        <v>44727</v>
      </c>
      <c r="M865" s="23"/>
      <c r="O865" s="1" t="s">
        <v>706</v>
      </c>
      <c r="P865" s="16" t="s">
        <v>707</v>
      </c>
      <c r="Q865" s="16" t="s">
        <v>708</v>
      </c>
      <c r="R865" s="16" t="s">
        <v>709</v>
      </c>
      <c r="T865" s="24" t="n">
        <v>605</v>
      </c>
      <c r="U865" s="18" t="n">
        <v>9</v>
      </c>
      <c r="V865" s="24" t="n">
        <v>0.34</v>
      </c>
      <c r="W865" s="2" t="n">
        <v>0.6</v>
      </c>
      <c r="Z865" s="18"/>
      <c r="AA865" s="20"/>
      <c r="AB865" s="20"/>
      <c r="AC865" s="19" t="e">
        <f aca="false">(AB865-AA865)/AB865</f>
        <v>#DIV/0!</v>
      </c>
    </row>
    <row r="866" customFormat="false" ht="14.25" hidden="false" customHeight="true" outlineLevel="0" collapsed="false">
      <c r="A866" s="18" t="s">
        <v>705</v>
      </c>
      <c r="B866" s="18" t="s">
        <v>705</v>
      </c>
      <c r="C866" s="18" t="s">
        <v>31</v>
      </c>
      <c r="E866" s="2" t="n">
        <f aca="false">INDEX(FieldSites!F:F, MATCH(Ch2_FieldSurvey!B866,FieldSites!C:C,0))</f>
        <v>2572</v>
      </c>
      <c r="F866" s="2" t="n">
        <f aca="false">INDEX(FieldSites!G:G, MATCH(Ch2_FieldSurvey!B866,FieldSites!C:C,0))</f>
        <v>-119.440369</v>
      </c>
      <c r="G866" s="2" t="n">
        <f aca="false">INDEX(FieldSites!H:H, MATCH(Ch2_FieldSurvey!B866,FieldSites!C:C,0))</f>
        <v>37.853852</v>
      </c>
      <c r="H866" s="18" t="n">
        <v>1</v>
      </c>
      <c r="I866" s="21" t="str">
        <f aca="false">CONCATENATE(B866,"_",C866,H866)</f>
        <v>KNOB_M. laciniatus1</v>
      </c>
      <c r="J866" s="22" t="n">
        <v>44726</v>
      </c>
      <c r="K866" s="23" t="n">
        <v>0.666666666666667</v>
      </c>
      <c r="L866" s="22" t="n">
        <v>44727</v>
      </c>
      <c r="M866" s="23"/>
      <c r="O866" s="1" t="s">
        <v>706</v>
      </c>
      <c r="P866" s="16" t="s">
        <v>707</v>
      </c>
      <c r="Q866" s="16" t="s">
        <v>708</v>
      </c>
      <c r="R866" s="16" t="s">
        <v>709</v>
      </c>
      <c r="T866" s="24" t="n">
        <v>431</v>
      </c>
      <c r="U866" s="18" t="n">
        <v>6.3</v>
      </c>
      <c r="V866" s="24" t="n">
        <v>0.26</v>
      </c>
      <c r="W866" s="2" t="n">
        <v>0.5</v>
      </c>
      <c r="Z866" s="18"/>
      <c r="AA866" s="20"/>
      <c r="AB866" s="20"/>
      <c r="AC866" s="19" t="e">
        <f aca="false">(AB866-AA866)/AB866</f>
        <v>#DIV/0!</v>
      </c>
    </row>
    <row r="867" customFormat="false" ht="14.25" hidden="false" customHeight="true" outlineLevel="0" collapsed="false">
      <c r="A867" s="18" t="s">
        <v>705</v>
      </c>
      <c r="B867" s="18" t="s">
        <v>705</v>
      </c>
      <c r="C867" s="18" t="s">
        <v>31</v>
      </c>
      <c r="E867" s="2" t="n">
        <f aca="false">INDEX(FieldSites!F:F, MATCH(Ch2_FieldSurvey!B867,FieldSites!C:C,0))</f>
        <v>2572</v>
      </c>
      <c r="F867" s="2" t="n">
        <f aca="false">INDEX(FieldSites!G:G, MATCH(Ch2_FieldSurvey!B867,FieldSites!C:C,0))</f>
        <v>-119.440369</v>
      </c>
      <c r="G867" s="2" t="n">
        <f aca="false">INDEX(FieldSites!H:H, MATCH(Ch2_FieldSurvey!B867,FieldSites!C:C,0))</f>
        <v>37.853852</v>
      </c>
      <c r="H867" s="18" t="n">
        <v>2</v>
      </c>
      <c r="I867" s="21" t="str">
        <f aca="false">CONCATENATE(B867,"_",C867,H867)</f>
        <v>KNOB_M. laciniatus2</v>
      </c>
      <c r="J867" s="22" t="n">
        <v>44726</v>
      </c>
      <c r="K867" s="23" t="n">
        <v>0.666666666666667</v>
      </c>
      <c r="L867" s="22" t="n">
        <v>44727</v>
      </c>
      <c r="M867" s="23" t="n">
        <v>0.433333333333333</v>
      </c>
      <c r="O867" s="1" t="s">
        <v>711</v>
      </c>
      <c r="P867" s="16" t="s">
        <v>707</v>
      </c>
      <c r="Q867" s="16" t="s">
        <v>708</v>
      </c>
      <c r="R867" s="16" t="s">
        <v>709</v>
      </c>
      <c r="S867" s="4" t="s">
        <v>460</v>
      </c>
      <c r="T867" s="24" t="n">
        <v>424</v>
      </c>
      <c r="U867" s="18" t="n">
        <v>5.8</v>
      </c>
      <c r="V867" s="24" t="n">
        <v>0.27</v>
      </c>
      <c r="W867" s="2" t="n">
        <v>0.7</v>
      </c>
      <c r="Z867" s="18"/>
      <c r="AA867" s="20" t="n">
        <v>203424</v>
      </c>
      <c r="AB867" s="20" t="n">
        <v>448646</v>
      </c>
      <c r="AC867" s="19" t="n">
        <f aca="false">(AB867-AA867)/AB867</f>
        <v>0.546582383438167</v>
      </c>
    </row>
    <row r="868" customFormat="false" ht="14.25" hidden="false" customHeight="true" outlineLevel="0" collapsed="false">
      <c r="A868" s="18" t="s">
        <v>705</v>
      </c>
      <c r="B868" s="18" t="s">
        <v>705</v>
      </c>
      <c r="C868" s="18" t="s">
        <v>31</v>
      </c>
      <c r="E868" s="2" t="n">
        <f aca="false">INDEX(FieldSites!F:F, MATCH(Ch2_FieldSurvey!B868,FieldSites!C:C,0))</f>
        <v>2572</v>
      </c>
      <c r="F868" s="2" t="n">
        <f aca="false">INDEX(FieldSites!G:G, MATCH(Ch2_FieldSurvey!B868,FieldSites!C:C,0))</f>
        <v>-119.440369</v>
      </c>
      <c r="G868" s="2" t="n">
        <f aca="false">INDEX(FieldSites!H:H, MATCH(Ch2_FieldSurvey!B868,FieldSites!C:C,0))</f>
        <v>37.853852</v>
      </c>
      <c r="H868" s="18" t="n">
        <v>2</v>
      </c>
      <c r="I868" s="21" t="str">
        <f aca="false">CONCATENATE(B868,"_",C868,H868)</f>
        <v>KNOB_M. laciniatus2</v>
      </c>
      <c r="J868" s="22" t="n">
        <v>44726</v>
      </c>
      <c r="K868" s="23" t="n">
        <v>0.666666666666667</v>
      </c>
      <c r="L868" s="22" t="n">
        <v>44727</v>
      </c>
      <c r="M868" s="23"/>
      <c r="O868" s="1" t="s">
        <v>711</v>
      </c>
      <c r="P868" s="16" t="s">
        <v>707</v>
      </c>
      <c r="Q868" s="16" t="s">
        <v>708</v>
      </c>
      <c r="R868" s="16" t="s">
        <v>709</v>
      </c>
      <c r="T868" s="24" t="n">
        <v>461</v>
      </c>
      <c r="U868" s="18" t="n">
        <v>3.8</v>
      </c>
      <c r="V868" s="24" t="n">
        <v>0.33</v>
      </c>
      <c r="W868" s="2" t="n">
        <v>0.5</v>
      </c>
      <c r="Z868" s="18"/>
      <c r="AA868" s="20"/>
      <c r="AB868" s="20"/>
      <c r="AC868" s="19" t="e">
        <f aca="false">(AB868-AA868)/AB868</f>
        <v>#DIV/0!</v>
      </c>
    </row>
    <row r="869" customFormat="false" ht="14.25" hidden="false" customHeight="true" outlineLevel="0" collapsed="false">
      <c r="A869" s="18" t="s">
        <v>705</v>
      </c>
      <c r="B869" s="18" t="s">
        <v>705</v>
      </c>
      <c r="C869" s="18" t="s">
        <v>31</v>
      </c>
      <c r="E869" s="2" t="n">
        <f aca="false">INDEX(FieldSites!F:F, MATCH(Ch2_FieldSurvey!B869,FieldSites!C:C,0))</f>
        <v>2572</v>
      </c>
      <c r="F869" s="2" t="n">
        <f aca="false">INDEX(FieldSites!G:G, MATCH(Ch2_FieldSurvey!B869,FieldSites!C:C,0))</f>
        <v>-119.440369</v>
      </c>
      <c r="G869" s="2" t="n">
        <f aca="false">INDEX(FieldSites!H:H, MATCH(Ch2_FieldSurvey!B869,FieldSites!C:C,0))</f>
        <v>37.853852</v>
      </c>
      <c r="H869" s="18" t="n">
        <v>2</v>
      </c>
      <c r="I869" s="21" t="str">
        <f aca="false">CONCATENATE(B869,"_",C869,H869)</f>
        <v>KNOB_M. laciniatus2</v>
      </c>
      <c r="J869" s="22" t="n">
        <v>44726</v>
      </c>
      <c r="K869" s="23" t="n">
        <v>0.666666666666667</v>
      </c>
      <c r="L869" s="22" t="n">
        <v>44727</v>
      </c>
      <c r="M869" s="23"/>
      <c r="O869" s="1" t="s">
        <v>711</v>
      </c>
      <c r="P869" s="16" t="s">
        <v>707</v>
      </c>
      <c r="Q869" s="16" t="s">
        <v>708</v>
      </c>
      <c r="R869" s="16" t="s">
        <v>709</v>
      </c>
      <c r="T869" s="24" t="n">
        <v>383</v>
      </c>
      <c r="U869" s="18" t="n">
        <v>5.9</v>
      </c>
      <c r="V869" s="24" t="n">
        <v>0.31</v>
      </c>
      <c r="W869" s="2" t="n">
        <v>0.7</v>
      </c>
      <c r="Z869" s="18"/>
      <c r="AA869" s="20"/>
      <c r="AB869" s="20"/>
      <c r="AC869" s="19" t="e">
        <f aca="false">(AB869-AA869)/AB869</f>
        <v>#DIV/0!</v>
      </c>
    </row>
    <row r="870" customFormat="false" ht="14.25" hidden="false" customHeight="true" outlineLevel="0" collapsed="false">
      <c r="A870" s="18" t="s">
        <v>705</v>
      </c>
      <c r="B870" s="18" t="s">
        <v>705</v>
      </c>
      <c r="C870" s="18" t="s">
        <v>31</v>
      </c>
      <c r="E870" s="2" t="n">
        <f aca="false">INDEX(FieldSites!F:F, MATCH(Ch2_FieldSurvey!B870,FieldSites!C:C,0))</f>
        <v>2572</v>
      </c>
      <c r="F870" s="2" t="n">
        <f aca="false">INDEX(FieldSites!G:G, MATCH(Ch2_FieldSurvey!B870,FieldSites!C:C,0))</f>
        <v>-119.440369</v>
      </c>
      <c r="G870" s="2" t="n">
        <f aca="false">INDEX(FieldSites!H:H, MATCH(Ch2_FieldSurvey!B870,FieldSites!C:C,0))</f>
        <v>37.853852</v>
      </c>
      <c r="H870" s="18" t="n">
        <v>3</v>
      </c>
      <c r="I870" s="21" t="str">
        <f aca="false">CONCATENATE(B870,"_",C870,H870)</f>
        <v>KNOB_M. laciniatus3</v>
      </c>
      <c r="J870" s="22" t="n">
        <v>44726</v>
      </c>
      <c r="K870" s="23" t="n">
        <v>0.666666666666667</v>
      </c>
      <c r="L870" s="22" t="n">
        <v>44727</v>
      </c>
      <c r="M870" s="23" t="n">
        <v>0.438194444444445</v>
      </c>
      <c r="O870" s="1" t="s">
        <v>712</v>
      </c>
      <c r="P870" s="16" t="s">
        <v>707</v>
      </c>
      <c r="Q870" s="16" t="s">
        <v>708</v>
      </c>
      <c r="R870" s="16" t="s">
        <v>709</v>
      </c>
      <c r="S870" s="4" t="s">
        <v>565</v>
      </c>
      <c r="T870" s="24" t="n">
        <v>455</v>
      </c>
      <c r="U870" s="18" t="n">
        <v>3.6</v>
      </c>
      <c r="V870" s="24" t="n">
        <v>0.28</v>
      </c>
      <c r="Z870" s="18" t="s">
        <v>581</v>
      </c>
      <c r="AA870" s="20" t="n">
        <v>67267</v>
      </c>
      <c r="AB870" s="20" t="n">
        <v>126528</v>
      </c>
      <c r="AC870" s="19" t="n">
        <f aca="false">(AB870-AA870)/AB870</f>
        <v>0.468362733940314</v>
      </c>
    </row>
    <row r="871" customFormat="false" ht="14.25" hidden="false" customHeight="true" outlineLevel="0" collapsed="false">
      <c r="A871" s="18" t="s">
        <v>705</v>
      </c>
      <c r="B871" s="18" t="s">
        <v>705</v>
      </c>
      <c r="C871" s="18" t="s">
        <v>31</v>
      </c>
      <c r="E871" s="2" t="n">
        <f aca="false">INDEX(FieldSites!F:F, MATCH(Ch2_FieldSurvey!B871,FieldSites!C:C,0))</f>
        <v>2572</v>
      </c>
      <c r="F871" s="2" t="n">
        <f aca="false">INDEX(FieldSites!G:G, MATCH(Ch2_FieldSurvey!B871,FieldSites!C:C,0))</f>
        <v>-119.440369</v>
      </c>
      <c r="G871" s="2" t="n">
        <f aca="false">INDEX(FieldSites!H:H, MATCH(Ch2_FieldSurvey!B871,FieldSites!C:C,0))</f>
        <v>37.853852</v>
      </c>
      <c r="H871" s="18" t="n">
        <v>3</v>
      </c>
      <c r="I871" s="21" t="str">
        <f aca="false">CONCATENATE(B871,"_",C871,H871)</f>
        <v>KNOB_M. laciniatus3</v>
      </c>
      <c r="J871" s="22" t="n">
        <v>44726</v>
      </c>
      <c r="K871" s="23" t="n">
        <v>0.666666666666667</v>
      </c>
      <c r="L871" s="22" t="n">
        <v>44727</v>
      </c>
      <c r="M871" s="23"/>
      <c r="O871" s="1" t="s">
        <v>712</v>
      </c>
      <c r="P871" s="16" t="s">
        <v>707</v>
      </c>
      <c r="Q871" s="16" t="s">
        <v>708</v>
      </c>
      <c r="R871" s="16" t="s">
        <v>709</v>
      </c>
      <c r="T871" s="24" t="n">
        <v>385</v>
      </c>
      <c r="U871" s="18" t="n">
        <v>2</v>
      </c>
      <c r="V871" s="24" t="n">
        <v>0.32</v>
      </c>
      <c r="Z871" s="18" t="s">
        <v>581</v>
      </c>
      <c r="AA871" s="20"/>
      <c r="AB871" s="20"/>
      <c r="AC871" s="19" t="e">
        <f aca="false">(AB871-AA871)/AB871</f>
        <v>#DIV/0!</v>
      </c>
    </row>
    <row r="872" customFormat="false" ht="14.25" hidden="false" customHeight="true" outlineLevel="0" collapsed="false">
      <c r="A872" s="18" t="s">
        <v>705</v>
      </c>
      <c r="B872" s="18" t="s">
        <v>705</v>
      </c>
      <c r="C872" s="18" t="s">
        <v>31</v>
      </c>
      <c r="E872" s="2" t="n">
        <f aca="false">INDEX(FieldSites!F:F, MATCH(Ch2_FieldSurvey!B872,FieldSites!C:C,0))</f>
        <v>2572</v>
      </c>
      <c r="F872" s="2" t="n">
        <f aca="false">INDEX(FieldSites!G:G, MATCH(Ch2_FieldSurvey!B872,FieldSites!C:C,0))</f>
        <v>-119.440369</v>
      </c>
      <c r="G872" s="2" t="n">
        <f aca="false">INDEX(FieldSites!H:H, MATCH(Ch2_FieldSurvey!B872,FieldSites!C:C,0))</f>
        <v>37.853852</v>
      </c>
      <c r="H872" s="18" t="n">
        <v>3</v>
      </c>
      <c r="I872" s="21" t="str">
        <f aca="false">CONCATENATE(B872,"_",C872,H872)</f>
        <v>KNOB_M. laciniatus3</v>
      </c>
      <c r="J872" s="22" t="n">
        <v>44726</v>
      </c>
      <c r="K872" s="23" t="n">
        <v>0.666666666666667</v>
      </c>
      <c r="L872" s="22" t="n">
        <v>44727</v>
      </c>
      <c r="M872" s="23"/>
      <c r="O872" s="1" t="s">
        <v>712</v>
      </c>
      <c r="P872" s="16" t="s">
        <v>707</v>
      </c>
      <c r="Q872" s="16" t="s">
        <v>708</v>
      </c>
      <c r="R872" s="16" t="s">
        <v>709</v>
      </c>
      <c r="T872" s="24" t="n">
        <v>438</v>
      </c>
      <c r="U872" s="18" t="n">
        <v>2.3</v>
      </c>
      <c r="V872" s="24" t="n">
        <v>0.27</v>
      </c>
      <c r="Z872" s="18" t="s">
        <v>581</v>
      </c>
      <c r="AA872" s="20"/>
      <c r="AB872" s="20"/>
      <c r="AC872" s="19" t="e">
        <f aca="false">(AB872-AA872)/AB872</f>
        <v>#DIV/0!</v>
      </c>
    </row>
    <row r="873" customFormat="false" ht="14.25" hidden="false" customHeight="true" outlineLevel="0" collapsed="false">
      <c r="A873" s="18" t="s">
        <v>705</v>
      </c>
      <c r="B873" s="18" t="s">
        <v>705</v>
      </c>
      <c r="C873" s="18" t="s">
        <v>31</v>
      </c>
      <c r="E873" s="2" t="n">
        <f aca="false">INDEX(FieldSites!F:F, MATCH(Ch2_FieldSurvey!B873,FieldSites!C:C,0))</f>
        <v>2572</v>
      </c>
      <c r="F873" s="2" t="n">
        <f aca="false">INDEX(FieldSites!G:G, MATCH(Ch2_FieldSurvey!B873,FieldSites!C:C,0))</f>
        <v>-119.440369</v>
      </c>
      <c r="G873" s="2" t="n">
        <f aca="false">INDEX(FieldSites!H:H, MATCH(Ch2_FieldSurvey!B873,FieldSites!C:C,0))</f>
        <v>37.853852</v>
      </c>
      <c r="H873" s="18" t="n">
        <v>4</v>
      </c>
      <c r="I873" s="21" t="str">
        <f aca="false">CONCATENATE(B873,"_",C873,H873)</f>
        <v>KNOB_M. laciniatus4</v>
      </c>
      <c r="J873" s="22" t="n">
        <v>44726</v>
      </c>
      <c r="K873" s="23" t="n">
        <v>0.666666666666667</v>
      </c>
      <c r="L873" s="22" t="n">
        <v>44727</v>
      </c>
      <c r="M873" s="23" t="n">
        <v>0.447222222222222</v>
      </c>
      <c r="O873" s="1" t="s">
        <v>713</v>
      </c>
      <c r="P873" s="16" t="s">
        <v>707</v>
      </c>
      <c r="Q873" s="16" t="s">
        <v>708</v>
      </c>
      <c r="R873" s="16" t="s">
        <v>709</v>
      </c>
      <c r="S873" s="4" t="s">
        <v>35</v>
      </c>
      <c r="T873" s="24" t="n">
        <v>551</v>
      </c>
      <c r="U873" s="18" t="n">
        <v>6.7</v>
      </c>
      <c r="V873" s="24" t="n">
        <v>0.31</v>
      </c>
      <c r="W873" s="2" t="n">
        <v>0.6</v>
      </c>
      <c r="Z873" s="18"/>
      <c r="AA873" s="20" t="n">
        <v>149130</v>
      </c>
      <c r="AB873" s="20" t="n">
        <v>374275</v>
      </c>
      <c r="AC873" s="19" t="n">
        <f aca="false">(AB873-AA873)/AB873</f>
        <v>0.601549662681184</v>
      </c>
    </row>
    <row r="874" customFormat="false" ht="14.25" hidden="false" customHeight="true" outlineLevel="0" collapsed="false">
      <c r="A874" s="18" t="s">
        <v>705</v>
      </c>
      <c r="B874" s="18" t="s">
        <v>705</v>
      </c>
      <c r="C874" s="18" t="s">
        <v>31</v>
      </c>
      <c r="E874" s="2" t="n">
        <f aca="false">INDEX(FieldSites!F:F, MATCH(Ch2_FieldSurvey!B874,FieldSites!C:C,0))</f>
        <v>2572</v>
      </c>
      <c r="F874" s="2" t="n">
        <f aca="false">INDEX(FieldSites!G:G, MATCH(Ch2_FieldSurvey!B874,FieldSites!C:C,0))</f>
        <v>-119.440369</v>
      </c>
      <c r="G874" s="2" t="n">
        <f aca="false">INDEX(FieldSites!H:H, MATCH(Ch2_FieldSurvey!B874,FieldSites!C:C,0))</f>
        <v>37.853852</v>
      </c>
      <c r="H874" s="18" t="n">
        <v>4</v>
      </c>
      <c r="I874" s="21" t="str">
        <f aca="false">CONCATENATE(B874,"_",C874,H874)</f>
        <v>KNOB_M. laciniatus4</v>
      </c>
      <c r="J874" s="22" t="n">
        <v>44726</v>
      </c>
      <c r="K874" s="23" t="n">
        <v>0.666666666666667</v>
      </c>
      <c r="L874" s="22" t="n">
        <v>44727</v>
      </c>
      <c r="M874" s="23"/>
      <c r="O874" s="1" t="s">
        <v>713</v>
      </c>
      <c r="P874" s="16" t="s">
        <v>707</v>
      </c>
      <c r="Q874" s="16" t="s">
        <v>708</v>
      </c>
      <c r="R874" s="16" t="s">
        <v>709</v>
      </c>
      <c r="T874" s="24" t="n">
        <v>441</v>
      </c>
      <c r="U874" s="18" t="n">
        <v>5.4</v>
      </c>
      <c r="V874" s="24" t="n">
        <v>0.3</v>
      </c>
      <c r="W874" s="2" t="n">
        <v>0.5</v>
      </c>
      <c r="Z874" s="18"/>
      <c r="AA874" s="20"/>
      <c r="AB874" s="20"/>
      <c r="AC874" s="19" t="e">
        <f aca="false">(AB874-AA874)/AB874</f>
        <v>#DIV/0!</v>
      </c>
    </row>
    <row r="875" customFormat="false" ht="14.25" hidden="false" customHeight="true" outlineLevel="0" collapsed="false">
      <c r="A875" s="18" t="s">
        <v>705</v>
      </c>
      <c r="B875" s="18" t="s">
        <v>705</v>
      </c>
      <c r="C875" s="18" t="s">
        <v>31</v>
      </c>
      <c r="E875" s="2" t="n">
        <f aca="false">INDEX(FieldSites!F:F, MATCH(Ch2_FieldSurvey!B875,FieldSites!C:C,0))</f>
        <v>2572</v>
      </c>
      <c r="F875" s="2" t="n">
        <f aca="false">INDEX(FieldSites!G:G, MATCH(Ch2_FieldSurvey!B875,FieldSites!C:C,0))</f>
        <v>-119.440369</v>
      </c>
      <c r="G875" s="2" t="n">
        <f aca="false">INDEX(FieldSites!H:H, MATCH(Ch2_FieldSurvey!B875,FieldSites!C:C,0))</f>
        <v>37.853852</v>
      </c>
      <c r="H875" s="18" t="n">
        <v>4</v>
      </c>
      <c r="I875" s="21" t="str">
        <f aca="false">CONCATENATE(B875,"_",C875,H875)</f>
        <v>KNOB_M. laciniatus4</v>
      </c>
      <c r="J875" s="22" t="n">
        <v>44726</v>
      </c>
      <c r="K875" s="23" t="n">
        <v>0.666666666666667</v>
      </c>
      <c r="L875" s="22" t="n">
        <v>44727</v>
      </c>
      <c r="M875" s="23"/>
      <c r="O875" s="1" t="s">
        <v>713</v>
      </c>
      <c r="P875" s="16" t="s">
        <v>707</v>
      </c>
      <c r="Q875" s="16" t="s">
        <v>708</v>
      </c>
      <c r="R875" s="16" t="s">
        <v>709</v>
      </c>
      <c r="T875" s="24" t="n">
        <v>472</v>
      </c>
      <c r="U875" s="18" t="n">
        <v>3.2</v>
      </c>
      <c r="V875" s="24" t="n">
        <v>0.27</v>
      </c>
      <c r="W875" s="2" t="n">
        <v>0.8</v>
      </c>
      <c r="Z875" s="18"/>
      <c r="AA875" s="20"/>
      <c r="AB875" s="20"/>
      <c r="AC875" s="19" t="e">
        <f aca="false">(AB875-AA875)/AB875</f>
        <v>#DIV/0!</v>
      </c>
    </row>
    <row r="876" customFormat="false" ht="14.25" hidden="false" customHeight="true" outlineLevel="0" collapsed="false">
      <c r="A876" s="18" t="s">
        <v>705</v>
      </c>
      <c r="B876" s="18" t="s">
        <v>705</v>
      </c>
      <c r="C876" s="18" t="s">
        <v>31</v>
      </c>
      <c r="E876" s="2" t="n">
        <f aca="false">INDEX(FieldSites!F:F, MATCH(Ch2_FieldSurvey!B876,FieldSites!C:C,0))</f>
        <v>2572</v>
      </c>
      <c r="F876" s="2" t="n">
        <f aca="false">INDEX(FieldSites!G:G, MATCH(Ch2_FieldSurvey!B876,FieldSites!C:C,0))</f>
        <v>-119.440369</v>
      </c>
      <c r="G876" s="2" t="n">
        <f aca="false">INDEX(FieldSites!H:H, MATCH(Ch2_FieldSurvey!B876,FieldSites!C:C,0))</f>
        <v>37.853852</v>
      </c>
      <c r="H876" s="18" t="n">
        <v>5</v>
      </c>
      <c r="I876" s="21" t="str">
        <f aca="false">CONCATENATE(B876,"_",C876,H876)</f>
        <v>KNOB_M. laciniatus5</v>
      </c>
      <c r="J876" s="22" t="n">
        <v>44726</v>
      </c>
      <c r="K876" s="23" t="n">
        <v>0.666666666666667</v>
      </c>
      <c r="L876" s="22" t="n">
        <v>44727</v>
      </c>
      <c r="M876" s="23" t="n">
        <v>0.452777777777778</v>
      </c>
      <c r="O876" s="1" t="s">
        <v>714</v>
      </c>
      <c r="P876" s="16" t="s">
        <v>707</v>
      </c>
      <c r="Q876" s="16" t="s">
        <v>708</v>
      </c>
      <c r="R876" s="16" t="s">
        <v>709</v>
      </c>
      <c r="S876" s="4" t="s">
        <v>271</v>
      </c>
      <c r="T876" s="24" t="n">
        <v>438</v>
      </c>
      <c r="U876" s="18" t="n">
        <v>4.4</v>
      </c>
      <c r="V876" s="24" t="n">
        <v>0.27</v>
      </c>
      <c r="W876" s="2" t="n">
        <v>0.6</v>
      </c>
      <c r="Z876" s="18"/>
      <c r="AA876" s="20" t="n">
        <v>112924</v>
      </c>
      <c r="AB876" s="20" t="n">
        <v>337920</v>
      </c>
      <c r="AC876" s="19" t="n">
        <f aca="false">(AB876-AA876)/AB876</f>
        <v>0.665826231060606</v>
      </c>
    </row>
    <row r="877" customFormat="false" ht="14.25" hidden="false" customHeight="true" outlineLevel="0" collapsed="false">
      <c r="A877" s="18" t="s">
        <v>705</v>
      </c>
      <c r="B877" s="18" t="s">
        <v>705</v>
      </c>
      <c r="C877" s="18" t="s">
        <v>31</v>
      </c>
      <c r="E877" s="2" t="n">
        <f aca="false">INDEX(FieldSites!F:F, MATCH(Ch2_FieldSurvey!B877,FieldSites!C:C,0))</f>
        <v>2572</v>
      </c>
      <c r="F877" s="2" t="n">
        <f aca="false">INDEX(FieldSites!G:G, MATCH(Ch2_FieldSurvey!B877,FieldSites!C:C,0))</f>
        <v>-119.440369</v>
      </c>
      <c r="G877" s="2" t="n">
        <f aca="false">INDEX(FieldSites!H:H, MATCH(Ch2_FieldSurvey!B877,FieldSites!C:C,0))</f>
        <v>37.853852</v>
      </c>
      <c r="H877" s="18" t="n">
        <v>5</v>
      </c>
      <c r="I877" s="21" t="str">
        <f aca="false">CONCATENATE(B877,"_",C877,H877)</f>
        <v>KNOB_M. laciniatus5</v>
      </c>
      <c r="J877" s="22" t="n">
        <v>44726</v>
      </c>
      <c r="K877" s="23" t="n">
        <v>0.666666666666667</v>
      </c>
      <c r="L877" s="22" t="n">
        <v>44727</v>
      </c>
      <c r="M877" s="23"/>
      <c r="O877" s="1" t="s">
        <v>714</v>
      </c>
      <c r="P877" s="16" t="s">
        <v>707</v>
      </c>
      <c r="Q877" s="16" t="s">
        <v>708</v>
      </c>
      <c r="R877" s="16" t="s">
        <v>709</v>
      </c>
      <c r="T877" s="24" t="n">
        <v>485</v>
      </c>
      <c r="U877" s="18" t="n">
        <v>5.4</v>
      </c>
      <c r="V877" s="24" t="n">
        <v>0.23</v>
      </c>
      <c r="W877" s="2" t="n">
        <v>0.5</v>
      </c>
      <c r="Z877" s="18"/>
      <c r="AA877" s="20"/>
      <c r="AB877" s="20"/>
      <c r="AC877" s="19" t="e">
        <f aca="false">(AB877-AA877)/AB877</f>
        <v>#DIV/0!</v>
      </c>
    </row>
    <row r="878" customFormat="false" ht="14.25" hidden="false" customHeight="true" outlineLevel="0" collapsed="false">
      <c r="A878" s="18" t="s">
        <v>705</v>
      </c>
      <c r="B878" s="18" t="s">
        <v>705</v>
      </c>
      <c r="C878" s="18" t="s">
        <v>31</v>
      </c>
      <c r="E878" s="2" t="n">
        <f aca="false">INDEX(FieldSites!F:F, MATCH(Ch2_FieldSurvey!B878,FieldSites!C:C,0))</f>
        <v>2572</v>
      </c>
      <c r="F878" s="2" t="n">
        <f aca="false">INDEX(FieldSites!G:G, MATCH(Ch2_FieldSurvey!B878,FieldSites!C:C,0))</f>
        <v>-119.440369</v>
      </c>
      <c r="G878" s="2" t="n">
        <f aca="false">INDEX(FieldSites!H:H, MATCH(Ch2_FieldSurvey!B878,FieldSites!C:C,0))</f>
        <v>37.853852</v>
      </c>
      <c r="H878" s="18" t="n">
        <v>5</v>
      </c>
      <c r="I878" s="21" t="str">
        <f aca="false">CONCATENATE(B878,"_",C878,H878)</f>
        <v>KNOB_M. laciniatus5</v>
      </c>
      <c r="J878" s="22" t="n">
        <v>44726</v>
      </c>
      <c r="K878" s="23" t="n">
        <v>0.666666666666667</v>
      </c>
      <c r="L878" s="22" t="n">
        <v>44727</v>
      </c>
      <c r="M878" s="23"/>
      <c r="O878" s="1" t="s">
        <v>714</v>
      </c>
      <c r="P878" s="16" t="s">
        <v>707</v>
      </c>
      <c r="Q878" s="16" t="s">
        <v>708</v>
      </c>
      <c r="R878" s="16" t="s">
        <v>709</v>
      </c>
      <c r="T878" s="24" t="n">
        <v>415</v>
      </c>
      <c r="U878" s="18" t="n">
        <v>5.6</v>
      </c>
      <c r="V878" s="24" t="n">
        <v>0.22</v>
      </c>
      <c r="W878" s="2" t="n">
        <v>0.4</v>
      </c>
      <c r="Z878" s="18"/>
      <c r="AA878" s="20"/>
      <c r="AB878" s="20"/>
      <c r="AC878" s="19" t="e">
        <f aca="false">(AB878-AA878)/AB878</f>
        <v>#DIV/0!</v>
      </c>
    </row>
    <row r="879" customFormat="false" ht="14.25" hidden="false" customHeight="true" outlineLevel="0" collapsed="false">
      <c r="A879" s="18" t="s">
        <v>705</v>
      </c>
      <c r="B879" s="18" t="s">
        <v>705</v>
      </c>
      <c r="C879" s="18" t="s">
        <v>31</v>
      </c>
      <c r="E879" s="2" t="n">
        <f aca="false">INDEX(FieldSites!F:F, MATCH(Ch2_FieldSurvey!B879,FieldSites!C:C,0))</f>
        <v>2572</v>
      </c>
      <c r="F879" s="2" t="n">
        <f aca="false">INDEX(FieldSites!G:G, MATCH(Ch2_FieldSurvey!B879,FieldSites!C:C,0))</f>
        <v>-119.440369</v>
      </c>
      <c r="G879" s="2" t="n">
        <f aca="false">INDEX(FieldSites!H:H, MATCH(Ch2_FieldSurvey!B879,FieldSites!C:C,0))</f>
        <v>37.853852</v>
      </c>
      <c r="H879" s="18" t="n">
        <v>6</v>
      </c>
      <c r="I879" s="21" t="str">
        <f aca="false">CONCATENATE(B879,"_",C879,H879)</f>
        <v>KNOB_M. laciniatus6</v>
      </c>
      <c r="J879" s="22" t="n">
        <v>44726</v>
      </c>
      <c r="K879" s="23" t="n">
        <v>0.666666666666667</v>
      </c>
      <c r="L879" s="22" t="n">
        <v>44727</v>
      </c>
      <c r="M879" s="23" t="n">
        <v>0.461111111111111</v>
      </c>
      <c r="O879" s="1" t="s">
        <v>715</v>
      </c>
      <c r="P879" s="16" t="s">
        <v>707</v>
      </c>
      <c r="Q879" s="16" t="s">
        <v>708</v>
      </c>
      <c r="R879" s="16" t="s">
        <v>709</v>
      </c>
      <c r="S879" s="4" t="s">
        <v>630</v>
      </c>
      <c r="T879" s="24" t="n">
        <v>375</v>
      </c>
      <c r="U879" s="18" t="n">
        <v>3.5</v>
      </c>
      <c r="V879" s="24" t="n">
        <v>0.25</v>
      </c>
      <c r="W879" s="2" t="n">
        <v>0.2</v>
      </c>
      <c r="Z879" s="18"/>
      <c r="AA879" s="20" t="n">
        <v>105614</v>
      </c>
      <c r="AB879" s="20" t="n">
        <v>169955</v>
      </c>
      <c r="AC879" s="19" t="n">
        <f aca="false">(AB879-AA879)/AB879</f>
        <v>0.378576682062899</v>
      </c>
    </row>
    <row r="880" customFormat="false" ht="14.25" hidden="false" customHeight="true" outlineLevel="0" collapsed="false">
      <c r="A880" s="18" t="s">
        <v>705</v>
      </c>
      <c r="B880" s="18" t="s">
        <v>705</v>
      </c>
      <c r="C880" s="18" t="s">
        <v>31</v>
      </c>
      <c r="E880" s="2" t="n">
        <f aca="false">INDEX(FieldSites!F:F, MATCH(Ch2_FieldSurvey!B880,FieldSites!C:C,0))</f>
        <v>2572</v>
      </c>
      <c r="F880" s="2" t="n">
        <f aca="false">INDEX(FieldSites!G:G, MATCH(Ch2_FieldSurvey!B880,FieldSites!C:C,0))</f>
        <v>-119.440369</v>
      </c>
      <c r="G880" s="2" t="n">
        <f aca="false">INDEX(FieldSites!H:H, MATCH(Ch2_FieldSurvey!B880,FieldSites!C:C,0))</f>
        <v>37.853852</v>
      </c>
      <c r="H880" s="18" t="n">
        <v>6</v>
      </c>
      <c r="I880" s="21" t="str">
        <f aca="false">CONCATENATE(B880,"_",C880,H880)</f>
        <v>KNOB_M. laciniatus6</v>
      </c>
      <c r="J880" s="22" t="n">
        <v>44726</v>
      </c>
      <c r="K880" s="23" t="n">
        <v>0.666666666666667</v>
      </c>
      <c r="L880" s="22" t="n">
        <v>44727</v>
      </c>
      <c r="M880" s="23"/>
      <c r="O880" s="1" t="s">
        <v>715</v>
      </c>
      <c r="P880" s="16" t="s">
        <v>707</v>
      </c>
      <c r="Q880" s="16" t="s">
        <v>708</v>
      </c>
      <c r="R880" s="16" t="s">
        <v>709</v>
      </c>
      <c r="T880" s="24" t="n">
        <v>446</v>
      </c>
      <c r="U880" s="18" t="n">
        <v>3.7</v>
      </c>
      <c r="V880" s="24" t="n">
        <v>0.25</v>
      </c>
      <c r="W880" s="2" t="n">
        <v>0.3</v>
      </c>
      <c r="Z880" s="18"/>
      <c r="AA880" s="20"/>
      <c r="AB880" s="20"/>
      <c r="AC880" s="19" t="e">
        <f aca="false">(AB880-AA880)/AB880</f>
        <v>#DIV/0!</v>
      </c>
    </row>
    <row r="881" customFormat="false" ht="14.25" hidden="false" customHeight="true" outlineLevel="0" collapsed="false">
      <c r="A881" s="18" t="s">
        <v>705</v>
      </c>
      <c r="B881" s="18" t="s">
        <v>705</v>
      </c>
      <c r="C881" s="18" t="s">
        <v>31</v>
      </c>
      <c r="E881" s="2" t="n">
        <f aca="false">INDEX(FieldSites!F:F, MATCH(Ch2_FieldSurvey!B881,FieldSites!C:C,0))</f>
        <v>2572</v>
      </c>
      <c r="F881" s="2" t="n">
        <f aca="false">INDEX(FieldSites!G:G, MATCH(Ch2_FieldSurvey!B881,FieldSites!C:C,0))</f>
        <v>-119.440369</v>
      </c>
      <c r="G881" s="2" t="n">
        <f aca="false">INDEX(FieldSites!H:H, MATCH(Ch2_FieldSurvey!B881,FieldSites!C:C,0))</f>
        <v>37.853852</v>
      </c>
      <c r="H881" s="18" t="n">
        <v>6</v>
      </c>
      <c r="I881" s="21" t="str">
        <f aca="false">CONCATENATE(B881,"_",C881,H881)</f>
        <v>KNOB_M. laciniatus6</v>
      </c>
      <c r="J881" s="22" t="n">
        <v>44726</v>
      </c>
      <c r="K881" s="23" t="n">
        <v>0.666666666666667</v>
      </c>
      <c r="L881" s="22" t="n">
        <v>44727</v>
      </c>
      <c r="M881" s="23"/>
      <c r="O881" s="1" t="s">
        <v>715</v>
      </c>
      <c r="P881" s="16" t="s">
        <v>707</v>
      </c>
      <c r="Q881" s="16" t="s">
        <v>708</v>
      </c>
      <c r="R881" s="16" t="s">
        <v>709</v>
      </c>
      <c r="T881" s="24" t="n">
        <v>429</v>
      </c>
      <c r="U881" s="18" t="n">
        <v>2.4</v>
      </c>
      <c r="V881" s="24" t="n">
        <v>0.3</v>
      </c>
      <c r="Z881" s="18" t="s">
        <v>581</v>
      </c>
      <c r="AA881" s="20"/>
      <c r="AB881" s="20"/>
      <c r="AC881" s="19" t="e">
        <f aca="false">(AB881-AA881)/AB881</f>
        <v>#DIV/0!</v>
      </c>
    </row>
    <row r="882" customFormat="false" ht="14.25" hidden="false" customHeight="true" outlineLevel="0" collapsed="false">
      <c r="A882" s="18" t="s">
        <v>705</v>
      </c>
      <c r="B882" s="18" t="s">
        <v>705</v>
      </c>
      <c r="C882" s="18" t="s">
        <v>31</v>
      </c>
      <c r="E882" s="2" t="n">
        <f aca="false">INDEX(FieldSites!F:F, MATCH(Ch2_FieldSurvey!B882,FieldSites!C:C,0))</f>
        <v>2572</v>
      </c>
      <c r="F882" s="2" t="n">
        <f aca="false">INDEX(FieldSites!G:G, MATCH(Ch2_FieldSurvey!B882,FieldSites!C:C,0))</f>
        <v>-119.440369</v>
      </c>
      <c r="G882" s="2" t="n">
        <f aca="false">INDEX(FieldSites!H:H, MATCH(Ch2_FieldSurvey!B882,FieldSites!C:C,0))</f>
        <v>37.853852</v>
      </c>
      <c r="H882" s="18" t="n">
        <v>7</v>
      </c>
      <c r="I882" s="21" t="str">
        <f aca="false">CONCATENATE(B882,"_",C882,H882)</f>
        <v>KNOB_M. laciniatus7</v>
      </c>
      <c r="J882" s="22" t="n">
        <v>44726</v>
      </c>
      <c r="K882" s="23" t="n">
        <v>0.666666666666667</v>
      </c>
      <c r="L882" s="22" t="n">
        <v>44727</v>
      </c>
      <c r="M882" s="23" t="n">
        <v>0.467361111111111</v>
      </c>
      <c r="O882" s="1" t="s">
        <v>716</v>
      </c>
      <c r="P882" s="16" t="s">
        <v>707</v>
      </c>
      <c r="Q882" s="16" t="s">
        <v>708</v>
      </c>
      <c r="R882" s="16" t="s">
        <v>709</v>
      </c>
      <c r="S882" s="4" t="s">
        <v>717</v>
      </c>
      <c r="T882" s="24" t="n">
        <v>356</v>
      </c>
      <c r="U882" s="18" t="n">
        <v>3.3</v>
      </c>
      <c r="V882" s="24" t="n">
        <v>0.19</v>
      </c>
      <c r="W882" s="2" t="n">
        <v>0.3</v>
      </c>
      <c r="Z882" s="18"/>
      <c r="AA882" s="20" t="n">
        <v>145895</v>
      </c>
      <c r="AB882" s="20" t="n">
        <v>349944</v>
      </c>
      <c r="AC882" s="19" t="n">
        <f aca="false">(AB882-AA882)/AB882</f>
        <v>0.583090437327115</v>
      </c>
    </row>
    <row r="883" customFormat="false" ht="14.25" hidden="false" customHeight="true" outlineLevel="0" collapsed="false">
      <c r="A883" s="18" t="s">
        <v>705</v>
      </c>
      <c r="B883" s="18" t="s">
        <v>705</v>
      </c>
      <c r="C883" s="18" t="s">
        <v>31</v>
      </c>
      <c r="E883" s="2" t="n">
        <f aca="false">INDEX(FieldSites!F:F, MATCH(Ch2_FieldSurvey!B883,FieldSites!C:C,0))</f>
        <v>2572</v>
      </c>
      <c r="F883" s="2" t="n">
        <f aca="false">INDEX(FieldSites!G:G, MATCH(Ch2_FieldSurvey!B883,FieldSites!C:C,0))</f>
        <v>-119.440369</v>
      </c>
      <c r="G883" s="2" t="n">
        <f aca="false">INDEX(FieldSites!H:H, MATCH(Ch2_FieldSurvey!B883,FieldSites!C:C,0))</f>
        <v>37.853852</v>
      </c>
      <c r="H883" s="18" t="n">
        <v>7</v>
      </c>
      <c r="I883" s="21" t="str">
        <f aca="false">CONCATENATE(B883,"_",C883,H883)</f>
        <v>KNOB_M. laciniatus7</v>
      </c>
      <c r="J883" s="22" t="n">
        <v>44726</v>
      </c>
      <c r="K883" s="23" t="n">
        <v>0.666666666666667</v>
      </c>
      <c r="L883" s="22" t="n">
        <v>44727</v>
      </c>
      <c r="M883" s="23"/>
      <c r="O883" s="1" t="s">
        <v>716</v>
      </c>
      <c r="P883" s="16" t="s">
        <v>707</v>
      </c>
      <c r="Q883" s="16" t="s">
        <v>708</v>
      </c>
      <c r="R883" s="16" t="s">
        <v>709</v>
      </c>
      <c r="T883" s="24" t="n">
        <v>380</v>
      </c>
      <c r="U883" s="18" t="n">
        <v>3.3</v>
      </c>
      <c r="V883" s="24" t="n">
        <v>0.27</v>
      </c>
      <c r="W883" s="2" t="n">
        <v>0.2</v>
      </c>
      <c r="Z883" s="18"/>
      <c r="AA883" s="20"/>
      <c r="AB883" s="20"/>
      <c r="AC883" s="19" t="e">
        <f aca="false">(AB883-AA883)/AB883</f>
        <v>#DIV/0!</v>
      </c>
    </row>
    <row r="884" customFormat="false" ht="14.25" hidden="false" customHeight="true" outlineLevel="0" collapsed="false">
      <c r="A884" s="18" t="s">
        <v>705</v>
      </c>
      <c r="B884" s="18" t="s">
        <v>705</v>
      </c>
      <c r="C884" s="18" t="s">
        <v>31</v>
      </c>
      <c r="E884" s="2" t="n">
        <f aca="false">INDEX(FieldSites!F:F, MATCH(Ch2_FieldSurvey!B884,FieldSites!C:C,0))</f>
        <v>2572</v>
      </c>
      <c r="F884" s="2" t="n">
        <f aca="false">INDEX(FieldSites!G:G, MATCH(Ch2_FieldSurvey!B884,FieldSites!C:C,0))</f>
        <v>-119.440369</v>
      </c>
      <c r="G884" s="2" t="n">
        <f aca="false">INDEX(FieldSites!H:H, MATCH(Ch2_FieldSurvey!B884,FieldSites!C:C,0))</f>
        <v>37.853852</v>
      </c>
      <c r="H884" s="18" t="n">
        <v>7</v>
      </c>
      <c r="I884" s="21" t="str">
        <f aca="false">CONCATENATE(B884,"_",C884,H884)</f>
        <v>KNOB_M. laciniatus7</v>
      </c>
      <c r="J884" s="22" t="n">
        <v>44726</v>
      </c>
      <c r="K884" s="23" t="n">
        <v>0.666666666666667</v>
      </c>
      <c r="L884" s="22" t="n">
        <v>44727</v>
      </c>
      <c r="M884" s="23"/>
      <c r="O884" s="1" t="s">
        <v>716</v>
      </c>
      <c r="P884" s="16" t="s">
        <v>707</v>
      </c>
      <c r="Q884" s="16" t="s">
        <v>708</v>
      </c>
      <c r="R884" s="16" t="s">
        <v>709</v>
      </c>
      <c r="T884" s="24" t="n">
        <v>365</v>
      </c>
      <c r="U884" s="18" t="n">
        <v>4.4</v>
      </c>
      <c r="V884" s="24" t="n">
        <v>0.26</v>
      </c>
      <c r="W884" s="2" t="n">
        <v>0.4</v>
      </c>
      <c r="Z884" s="18"/>
      <c r="AA884" s="20"/>
      <c r="AB884" s="20"/>
      <c r="AC884" s="19" t="e">
        <f aca="false">(AB884-AA884)/AB884</f>
        <v>#DIV/0!</v>
      </c>
    </row>
    <row r="885" customFormat="false" ht="14.25" hidden="false" customHeight="true" outlineLevel="0" collapsed="false">
      <c r="A885" s="18" t="s">
        <v>705</v>
      </c>
      <c r="B885" s="18" t="s">
        <v>705</v>
      </c>
      <c r="C885" s="18" t="s">
        <v>31</v>
      </c>
      <c r="E885" s="2" t="n">
        <f aca="false">INDEX(FieldSites!F:F, MATCH(Ch2_FieldSurvey!B885,FieldSites!C:C,0))</f>
        <v>2572</v>
      </c>
      <c r="F885" s="2" t="n">
        <f aca="false">INDEX(FieldSites!G:G, MATCH(Ch2_FieldSurvey!B885,FieldSites!C:C,0))</f>
        <v>-119.440369</v>
      </c>
      <c r="G885" s="2" t="n">
        <f aca="false">INDEX(FieldSites!H:H, MATCH(Ch2_FieldSurvey!B885,FieldSites!C:C,0))</f>
        <v>37.853852</v>
      </c>
      <c r="H885" s="18" t="n">
        <v>8</v>
      </c>
      <c r="I885" s="21" t="str">
        <f aca="false">CONCATENATE(B885,"_",C885,H885)</f>
        <v>KNOB_M. laciniatus8</v>
      </c>
      <c r="J885" s="22" t="n">
        <v>44726</v>
      </c>
      <c r="K885" s="23" t="n">
        <v>0.666666666666667</v>
      </c>
      <c r="L885" s="22" t="n">
        <v>44727</v>
      </c>
      <c r="M885" s="23" t="n">
        <v>0.473611111111111</v>
      </c>
      <c r="O885" s="1" t="s">
        <v>718</v>
      </c>
      <c r="P885" s="16" t="s">
        <v>707</v>
      </c>
      <c r="Q885" s="16" t="s">
        <v>708</v>
      </c>
      <c r="R885" s="16" t="s">
        <v>709</v>
      </c>
      <c r="S885" s="4" t="s">
        <v>479</v>
      </c>
      <c r="T885" s="24" t="n">
        <v>455</v>
      </c>
      <c r="U885" s="18" t="n">
        <v>4.4</v>
      </c>
      <c r="V885" s="24" t="n">
        <v>0.28</v>
      </c>
      <c r="Z885" s="18" t="s">
        <v>581</v>
      </c>
      <c r="AA885" s="20" t="n">
        <v>88875</v>
      </c>
      <c r="AB885" s="20" t="n">
        <v>199693</v>
      </c>
      <c r="AC885" s="19" t="n">
        <f aca="false">(AB885-AA885)/AB885</f>
        <v>0.554941835717827</v>
      </c>
    </row>
    <row r="886" customFormat="false" ht="14.25" hidden="false" customHeight="true" outlineLevel="0" collapsed="false">
      <c r="A886" s="18" t="s">
        <v>705</v>
      </c>
      <c r="B886" s="18" t="s">
        <v>705</v>
      </c>
      <c r="C886" s="18" t="s">
        <v>31</v>
      </c>
      <c r="E886" s="2" t="n">
        <f aca="false">INDEX(FieldSites!F:F, MATCH(Ch2_FieldSurvey!B886,FieldSites!C:C,0))</f>
        <v>2572</v>
      </c>
      <c r="F886" s="2" t="n">
        <f aca="false">INDEX(FieldSites!G:G, MATCH(Ch2_FieldSurvey!B886,FieldSites!C:C,0))</f>
        <v>-119.440369</v>
      </c>
      <c r="G886" s="2" t="n">
        <f aca="false">INDEX(FieldSites!H:H, MATCH(Ch2_FieldSurvey!B886,FieldSites!C:C,0))</f>
        <v>37.853852</v>
      </c>
      <c r="H886" s="18" t="n">
        <v>8</v>
      </c>
      <c r="I886" s="21" t="str">
        <f aca="false">CONCATENATE(B886,"_",C886,H886)</f>
        <v>KNOB_M. laciniatus8</v>
      </c>
      <c r="J886" s="22" t="n">
        <v>44726</v>
      </c>
      <c r="K886" s="23" t="n">
        <v>0.666666666666667</v>
      </c>
      <c r="L886" s="22" t="n">
        <v>44727</v>
      </c>
      <c r="M886" s="23"/>
      <c r="O886" s="1" t="s">
        <v>718</v>
      </c>
      <c r="P886" s="16" t="s">
        <v>707</v>
      </c>
      <c r="Q886" s="16" t="s">
        <v>708</v>
      </c>
      <c r="R886" s="16" t="s">
        <v>709</v>
      </c>
      <c r="T886" s="24" t="n">
        <v>397</v>
      </c>
      <c r="U886" s="18" t="n">
        <v>3.9</v>
      </c>
      <c r="V886" s="24" t="n">
        <v>0.31</v>
      </c>
      <c r="Z886" s="18" t="s">
        <v>581</v>
      </c>
      <c r="AA886" s="20"/>
      <c r="AB886" s="20"/>
      <c r="AC886" s="19" t="e">
        <f aca="false">(AB886-AA886)/AB886</f>
        <v>#DIV/0!</v>
      </c>
    </row>
    <row r="887" customFormat="false" ht="14.25" hidden="false" customHeight="true" outlineLevel="0" collapsed="false">
      <c r="A887" s="18" t="s">
        <v>705</v>
      </c>
      <c r="B887" s="18" t="s">
        <v>705</v>
      </c>
      <c r="C887" s="18" t="s">
        <v>31</v>
      </c>
      <c r="E887" s="2" t="n">
        <f aca="false">INDEX(FieldSites!F:F, MATCH(Ch2_FieldSurvey!B887,FieldSites!C:C,0))</f>
        <v>2572</v>
      </c>
      <c r="F887" s="2" t="n">
        <f aca="false">INDEX(FieldSites!G:G, MATCH(Ch2_FieldSurvey!B887,FieldSites!C:C,0))</f>
        <v>-119.440369</v>
      </c>
      <c r="G887" s="2" t="n">
        <f aca="false">INDEX(FieldSites!H:H, MATCH(Ch2_FieldSurvey!B887,FieldSites!C:C,0))</f>
        <v>37.853852</v>
      </c>
      <c r="H887" s="18" t="n">
        <v>8</v>
      </c>
      <c r="I887" s="21" t="str">
        <f aca="false">CONCATENATE(B887,"_",C887,H887)</f>
        <v>KNOB_M. laciniatus8</v>
      </c>
      <c r="J887" s="22" t="n">
        <v>44726</v>
      </c>
      <c r="K887" s="23" t="n">
        <v>0.666666666666667</v>
      </c>
      <c r="L887" s="22" t="n">
        <v>44727</v>
      </c>
      <c r="M887" s="23"/>
      <c r="O887" s="1" t="s">
        <v>718</v>
      </c>
      <c r="P887" s="16" t="s">
        <v>707</v>
      </c>
      <c r="Q887" s="16" t="s">
        <v>708</v>
      </c>
      <c r="R887" s="16" t="s">
        <v>709</v>
      </c>
      <c r="T887" s="24" t="n">
        <v>263</v>
      </c>
      <c r="U887" s="18" t="n">
        <v>2.8</v>
      </c>
      <c r="V887" s="24" t="n">
        <v>0.3</v>
      </c>
      <c r="Z887" s="18" t="s">
        <v>581</v>
      </c>
      <c r="AA887" s="20"/>
      <c r="AB887" s="20"/>
      <c r="AC887" s="19" t="e">
        <f aca="false">(AB887-AA887)/AB887</f>
        <v>#DIV/0!</v>
      </c>
    </row>
    <row r="888" customFormat="false" ht="14.25" hidden="false" customHeight="true" outlineLevel="0" collapsed="false">
      <c r="A888" s="18" t="s">
        <v>705</v>
      </c>
      <c r="B888" s="18" t="s">
        <v>705</v>
      </c>
      <c r="C888" s="18" t="s">
        <v>31</v>
      </c>
      <c r="E888" s="2" t="n">
        <f aca="false">INDEX(FieldSites!F:F, MATCH(Ch2_FieldSurvey!B888,FieldSites!C:C,0))</f>
        <v>2572</v>
      </c>
      <c r="F888" s="2" t="n">
        <f aca="false">INDEX(FieldSites!G:G, MATCH(Ch2_FieldSurvey!B888,FieldSites!C:C,0))</f>
        <v>-119.440369</v>
      </c>
      <c r="G888" s="2" t="n">
        <f aca="false">INDEX(FieldSites!H:H, MATCH(Ch2_FieldSurvey!B888,FieldSites!C:C,0))</f>
        <v>37.853852</v>
      </c>
      <c r="H888" s="18" t="n">
        <v>9</v>
      </c>
      <c r="I888" s="21" t="str">
        <f aca="false">CONCATENATE(B888,"_",C888,H888)</f>
        <v>KNOB_M. laciniatus9</v>
      </c>
      <c r="J888" s="22" t="n">
        <v>44726</v>
      </c>
      <c r="K888" s="23" t="n">
        <v>0.666666666666667</v>
      </c>
      <c r="L888" s="22" t="n">
        <v>44727</v>
      </c>
      <c r="M888" s="23" t="n">
        <v>0.479861111111111</v>
      </c>
      <c r="O888" s="1" t="s">
        <v>719</v>
      </c>
      <c r="P888" s="16" t="s">
        <v>707</v>
      </c>
      <c r="Q888" s="16" t="s">
        <v>708</v>
      </c>
      <c r="R888" s="16" t="s">
        <v>709</v>
      </c>
      <c r="S888" s="4" t="s">
        <v>282</v>
      </c>
      <c r="T888" s="24" t="n">
        <v>406</v>
      </c>
      <c r="U888" s="18" t="n">
        <v>7.2</v>
      </c>
      <c r="V888" s="24" t="n">
        <v>0.19</v>
      </c>
      <c r="W888" s="2" t="n">
        <v>0.2</v>
      </c>
      <c r="Z888" s="18"/>
      <c r="AA888" s="20" t="n">
        <v>198759</v>
      </c>
      <c r="AB888" s="20" t="n">
        <v>357259</v>
      </c>
      <c r="AC888" s="19" t="n">
        <f aca="false">(AB888-AA888)/AB888</f>
        <v>0.443655723158829</v>
      </c>
    </row>
    <row r="889" customFormat="false" ht="14.25" hidden="false" customHeight="true" outlineLevel="0" collapsed="false">
      <c r="A889" s="18" t="s">
        <v>705</v>
      </c>
      <c r="B889" s="18" t="s">
        <v>705</v>
      </c>
      <c r="C889" s="18" t="s">
        <v>31</v>
      </c>
      <c r="E889" s="2" t="n">
        <f aca="false">INDEX(FieldSites!F:F, MATCH(Ch2_FieldSurvey!B889,FieldSites!C:C,0))</f>
        <v>2572</v>
      </c>
      <c r="F889" s="2" t="n">
        <f aca="false">INDEX(FieldSites!G:G, MATCH(Ch2_FieldSurvey!B889,FieldSites!C:C,0))</f>
        <v>-119.440369</v>
      </c>
      <c r="G889" s="2" t="n">
        <f aca="false">INDEX(FieldSites!H:H, MATCH(Ch2_FieldSurvey!B889,FieldSites!C:C,0))</f>
        <v>37.853852</v>
      </c>
      <c r="H889" s="18" t="n">
        <v>9</v>
      </c>
      <c r="I889" s="21" t="str">
        <f aca="false">CONCATENATE(B889,"_",C889,H889)</f>
        <v>KNOB_M. laciniatus9</v>
      </c>
      <c r="J889" s="22" t="n">
        <v>44726</v>
      </c>
      <c r="K889" s="23" t="n">
        <v>0.666666666666667</v>
      </c>
      <c r="L889" s="22" t="n">
        <v>44727</v>
      </c>
      <c r="M889" s="23"/>
      <c r="O889" s="1" t="s">
        <v>719</v>
      </c>
      <c r="P889" s="16" t="s">
        <v>707</v>
      </c>
      <c r="Q889" s="16" t="s">
        <v>708</v>
      </c>
      <c r="R889" s="16" t="s">
        <v>709</v>
      </c>
      <c r="T889" s="24" t="n">
        <v>437</v>
      </c>
      <c r="U889" s="18" t="n">
        <v>4.6</v>
      </c>
      <c r="V889" s="24" t="n">
        <v>0.21</v>
      </c>
      <c r="W889" s="2" t="n">
        <v>0.3</v>
      </c>
      <c r="Z889" s="18"/>
      <c r="AA889" s="20"/>
      <c r="AB889" s="20"/>
      <c r="AC889" s="19" t="e">
        <f aca="false">(AB889-AA889)/AB889</f>
        <v>#DIV/0!</v>
      </c>
    </row>
    <row r="890" customFormat="false" ht="14.25" hidden="false" customHeight="true" outlineLevel="0" collapsed="false">
      <c r="A890" s="18" t="s">
        <v>705</v>
      </c>
      <c r="B890" s="18" t="s">
        <v>705</v>
      </c>
      <c r="C890" s="18" t="s">
        <v>31</v>
      </c>
      <c r="E890" s="2" t="n">
        <f aca="false">INDEX(FieldSites!F:F, MATCH(Ch2_FieldSurvey!B890,FieldSites!C:C,0))</f>
        <v>2572</v>
      </c>
      <c r="F890" s="2" t="n">
        <f aca="false">INDEX(FieldSites!G:G, MATCH(Ch2_FieldSurvey!B890,FieldSites!C:C,0))</f>
        <v>-119.440369</v>
      </c>
      <c r="G890" s="2" t="n">
        <f aca="false">INDEX(FieldSites!H:H, MATCH(Ch2_FieldSurvey!B890,FieldSites!C:C,0))</f>
        <v>37.853852</v>
      </c>
      <c r="H890" s="18" t="n">
        <v>9</v>
      </c>
      <c r="I890" s="21" t="str">
        <f aca="false">CONCATENATE(B890,"_",C890,H890)</f>
        <v>KNOB_M. laciniatus9</v>
      </c>
      <c r="J890" s="22" t="n">
        <v>44726</v>
      </c>
      <c r="K890" s="23" t="n">
        <v>0.666666666666667</v>
      </c>
      <c r="L890" s="22" t="n">
        <v>44727</v>
      </c>
      <c r="M890" s="23"/>
      <c r="O890" s="1" t="s">
        <v>719</v>
      </c>
      <c r="P890" s="16" t="s">
        <v>707</v>
      </c>
      <c r="Q890" s="16" t="s">
        <v>708</v>
      </c>
      <c r="R890" s="16" t="s">
        <v>709</v>
      </c>
      <c r="T890" s="24" t="n">
        <v>383</v>
      </c>
      <c r="U890" s="18" t="n">
        <v>6.1</v>
      </c>
      <c r="V890" s="24" t="n">
        <v>0.26</v>
      </c>
      <c r="W890" s="2" t="n">
        <v>0.5</v>
      </c>
      <c r="Z890" s="18"/>
      <c r="AA890" s="20"/>
      <c r="AB890" s="20"/>
      <c r="AC890" s="19" t="e">
        <f aca="false">(AB890-AA890)/AB890</f>
        <v>#DIV/0!</v>
      </c>
    </row>
    <row r="891" customFormat="false" ht="14.25" hidden="false" customHeight="true" outlineLevel="0" collapsed="false">
      <c r="A891" s="18" t="s">
        <v>705</v>
      </c>
      <c r="B891" s="18" t="s">
        <v>705</v>
      </c>
      <c r="C891" s="18" t="s">
        <v>31</v>
      </c>
      <c r="E891" s="2" t="n">
        <f aca="false">INDEX(FieldSites!F:F, MATCH(Ch2_FieldSurvey!B891,FieldSites!C:C,0))</f>
        <v>2572</v>
      </c>
      <c r="F891" s="2" t="n">
        <f aca="false">INDEX(FieldSites!G:G, MATCH(Ch2_FieldSurvey!B891,FieldSites!C:C,0))</f>
        <v>-119.440369</v>
      </c>
      <c r="G891" s="2" t="n">
        <f aca="false">INDEX(FieldSites!H:H, MATCH(Ch2_FieldSurvey!B891,FieldSites!C:C,0))</f>
        <v>37.853852</v>
      </c>
      <c r="H891" s="18" t="n">
        <v>10</v>
      </c>
      <c r="I891" s="21" t="str">
        <f aca="false">CONCATENATE(B891,"_",C891,H891)</f>
        <v>KNOB_M. laciniatus10</v>
      </c>
      <c r="J891" s="22" t="n">
        <v>44726</v>
      </c>
      <c r="K891" s="23" t="n">
        <v>0.666666666666667</v>
      </c>
      <c r="L891" s="22" t="n">
        <v>44727</v>
      </c>
      <c r="M891" s="23" t="n">
        <v>0.486805555555556</v>
      </c>
      <c r="O891" s="1" t="s">
        <v>720</v>
      </c>
      <c r="P891" s="16" t="s">
        <v>707</v>
      </c>
      <c r="Q891" s="16" t="s">
        <v>708</v>
      </c>
      <c r="R891" s="16" t="s">
        <v>709</v>
      </c>
      <c r="S891" s="4" t="s">
        <v>639</v>
      </c>
      <c r="T891" s="24" t="n">
        <v>550</v>
      </c>
      <c r="U891" s="18" t="n">
        <v>4.2</v>
      </c>
      <c r="V891" s="24" t="n">
        <v>0.25</v>
      </c>
      <c r="W891" s="2" t="n">
        <v>0.5</v>
      </c>
      <c r="Z891" s="18"/>
      <c r="AA891" s="20" t="n">
        <v>306000</v>
      </c>
      <c r="AB891" s="20" t="n">
        <v>378847</v>
      </c>
      <c r="AC891" s="19" t="n">
        <f aca="false">(AB891-AA891)/AB891</f>
        <v>0.192286067990508</v>
      </c>
    </row>
    <row r="892" customFormat="false" ht="14.25" hidden="false" customHeight="true" outlineLevel="0" collapsed="false">
      <c r="A892" s="18" t="s">
        <v>705</v>
      </c>
      <c r="B892" s="18" t="s">
        <v>705</v>
      </c>
      <c r="C892" s="18" t="s">
        <v>31</v>
      </c>
      <c r="E892" s="2" t="n">
        <f aca="false">INDEX(FieldSites!F:F, MATCH(Ch2_FieldSurvey!B892,FieldSites!C:C,0))</f>
        <v>2572</v>
      </c>
      <c r="F892" s="2" t="n">
        <f aca="false">INDEX(FieldSites!G:G, MATCH(Ch2_FieldSurvey!B892,FieldSites!C:C,0))</f>
        <v>-119.440369</v>
      </c>
      <c r="G892" s="2" t="n">
        <f aca="false">INDEX(FieldSites!H:H, MATCH(Ch2_FieldSurvey!B892,FieldSites!C:C,0))</f>
        <v>37.853852</v>
      </c>
      <c r="H892" s="18" t="n">
        <v>10</v>
      </c>
      <c r="I892" s="21" t="str">
        <f aca="false">CONCATENATE(B892,"_",C892,H892)</f>
        <v>KNOB_M. laciniatus10</v>
      </c>
      <c r="J892" s="22" t="n">
        <v>44726</v>
      </c>
      <c r="K892" s="23" t="n">
        <v>0.666666666666667</v>
      </c>
      <c r="L892" s="22" t="n">
        <v>44727</v>
      </c>
      <c r="M892" s="23"/>
      <c r="O892" s="1" t="s">
        <v>720</v>
      </c>
      <c r="P892" s="16" t="s">
        <v>707</v>
      </c>
      <c r="Q892" s="16" t="s">
        <v>708</v>
      </c>
      <c r="R892" s="16" t="s">
        <v>709</v>
      </c>
      <c r="T892" s="24" t="n">
        <v>485</v>
      </c>
      <c r="U892" s="18" t="n">
        <v>6.6</v>
      </c>
      <c r="V892" s="24" t="n">
        <v>0.2</v>
      </c>
      <c r="W892" s="2" t="n">
        <v>0.3</v>
      </c>
      <c r="Z892" s="18"/>
      <c r="AA892" s="20"/>
      <c r="AB892" s="20"/>
      <c r="AC892" s="19" t="e">
        <f aca="false">(AB892-AA892)/AB892</f>
        <v>#DIV/0!</v>
      </c>
    </row>
    <row r="893" customFormat="false" ht="14.25" hidden="false" customHeight="true" outlineLevel="0" collapsed="false">
      <c r="A893" s="18" t="s">
        <v>705</v>
      </c>
      <c r="B893" s="18" t="s">
        <v>705</v>
      </c>
      <c r="C893" s="18" t="s">
        <v>31</v>
      </c>
      <c r="E893" s="2" t="n">
        <f aca="false">INDEX(FieldSites!F:F, MATCH(Ch2_FieldSurvey!B893,FieldSites!C:C,0))</f>
        <v>2572</v>
      </c>
      <c r="F893" s="2" t="n">
        <f aca="false">INDEX(FieldSites!G:G, MATCH(Ch2_FieldSurvey!B893,FieldSites!C:C,0))</f>
        <v>-119.440369</v>
      </c>
      <c r="G893" s="2" t="n">
        <f aca="false">INDEX(FieldSites!H:H, MATCH(Ch2_FieldSurvey!B893,FieldSites!C:C,0))</f>
        <v>37.853852</v>
      </c>
      <c r="H893" s="18" t="n">
        <v>10</v>
      </c>
      <c r="I893" s="21" t="str">
        <f aca="false">CONCATENATE(B893,"_",C893,H893)</f>
        <v>KNOB_M. laciniatus10</v>
      </c>
      <c r="J893" s="22" t="n">
        <v>44726</v>
      </c>
      <c r="K893" s="23" t="n">
        <v>0.666666666666667</v>
      </c>
      <c r="L893" s="22" t="n">
        <v>44727</v>
      </c>
      <c r="M893" s="23"/>
      <c r="O893" s="1" t="s">
        <v>720</v>
      </c>
      <c r="P893" s="16" t="s">
        <v>707</v>
      </c>
      <c r="Q893" s="16" t="s">
        <v>708</v>
      </c>
      <c r="R893" s="16" t="s">
        <v>709</v>
      </c>
      <c r="T893" s="24" t="n">
        <v>635</v>
      </c>
      <c r="U893" s="18" t="n">
        <v>5.5</v>
      </c>
      <c r="V893" s="24" t="n">
        <v>0.23</v>
      </c>
      <c r="W893" s="2" t="n">
        <v>0.5</v>
      </c>
      <c r="Z893" s="18"/>
      <c r="AA893" s="20"/>
      <c r="AB893" s="20"/>
      <c r="AC893" s="19" t="e">
        <f aca="false">(AB893-AA893)/AB893</f>
        <v>#DIV/0!</v>
      </c>
    </row>
    <row r="894" customFormat="false" ht="14.25" hidden="false" customHeight="true" outlineLevel="0" collapsed="false">
      <c r="A894" s="18" t="s">
        <v>721</v>
      </c>
      <c r="B894" s="18" t="s">
        <v>721</v>
      </c>
      <c r="C894" s="2" t="s">
        <v>31</v>
      </c>
      <c r="E894" s="2" t="n">
        <f aca="false">INDEX(FieldSites!F:F, MATCH(Ch2_FieldSurvey!B894,FieldSites!C:C,0))</f>
        <v>2506</v>
      </c>
      <c r="F894" s="2" t="n">
        <f aca="false">INDEX(FieldSites!G:G, MATCH(Ch2_FieldSurvey!B894,FieldSites!C:C,0))</f>
        <v>-119.486313176147</v>
      </c>
      <c r="G894" s="2" t="n">
        <f aca="false">INDEX(FieldSites!H:H, MATCH(Ch2_FieldSurvey!B894,FieldSites!C:C,0))</f>
        <v>37.8072315532725</v>
      </c>
      <c r="H894" s="18" t="n">
        <v>101</v>
      </c>
      <c r="I894" s="21" t="str">
        <f aca="false">CONCATENATE(B894,"_",C894,H894)</f>
        <v>OPN_M. laciniatus101</v>
      </c>
      <c r="J894" s="22" t="n">
        <v>44726</v>
      </c>
      <c r="K894" s="23" t="n">
        <v>0.680555555555556</v>
      </c>
      <c r="L894" s="22" t="n">
        <v>44727</v>
      </c>
      <c r="M894" s="23" t="n">
        <v>0.523611111111111</v>
      </c>
      <c r="O894" s="1" t="s">
        <v>722</v>
      </c>
      <c r="P894" s="16" t="s">
        <v>707</v>
      </c>
      <c r="Q894" s="16" t="s">
        <v>723</v>
      </c>
      <c r="R894" s="16" t="s">
        <v>709</v>
      </c>
      <c r="S894" s="4" t="s">
        <v>176</v>
      </c>
      <c r="T894" s="24" t="n">
        <v>372</v>
      </c>
      <c r="U894" s="18" t="n">
        <v>4.4</v>
      </c>
      <c r="V894" s="24" t="n">
        <v>0.14</v>
      </c>
      <c r="W894" s="2" t="n">
        <v>0.3</v>
      </c>
      <c r="Z894" s="18"/>
      <c r="AA894" s="20" t="n">
        <v>173759</v>
      </c>
      <c r="AB894" s="20" t="n">
        <v>239414</v>
      </c>
      <c r="AC894" s="19" t="n">
        <f aca="false">(AB894-AA894)/AB894</f>
        <v>0.274232083336814</v>
      </c>
    </row>
    <row r="895" customFormat="false" ht="14.25" hidden="false" customHeight="true" outlineLevel="0" collapsed="false">
      <c r="A895" s="18" t="s">
        <v>721</v>
      </c>
      <c r="B895" s="18" t="s">
        <v>721</v>
      </c>
      <c r="C895" s="2" t="s">
        <v>31</v>
      </c>
      <c r="E895" s="2" t="n">
        <f aca="false">INDEX(FieldSites!F:F, MATCH(Ch2_FieldSurvey!B895,FieldSites!C:C,0))</f>
        <v>2506</v>
      </c>
      <c r="F895" s="2" t="n">
        <f aca="false">INDEX(FieldSites!G:G, MATCH(Ch2_FieldSurvey!B895,FieldSites!C:C,0))</f>
        <v>-119.486313176147</v>
      </c>
      <c r="G895" s="2" t="n">
        <f aca="false">INDEX(FieldSites!H:H, MATCH(Ch2_FieldSurvey!B895,FieldSites!C:C,0))</f>
        <v>37.8072315532725</v>
      </c>
      <c r="H895" s="18" t="n">
        <v>101</v>
      </c>
      <c r="I895" s="21" t="str">
        <f aca="false">CONCATENATE(B895,"_",C895,H895)</f>
        <v>OPN_M. laciniatus101</v>
      </c>
      <c r="J895" s="22" t="n">
        <v>44726</v>
      </c>
      <c r="K895" s="23" t="n">
        <v>0.680555555555556</v>
      </c>
      <c r="L895" s="22" t="n">
        <v>44727</v>
      </c>
      <c r="M895" s="23"/>
      <c r="O895" s="1" t="s">
        <v>722</v>
      </c>
      <c r="P895" s="16" t="s">
        <v>707</v>
      </c>
      <c r="Q895" s="16" t="s">
        <v>723</v>
      </c>
      <c r="R895" s="16" t="s">
        <v>709</v>
      </c>
      <c r="T895" s="24" t="n">
        <v>361</v>
      </c>
      <c r="U895" s="18" t="n">
        <v>5</v>
      </c>
      <c r="V895" s="24" t="n">
        <v>0.13</v>
      </c>
      <c r="W895" s="2" t="n">
        <v>0.2</v>
      </c>
      <c r="Z895" s="18"/>
      <c r="AA895" s="20"/>
      <c r="AB895" s="20"/>
      <c r="AC895" s="19" t="e">
        <f aca="false">(AB895-AA895)/AB895</f>
        <v>#DIV/0!</v>
      </c>
    </row>
    <row r="896" customFormat="false" ht="14.25" hidden="false" customHeight="true" outlineLevel="0" collapsed="false">
      <c r="A896" s="18" t="s">
        <v>721</v>
      </c>
      <c r="B896" s="18" t="s">
        <v>721</v>
      </c>
      <c r="C896" s="2" t="s">
        <v>31</v>
      </c>
      <c r="E896" s="2" t="n">
        <f aca="false">INDEX(FieldSites!F:F, MATCH(Ch2_FieldSurvey!B896,FieldSites!C:C,0))</f>
        <v>2506</v>
      </c>
      <c r="F896" s="2" t="n">
        <f aca="false">INDEX(FieldSites!G:G, MATCH(Ch2_FieldSurvey!B896,FieldSites!C:C,0))</f>
        <v>-119.486313176147</v>
      </c>
      <c r="G896" s="2" t="n">
        <f aca="false">INDEX(FieldSites!H:H, MATCH(Ch2_FieldSurvey!B896,FieldSites!C:C,0))</f>
        <v>37.8072315532725</v>
      </c>
      <c r="H896" s="18" t="n">
        <v>101</v>
      </c>
      <c r="I896" s="21" t="str">
        <f aca="false">CONCATENATE(B896,"_",C896,H896)</f>
        <v>OPN_M. laciniatus101</v>
      </c>
      <c r="J896" s="22" t="n">
        <v>44726</v>
      </c>
      <c r="K896" s="23" t="n">
        <v>0.680555555555556</v>
      </c>
      <c r="L896" s="22" t="n">
        <v>44727</v>
      </c>
      <c r="M896" s="23"/>
      <c r="O896" s="1" t="s">
        <v>722</v>
      </c>
      <c r="P896" s="16" t="s">
        <v>707</v>
      </c>
      <c r="Q896" s="16" t="s">
        <v>723</v>
      </c>
      <c r="R896" s="16" t="s">
        <v>709</v>
      </c>
      <c r="T896" s="24" t="n">
        <v>317</v>
      </c>
      <c r="U896" s="18" t="n">
        <v>4.1</v>
      </c>
      <c r="V896" s="24" t="n">
        <v>0.16</v>
      </c>
      <c r="W896" s="2" t="n">
        <v>0.1</v>
      </c>
      <c r="Z896" s="18"/>
      <c r="AA896" s="20"/>
      <c r="AB896" s="20"/>
      <c r="AC896" s="19" t="e">
        <f aca="false">(AB896-AA896)/AB896</f>
        <v>#DIV/0!</v>
      </c>
    </row>
    <row r="897" customFormat="false" ht="14.25" hidden="false" customHeight="true" outlineLevel="0" collapsed="false">
      <c r="A897" s="18" t="s">
        <v>721</v>
      </c>
      <c r="B897" s="18" t="s">
        <v>721</v>
      </c>
      <c r="C897" s="2" t="s">
        <v>31</v>
      </c>
      <c r="E897" s="2" t="n">
        <f aca="false">INDEX(FieldSites!F:F, MATCH(Ch2_FieldSurvey!B897,FieldSites!C:C,0))</f>
        <v>2506</v>
      </c>
      <c r="F897" s="2" t="n">
        <f aca="false">INDEX(FieldSites!G:G, MATCH(Ch2_FieldSurvey!B897,FieldSites!C:C,0))</f>
        <v>-119.486313176147</v>
      </c>
      <c r="G897" s="2" t="n">
        <f aca="false">INDEX(FieldSites!H:H, MATCH(Ch2_FieldSurvey!B897,FieldSites!C:C,0))</f>
        <v>37.8072315532725</v>
      </c>
      <c r="H897" s="18" t="n">
        <v>102</v>
      </c>
      <c r="I897" s="21" t="str">
        <f aca="false">CONCATENATE(B897,"_",C897,H897)</f>
        <v>OPN_M. laciniatus102</v>
      </c>
      <c r="J897" s="22" t="n">
        <v>44726</v>
      </c>
      <c r="K897" s="23" t="n">
        <v>0.680555555555556</v>
      </c>
      <c r="L897" s="22" t="n">
        <v>44727</v>
      </c>
      <c r="M897" s="23" t="n">
        <v>0.529861111111111</v>
      </c>
      <c r="O897" s="1" t="s">
        <v>724</v>
      </c>
      <c r="P897" s="16" t="s">
        <v>707</v>
      </c>
      <c r="Q897" s="16" t="s">
        <v>723</v>
      </c>
      <c r="R897" s="16" t="s">
        <v>709</v>
      </c>
      <c r="S897" s="4" t="s">
        <v>307</v>
      </c>
      <c r="T897" s="24" t="n">
        <v>296</v>
      </c>
      <c r="U897" s="18" t="n">
        <v>2.4</v>
      </c>
      <c r="V897" s="24" t="n">
        <v>0.17</v>
      </c>
      <c r="W897" s="2" t="n">
        <v>0.2</v>
      </c>
      <c r="Z897" s="18"/>
      <c r="AA897" s="20" t="n">
        <v>278923</v>
      </c>
      <c r="AB897" s="20" t="n">
        <v>378895</v>
      </c>
      <c r="AC897" s="19" t="n">
        <f aca="false">(AB897-AA897)/AB897</f>
        <v>0.263851462806318</v>
      </c>
    </row>
    <row r="898" customFormat="false" ht="14.25" hidden="false" customHeight="true" outlineLevel="0" collapsed="false">
      <c r="A898" s="18" t="s">
        <v>721</v>
      </c>
      <c r="B898" s="18" t="s">
        <v>721</v>
      </c>
      <c r="C898" s="2" t="s">
        <v>31</v>
      </c>
      <c r="E898" s="2" t="n">
        <f aca="false">INDEX(FieldSites!F:F, MATCH(Ch2_FieldSurvey!B898,FieldSites!C:C,0))</f>
        <v>2506</v>
      </c>
      <c r="F898" s="2" t="n">
        <f aca="false">INDEX(FieldSites!G:G, MATCH(Ch2_FieldSurvey!B898,FieldSites!C:C,0))</f>
        <v>-119.486313176147</v>
      </c>
      <c r="G898" s="2" t="n">
        <f aca="false">INDEX(FieldSites!H:H, MATCH(Ch2_FieldSurvey!B898,FieldSites!C:C,0))</f>
        <v>37.8072315532725</v>
      </c>
      <c r="H898" s="18" t="n">
        <v>102</v>
      </c>
      <c r="I898" s="21" t="str">
        <f aca="false">CONCATENATE(B898,"_",C898,H898)</f>
        <v>OPN_M. laciniatus102</v>
      </c>
      <c r="J898" s="22" t="n">
        <v>44726</v>
      </c>
      <c r="K898" s="23" t="n">
        <v>0.680555555555556</v>
      </c>
      <c r="L898" s="22" t="n">
        <v>44727</v>
      </c>
      <c r="M898" s="23"/>
      <c r="O898" s="1" t="s">
        <v>724</v>
      </c>
      <c r="P898" s="16" t="s">
        <v>707</v>
      </c>
      <c r="Q898" s="16" t="s">
        <v>723</v>
      </c>
      <c r="R898" s="16" t="s">
        <v>709</v>
      </c>
      <c r="T898" s="24" t="n">
        <v>302</v>
      </c>
      <c r="U898" s="18" t="n">
        <v>2.6</v>
      </c>
      <c r="V898" s="24" t="n">
        <v>0.15</v>
      </c>
      <c r="W898" s="2" t="n">
        <v>0.1</v>
      </c>
      <c r="Z898" s="18"/>
      <c r="AA898" s="20"/>
      <c r="AB898" s="20"/>
      <c r="AC898" s="19" t="e">
        <f aca="false">(AB898-AA898)/AB898</f>
        <v>#DIV/0!</v>
      </c>
    </row>
    <row r="899" customFormat="false" ht="14.25" hidden="false" customHeight="true" outlineLevel="0" collapsed="false">
      <c r="A899" s="18" t="s">
        <v>721</v>
      </c>
      <c r="B899" s="18" t="s">
        <v>721</v>
      </c>
      <c r="C899" s="2" t="s">
        <v>31</v>
      </c>
      <c r="E899" s="2" t="n">
        <f aca="false">INDEX(FieldSites!F:F, MATCH(Ch2_FieldSurvey!B899,FieldSites!C:C,0))</f>
        <v>2506</v>
      </c>
      <c r="F899" s="2" t="n">
        <f aca="false">INDEX(FieldSites!G:G, MATCH(Ch2_FieldSurvey!B899,FieldSites!C:C,0))</f>
        <v>-119.486313176147</v>
      </c>
      <c r="G899" s="2" t="n">
        <f aca="false">INDEX(FieldSites!H:H, MATCH(Ch2_FieldSurvey!B899,FieldSites!C:C,0))</f>
        <v>37.8072315532725</v>
      </c>
      <c r="H899" s="18" t="n">
        <v>102</v>
      </c>
      <c r="I899" s="21" t="str">
        <f aca="false">CONCATENATE(B899,"_",C899,H899)</f>
        <v>OPN_M. laciniatus102</v>
      </c>
      <c r="J899" s="22" t="n">
        <v>44726</v>
      </c>
      <c r="K899" s="23" t="n">
        <v>0.680555555555556</v>
      </c>
      <c r="L899" s="22" t="n">
        <v>44727</v>
      </c>
      <c r="M899" s="23"/>
      <c r="O899" s="1" t="s">
        <v>724</v>
      </c>
      <c r="P899" s="16" t="s">
        <v>707</v>
      </c>
      <c r="Q899" s="16" t="s">
        <v>723</v>
      </c>
      <c r="R899" s="16" t="s">
        <v>709</v>
      </c>
      <c r="T899" s="24" t="n">
        <v>271</v>
      </c>
      <c r="U899" s="18" t="n">
        <v>3</v>
      </c>
      <c r="V899" s="24" t="n">
        <v>0.14</v>
      </c>
      <c r="W899" s="2" t="n">
        <v>0.1</v>
      </c>
      <c r="Z899" s="18"/>
      <c r="AA899" s="20"/>
      <c r="AB899" s="20"/>
      <c r="AC899" s="19" t="e">
        <f aca="false">(AB899-AA899)/AB899</f>
        <v>#DIV/0!</v>
      </c>
    </row>
    <row r="900" customFormat="false" ht="14.25" hidden="false" customHeight="true" outlineLevel="0" collapsed="false">
      <c r="A900" s="18" t="s">
        <v>721</v>
      </c>
      <c r="B900" s="18" t="s">
        <v>721</v>
      </c>
      <c r="C900" s="2" t="s">
        <v>31</v>
      </c>
      <c r="E900" s="2" t="n">
        <f aca="false">INDEX(FieldSites!F:F, MATCH(Ch2_FieldSurvey!B900,FieldSites!C:C,0))</f>
        <v>2506</v>
      </c>
      <c r="F900" s="2" t="n">
        <f aca="false">INDEX(FieldSites!G:G, MATCH(Ch2_FieldSurvey!B900,FieldSites!C:C,0))</f>
        <v>-119.486313176147</v>
      </c>
      <c r="G900" s="2" t="n">
        <f aca="false">INDEX(FieldSites!H:H, MATCH(Ch2_FieldSurvey!B900,FieldSites!C:C,0))</f>
        <v>37.8072315532725</v>
      </c>
      <c r="H900" s="18" t="n">
        <v>103</v>
      </c>
      <c r="I900" s="21" t="str">
        <f aca="false">CONCATENATE(B900,"_",C900,H900)</f>
        <v>OPN_M. laciniatus103</v>
      </c>
      <c r="J900" s="22" t="n">
        <v>44726</v>
      </c>
      <c r="K900" s="23" t="n">
        <v>0.680555555555556</v>
      </c>
      <c r="L900" s="22" t="n">
        <v>44727</v>
      </c>
      <c r="M900" s="23" t="n">
        <v>0.535416666666667</v>
      </c>
      <c r="O900" s="1" t="s">
        <v>725</v>
      </c>
      <c r="P900" s="16" t="s">
        <v>707</v>
      </c>
      <c r="Q900" s="16" t="s">
        <v>723</v>
      </c>
      <c r="R900" s="16" t="s">
        <v>709</v>
      </c>
      <c r="S900" s="4" t="s">
        <v>583</v>
      </c>
      <c r="T900" s="24" t="n">
        <v>451</v>
      </c>
      <c r="U900" s="18" t="n">
        <v>4</v>
      </c>
      <c r="V900" s="24" t="n">
        <v>0.15</v>
      </c>
      <c r="W900" s="2" t="n">
        <v>0.2</v>
      </c>
      <c r="Z900" s="18"/>
      <c r="AA900" s="20" t="n">
        <v>415790</v>
      </c>
      <c r="AB900" s="20" t="n">
        <v>588488</v>
      </c>
      <c r="AC900" s="19" t="n">
        <f aca="false">(AB900-AA900)/AB900</f>
        <v>0.293460529356588</v>
      </c>
    </row>
    <row r="901" customFormat="false" ht="14.25" hidden="false" customHeight="true" outlineLevel="0" collapsed="false">
      <c r="A901" s="18" t="s">
        <v>721</v>
      </c>
      <c r="B901" s="18" t="s">
        <v>721</v>
      </c>
      <c r="C901" s="2" t="s">
        <v>31</v>
      </c>
      <c r="E901" s="2" t="n">
        <f aca="false">INDEX(FieldSites!F:F, MATCH(Ch2_FieldSurvey!B901,FieldSites!C:C,0))</f>
        <v>2506</v>
      </c>
      <c r="F901" s="2" t="n">
        <f aca="false">INDEX(FieldSites!G:G, MATCH(Ch2_FieldSurvey!B901,FieldSites!C:C,0))</f>
        <v>-119.486313176147</v>
      </c>
      <c r="G901" s="2" t="n">
        <f aca="false">INDEX(FieldSites!H:H, MATCH(Ch2_FieldSurvey!B901,FieldSites!C:C,0))</f>
        <v>37.8072315532725</v>
      </c>
      <c r="H901" s="18" t="n">
        <v>103</v>
      </c>
      <c r="I901" s="21" t="str">
        <f aca="false">CONCATENATE(B901,"_",C901,H901)</f>
        <v>OPN_M. laciniatus103</v>
      </c>
      <c r="J901" s="22" t="n">
        <v>44726</v>
      </c>
      <c r="K901" s="23" t="n">
        <v>0.680555555555556</v>
      </c>
      <c r="L901" s="22" t="n">
        <v>44727</v>
      </c>
      <c r="M901" s="23"/>
      <c r="O901" s="1" t="s">
        <v>725</v>
      </c>
      <c r="P901" s="16" t="s">
        <v>707</v>
      </c>
      <c r="Q901" s="16" t="s">
        <v>723</v>
      </c>
      <c r="R901" s="16" t="s">
        <v>709</v>
      </c>
      <c r="T901" s="24" t="n">
        <v>455</v>
      </c>
      <c r="U901" s="18" t="n">
        <v>4.5</v>
      </c>
      <c r="V901" s="24" t="n">
        <v>0.15</v>
      </c>
      <c r="W901" s="2" t="n">
        <v>0.2</v>
      </c>
      <c r="Z901" s="18"/>
      <c r="AA901" s="20"/>
      <c r="AB901" s="20"/>
      <c r="AC901" s="19" t="e">
        <f aca="false">(AB901-AA901)/AB901</f>
        <v>#DIV/0!</v>
      </c>
    </row>
    <row r="902" customFormat="false" ht="14.25" hidden="false" customHeight="true" outlineLevel="0" collapsed="false">
      <c r="A902" s="18" t="s">
        <v>721</v>
      </c>
      <c r="B902" s="18" t="s">
        <v>721</v>
      </c>
      <c r="C902" s="2" t="s">
        <v>31</v>
      </c>
      <c r="E902" s="2" t="n">
        <f aca="false">INDEX(FieldSites!F:F, MATCH(Ch2_FieldSurvey!B902,FieldSites!C:C,0))</f>
        <v>2506</v>
      </c>
      <c r="F902" s="2" t="n">
        <f aca="false">INDEX(FieldSites!G:G, MATCH(Ch2_FieldSurvey!B902,FieldSites!C:C,0))</f>
        <v>-119.486313176147</v>
      </c>
      <c r="G902" s="2" t="n">
        <f aca="false">INDEX(FieldSites!H:H, MATCH(Ch2_FieldSurvey!B902,FieldSites!C:C,0))</f>
        <v>37.8072315532725</v>
      </c>
      <c r="H902" s="18" t="n">
        <v>103</v>
      </c>
      <c r="I902" s="21" t="str">
        <f aca="false">CONCATENATE(B902,"_",C902,H902)</f>
        <v>OPN_M. laciniatus103</v>
      </c>
      <c r="J902" s="22" t="n">
        <v>44726</v>
      </c>
      <c r="K902" s="23" t="n">
        <v>0.680555555555556</v>
      </c>
      <c r="L902" s="22" t="n">
        <v>44727</v>
      </c>
      <c r="M902" s="23"/>
      <c r="O902" s="1" t="s">
        <v>725</v>
      </c>
      <c r="P902" s="16" t="s">
        <v>707</v>
      </c>
      <c r="Q902" s="16" t="s">
        <v>723</v>
      </c>
      <c r="R902" s="16" t="s">
        <v>709</v>
      </c>
      <c r="T902" s="24" t="n">
        <v>386</v>
      </c>
      <c r="U902" s="18" t="n">
        <v>4.3</v>
      </c>
      <c r="V902" s="24" t="n">
        <v>0.14</v>
      </c>
      <c r="W902" s="2" t="n">
        <v>0.2</v>
      </c>
      <c r="Z902" s="18"/>
      <c r="AA902" s="20"/>
      <c r="AB902" s="20"/>
      <c r="AC902" s="19" t="e">
        <f aca="false">(AB902-AA902)/AB902</f>
        <v>#DIV/0!</v>
      </c>
    </row>
    <row r="903" customFormat="false" ht="14.25" hidden="false" customHeight="true" outlineLevel="0" collapsed="false">
      <c r="A903" s="18" t="s">
        <v>721</v>
      </c>
      <c r="B903" s="18" t="s">
        <v>721</v>
      </c>
      <c r="C903" s="2" t="s">
        <v>31</v>
      </c>
      <c r="E903" s="2" t="n">
        <f aca="false">INDEX(FieldSites!F:F, MATCH(Ch2_FieldSurvey!B903,FieldSites!C:C,0))</f>
        <v>2506</v>
      </c>
      <c r="F903" s="2" t="n">
        <f aca="false">INDEX(FieldSites!G:G, MATCH(Ch2_FieldSurvey!B903,FieldSites!C:C,0))</f>
        <v>-119.486313176147</v>
      </c>
      <c r="G903" s="2" t="n">
        <f aca="false">INDEX(FieldSites!H:H, MATCH(Ch2_FieldSurvey!B903,FieldSites!C:C,0))</f>
        <v>37.8072315532725</v>
      </c>
      <c r="H903" s="18" t="n">
        <v>104</v>
      </c>
      <c r="I903" s="21" t="str">
        <f aca="false">CONCATENATE(B903,"_",C903,H903)</f>
        <v>OPN_M. laciniatus104</v>
      </c>
      <c r="J903" s="22" t="n">
        <v>44726</v>
      </c>
      <c r="K903" s="23" t="n">
        <v>0.680555555555556</v>
      </c>
      <c r="L903" s="22" t="n">
        <v>44727</v>
      </c>
      <c r="M903" s="23" t="n">
        <v>0.540972222222222</v>
      </c>
      <c r="O903" s="1" t="s">
        <v>726</v>
      </c>
      <c r="P903" s="16" t="s">
        <v>707</v>
      </c>
      <c r="Q903" s="16" t="s">
        <v>723</v>
      </c>
      <c r="R903" s="16" t="s">
        <v>709</v>
      </c>
      <c r="S903" s="4" t="s">
        <v>700</v>
      </c>
      <c r="T903" s="24" t="n">
        <v>250</v>
      </c>
      <c r="U903" s="18" t="n">
        <v>4.8</v>
      </c>
      <c r="V903" s="24" t="n">
        <v>0.25</v>
      </c>
      <c r="W903" s="2" t="n">
        <v>0.3</v>
      </c>
      <c r="Z903" s="18"/>
      <c r="AA903" s="20" t="n">
        <v>330495</v>
      </c>
      <c r="AB903" s="20" t="n">
        <v>677028</v>
      </c>
      <c r="AC903" s="19" t="n">
        <f aca="false">(AB903-AA903)/AB903</f>
        <v>0.511844414115812</v>
      </c>
    </row>
    <row r="904" customFormat="false" ht="14.25" hidden="false" customHeight="true" outlineLevel="0" collapsed="false">
      <c r="A904" s="18" t="s">
        <v>721</v>
      </c>
      <c r="B904" s="18" t="s">
        <v>721</v>
      </c>
      <c r="C904" s="2" t="s">
        <v>31</v>
      </c>
      <c r="E904" s="2" t="n">
        <f aca="false">INDEX(FieldSites!F:F, MATCH(Ch2_FieldSurvey!B904,FieldSites!C:C,0))</f>
        <v>2506</v>
      </c>
      <c r="F904" s="2" t="n">
        <f aca="false">INDEX(FieldSites!G:G, MATCH(Ch2_FieldSurvey!B904,FieldSites!C:C,0))</f>
        <v>-119.486313176147</v>
      </c>
      <c r="G904" s="2" t="n">
        <f aca="false">INDEX(FieldSites!H:H, MATCH(Ch2_FieldSurvey!B904,FieldSites!C:C,0))</f>
        <v>37.8072315532725</v>
      </c>
      <c r="H904" s="18" t="n">
        <v>104</v>
      </c>
      <c r="I904" s="21" t="str">
        <f aca="false">CONCATENATE(B904,"_",C904,H904)</f>
        <v>OPN_M. laciniatus104</v>
      </c>
      <c r="J904" s="22" t="n">
        <v>44726</v>
      </c>
      <c r="K904" s="23" t="n">
        <v>0.680555555555556</v>
      </c>
      <c r="L904" s="22" t="n">
        <v>44727</v>
      </c>
      <c r="M904" s="23"/>
      <c r="O904" s="1" t="s">
        <v>726</v>
      </c>
      <c r="P904" s="16" t="s">
        <v>707</v>
      </c>
      <c r="Q904" s="16" t="s">
        <v>723</v>
      </c>
      <c r="R904" s="16" t="s">
        <v>709</v>
      </c>
      <c r="T904" s="24" t="n">
        <v>351</v>
      </c>
      <c r="U904" s="18" t="n">
        <v>3.8</v>
      </c>
      <c r="V904" s="24" t="n">
        <v>0.25</v>
      </c>
      <c r="W904" s="2" t="n">
        <v>0.3</v>
      </c>
      <c r="Z904" s="18"/>
      <c r="AA904" s="20"/>
      <c r="AB904" s="20"/>
      <c r="AC904" s="19" t="e">
        <f aca="false">(AB904-AA904)/AB904</f>
        <v>#DIV/0!</v>
      </c>
    </row>
    <row r="905" customFormat="false" ht="14.25" hidden="false" customHeight="true" outlineLevel="0" collapsed="false">
      <c r="A905" s="18" t="s">
        <v>721</v>
      </c>
      <c r="B905" s="18" t="s">
        <v>721</v>
      </c>
      <c r="C905" s="2" t="s">
        <v>31</v>
      </c>
      <c r="E905" s="2" t="n">
        <f aca="false">INDEX(FieldSites!F:F, MATCH(Ch2_FieldSurvey!B905,FieldSites!C:C,0))</f>
        <v>2506</v>
      </c>
      <c r="F905" s="2" t="n">
        <f aca="false">INDEX(FieldSites!G:G, MATCH(Ch2_FieldSurvey!B905,FieldSites!C:C,0))</f>
        <v>-119.486313176147</v>
      </c>
      <c r="G905" s="2" t="n">
        <f aca="false">INDEX(FieldSites!H:H, MATCH(Ch2_FieldSurvey!B905,FieldSites!C:C,0))</f>
        <v>37.8072315532725</v>
      </c>
      <c r="H905" s="18" t="n">
        <v>104</v>
      </c>
      <c r="I905" s="21" t="str">
        <f aca="false">CONCATENATE(B905,"_",C905,H905)</f>
        <v>OPN_M. laciniatus104</v>
      </c>
      <c r="J905" s="22" t="n">
        <v>44726</v>
      </c>
      <c r="K905" s="23" t="n">
        <v>0.680555555555556</v>
      </c>
      <c r="L905" s="22" t="n">
        <v>44727</v>
      </c>
      <c r="M905" s="23"/>
      <c r="O905" s="1" t="s">
        <v>726</v>
      </c>
      <c r="P905" s="16" t="s">
        <v>707</v>
      </c>
      <c r="Q905" s="16" t="s">
        <v>723</v>
      </c>
      <c r="R905" s="16" t="s">
        <v>709</v>
      </c>
      <c r="T905" s="24" t="n">
        <v>332</v>
      </c>
      <c r="U905" s="18" t="n">
        <v>4.3</v>
      </c>
      <c r="V905" s="24" t="n">
        <v>0.25</v>
      </c>
      <c r="W905" s="2" t="n">
        <v>0.4</v>
      </c>
      <c r="Z905" s="18"/>
      <c r="AA905" s="20"/>
      <c r="AB905" s="20"/>
      <c r="AC905" s="19" t="e">
        <f aca="false">(AB905-AA905)/AB905</f>
        <v>#DIV/0!</v>
      </c>
    </row>
    <row r="906" customFormat="false" ht="14.25" hidden="false" customHeight="true" outlineLevel="0" collapsed="false">
      <c r="A906" s="18" t="s">
        <v>721</v>
      </c>
      <c r="B906" s="18" t="s">
        <v>721</v>
      </c>
      <c r="C906" s="2" t="s">
        <v>31</v>
      </c>
      <c r="E906" s="2" t="n">
        <f aca="false">INDEX(FieldSites!F:F, MATCH(Ch2_FieldSurvey!B906,FieldSites!C:C,0))</f>
        <v>2506</v>
      </c>
      <c r="F906" s="2" t="n">
        <f aca="false">INDEX(FieldSites!G:G, MATCH(Ch2_FieldSurvey!B906,FieldSites!C:C,0))</f>
        <v>-119.486313176147</v>
      </c>
      <c r="G906" s="2" t="n">
        <f aca="false">INDEX(FieldSites!H:H, MATCH(Ch2_FieldSurvey!B906,FieldSites!C:C,0))</f>
        <v>37.8072315532725</v>
      </c>
      <c r="H906" s="18" t="n">
        <v>105</v>
      </c>
      <c r="I906" s="21" t="str">
        <f aca="false">CONCATENATE(B906,"_",C906,H906)</f>
        <v>OPN_M. laciniatus105</v>
      </c>
      <c r="J906" s="22" t="n">
        <v>44726</v>
      </c>
      <c r="K906" s="23" t="n">
        <v>0.680555555555556</v>
      </c>
      <c r="L906" s="22" t="n">
        <v>44727</v>
      </c>
      <c r="M906" s="23" t="n">
        <v>0.547222222222222</v>
      </c>
      <c r="O906" s="1" t="s">
        <v>727</v>
      </c>
      <c r="P906" s="16" t="s">
        <v>707</v>
      </c>
      <c r="Q906" s="16" t="s">
        <v>723</v>
      </c>
      <c r="R906" s="16" t="s">
        <v>709</v>
      </c>
      <c r="S906" s="4" t="s">
        <v>728</v>
      </c>
      <c r="T906" s="24" t="n">
        <v>351</v>
      </c>
      <c r="U906" s="18" t="n">
        <v>4.6</v>
      </c>
      <c r="V906" s="24" t="n">
        <v>0.25</v>
      </c>
      <c r="W906" s="2" t="n">
        <v>0.3</v>
      </c>
      <c r="Z906" s="18"/>
      <c r="AA906" s="20" t="n">
        <v>373939</v>
      </c>
      <c r="AB906" s="20" t="n">
        <v>733854</v>
      </c>
      <c r="AC906" s="19" t="n">
        <f aca="false">(AB906-AA906)/AB906</f>
        <v>0.490444965892398</v>
      </c>
    </row>
    <row r="907" customFormat="false" ht="14.25" hidden="false" customHeight="true" outlineLevel="0" collapsed="false">
      <c r="A907" s="18" t="s">
        <v>721</v>
      </c>
      <c r="B907" s="18" t="s">
        <v>721</v>
      </c>
      <c r="C907" s="2" t="s">
        <v>31</v>
      </c>
      <c r="E907" s="2" t="n">
        <f aca="false">INDEX(FieldSites!F:F, MATCH(Ch2_FieldSurvey!B907,FieldSites!C:C,0))</f>
        <v>2506</v>
      </c>
      <c r="F907" s="2" t="n">
        <f aca="false">INDEX(FieldSites!G:G, MATCH(Ch2_FieldSurvey!B907,FieldSites!C:C,0))</f>
        <v>-119.486313176147</v>
      </c>
      <c r="G907" s="2" t="n">
        <f aca="false">INDEX(FieldSites!H:H, MATCH(Ch2_FieldSurvey!B907,FieldSites!C:C,0))</f>
        <v>37.8072315532725</v>
      </c>
      <c r="H907" s="18" t="n">
        <v>105</v>
      </c>
      <c r="I907" s="21" t="str">
        <f aca="false">CONCATENATE(B907,"_",C907,H907)</f>
        <v>OPN_M. laciniatus105</v>
      </c>
      <c r="J907" s="22" t="n">
        <v>44726</v>
      </c>
      <c r="K907" s="23" t="n">
        <v>0.680555555555556</v>
      </c>
      <c r="L907" s="22" t="n">
        <v>44727</v>
      </c>
      <c r="M907" s="23"/>
      <c r="O907" s="1" t="s">
        <v>727</v>
      </c>
      <c r="P907" s="16" t="s">
        <v>707</v>
      </c>
      <c r="Q907" s="16" t="s">
        <v>723</v>
      </c>
      <c r="R907" s="16" t="s">
        <v>709</v>
      </c>
      <c r="T907" s="24" t="n">
        <v>345</v>
      </c>
      <c r="U907" s="18" t="n">
        <v>3.7</v>
      </c>
      <c r="V907" s="24" t="n">
        <v>0.19</v>
      </c>
      <c r="W907" s="2" t="n">
        <v>0.1</v>
      </c>
      <c r="Z907" s="18"/>
      <c r="AA907" s="20"/>
      <c r="AB907" s="20"/>
      <c r="AC907" s="19" t="e">
        <f aca="false">(AB907-AA907)/AB907</f>
        <v>#DIV/0!</v>
      </c>
    </row>
    <row r="908" customFormat="false" ht="14.25" hidden="false" customHeight="true" outlineLevel="0" collapsed="false">
      <c r="A908" s="18" t="s">
        <v>721</v>
      </c>
      <c r="B908" s="18" t="s">
        <v>721</v>
      </c>
      <c r="C908" s="2" t="s">
        <v>31</v>
      </c>
      <c r="E908" s="2" t="n">
        <f aca="false">INDEX(FieldSites!F:F, MATCH(Ch2_FieldSurvey!B908,FieldSites!C:C,0))</f>
        <v>2506</v>
      </c>
      <c r="F908" s="2" t="n">
        <f aca="false">INDEX(FieldSites!G:G, MATCH(Ch2_FieldSurvey!B908,FieldSites!C:C,0))</f>
        <v>-119.486313176147</v>
      </c>
      <c r="G908" s="2" t="n">
        <f aca="false">INDEX(FieldSites!H:H, MATCH(Ch2_FieldSurvey!B908,FieldSites!C:C,0))</f>
        <v>37.8072315532725</v>
      </c>
      <c r="H908" s="18" t="n">
        <v>105</v>
      </c>
      <c r="I908" s="21" t="str">
        <f aca="false">CONCATENATE(B908,"_",C908,H908)</f>
        <v>OPN_M. laciniatus105</v>
      </c>
      <c r="J908" s="22" t="n">
        <v>44726</v>
      </c>
      <c r="K908" s="23" t="n">
        <v>0.680555555555556</v>
      </c>
      <c r="L908" s="22" t="n">
        <v>44727</v>
      </c>
      <c r="M908" s="23"/>
      <c r="O908" s="1" t="s">
        <v>727</v>
      </c>
      <c r="P908" s="16" t="s">
        <v>707</v>
      </c>
      <c r="Q908" s="16" t="s">
        <v>723</v>
      </c>
      <c r="R908" s="16" t="s">
        <v>709</v>
      </c>
      <c r="T908" s="24" t="n">
        <v>343</v>
      </c>
      <c r="U908" s="18" t="n">
        <v>3.6</v>
      </c>
      <c r="V908" s="24" t="n">
        <v>0.16</v>
      </c>
      <c r="W908" s="2" t="n">
        <v>0.3</v>
      </c>
      <c r="Z908" s="18"/>
      <c r="AA908" s="20"/>
      <c r="AB908" s="20"/>
      <c r="AC908" s="19" t="e">
        <f aca="false">(AB908-AA908)/AB908</f>
        <v>#DIV/0!</v>
      </c>
    </row>
    <row r="909" customFormat="false" ht="14.25" hidden="false" customHeight="true" outlineLevel="0" collapsed="false">
      <c r="A909" s="18" t="s">
        <v>721</v>
      </c>
      <c r="B909" s="18" t="s">
        <v>721</v>
      </c>
      <c r="C909" s="2" t="s">
        <v>31</v>
      </c>
      <c r="E909" s="2" t="n">
        <f aca="false">INDEX(FieldSites!F:F, MATCH(Ch2_FieldSurvey!B909,FieldSites!C:C,0))</f>
        <v>2506</v>
      </c>
      <c r="F909" s="2" t="n">
        <f aca="false">INDEX(FieldSites!G:G, MATCH(Ch2_FieldSurvey!B909,FieldSites!C:C,0))</f>
        <v>-119.486313176147</v>
      </c>
      <c r="G909" s="2" t="n">
        <f aca="false">INDEX(FieldSites!H:H, MATCH(Ch2_FieldSurvey!B909,FieldSites!C:C,0))</f>
        <v>37.8072315532725</v>
      </c>
      <c r="H909" s="18" t="n">
        <v>106</v>
      </c>
      <c r="I909" s="21" t="str">
        <f aca="false">CONCATENATE(B909,"_",C909,H909)</f>
        <v>OPN_M. laciniatus106</v>
      </c>
      <c r="J909" s="22" t="n">
        <v>44726</v>
      </c>
      <c r="K909" s="23" t="n">
        <v>0.680555555555556</v>
      </c>
      <c r="L909" s="22" t="n">
        <v>44727</v>
      </c>
      <c r="M909" s="23" t="n">
        <v>0.552777777777778</v>
      </c>
      <c r="O909" s="1" t="s">
        <v>729</v>
      </c>
      <c r="P909" s="16" t="s">
        <v>707</v>
      </c>
      <c r="Q909" s="16" t="s">
        <v>723</v>
      </c>
      <c r="R909" s="16" t="s">
        <v>709</v>
      </c>
      <c r="S909" s="4" t="s">
        <v>196</v>
      </c>
      <c r="T909" s="24" t="n">
        <v>280</v>
      </c>
      <c r="U909" s="18" t="n">
        <v>2.6</v>
      </c>
      <c r="V909" s="24" t="n">
        <v>0.19</v>
      </c>
      <c r="W909" s="2" t="n">
        <v>0.1</v>
      </c>
      <c r="Z909" s="18"/>
      <c r="AA909" s="20" t="n">
        <v>103698</v>
      </c>
      <c r="AB909" s="20" t="n">
        <v>149064</v>
      </c>
      <c r="AC909" s="19" t="n">
        <f aca="false">(AB909-AA909)/AB909</f>
        <v>0.304339075833199</v>
      </c>
    </row>
    <row r="910" customFormat="false" ht="14.25" hidden="false" customHeight="true" outlineLevel="0" collapsed="false">
      <c r="A910" s="18" t="s">
        <v>721</v>
      </c>
      <c r="B910" s="18" t="s">
        <v>721</v>
      </c>
      <c r="C910" s="2" t="s">
        <v>31</v>
      </c>
      <c r="E910" s="2" t="n">
        <f aca="false">INDEX(FieldSites!F:F, MATCH(Ch2_FieldSurvey!B910,FieldSites!C:C,0))</f>
        <v>2506</v>
      </c>
      <c r="F910" s="2" t="n">
        <f aca="false">INDEX(FieldSites!G:G, MATCH(Ch2_FieldSurvey!B910,FieldSites!C:C,0))</f>
        <v>-119.486313176147</v>
      </c>
      <c r="G910" s="2" t="n">
        <f aca="false">INDEX(FieldSites!H:H, MATCH(Ch2_FieldSurvey!B910,FieldSites!C:C,0))</f>
        <v>37.8072315532725</v>
      </c>
      <c r="H910" s="18" t="n">
        <v>106</v>
      </c>
      <c r="I910" s="21" t="str">
        <f aca="false">CONCATENATE(B910,"_",C910,H910)</f>
        <v>OPN_M. laciniatus106</v>
      </c>
      <c r="J910" s="22" t="n">
        <v>44726</v>
      </c>
      <c r="K910" s="23" t="n">
        <v>0.680555555555556</v>
      </c>
      <c r="L910" s="22" t="n">
        <v>44727</v>
      </c>
      <c r="M910" s="23"/>
      <c r="O910" s="1" t="s">
        <v>729</v>
      </c>
      <c r="P910" s="16" t="s">
        <v>707</v>
      </c>
      <c r="Q910" s="16" t="s">
        <v>723</v>
      </c>
      <c r="R910" s="16" t="s">
        <v>709</v>
      </c>
      <c r="T910" s="24" t="n">
        <v>319</v>
      </c>
      <c r="U910" s="18" t="n">
        <v>5.4</v>
      </c>
      <c r="V910" s="24" t="n">
        <v>0.17</v>
      </c>
      <c r="Z910" s="18"/>
      <c r="AA910" s="20"/>
      <c r="AB910" s="20"/>
      <c r="AC910" s="19" t="e">
        <f aca="false">(AB910-AA910)/AB910</f>
        <v>#DIV/0!</v>
      </c>
    </row>
    <row r="911" customFormat="false" ht="14.25" hidden="false" customHeight="true" outlineLevel="0" collapsed="false">
      <c r="A911" s="18" t="s">
        <v>721</v>
      </c>
      <c r="B911" s="18" t="s">
        <v>721</v>
      </c>
      <c r="C911" s="2" t="s">
        <v>31</v>
      </c>
      <c r="E911" s="2" t="n">
        <f aca="false">INDEX(FieldSites!F:F, MATCH(Ch2_FieldSurvey!B911,FieldSites!C:C,0))</f>
        <v>2506</v>
      </c>
      <c r="F911" s="2" t="n">
        <f aca="false">INDEX(FieldSites!G:G, MATCH(Ch2_FieldSurvey!B911,FieldSites!C:C,0))</f>
        <v>-119.486313176147</v>
      </c>
      <c r="G911" s="2" t="n">
        <f aca="false">INDEX(FieldSites!H:H, MATCH(Ch2_FieldSurvey!B911,FieldSites!C:C,0))</f>
        <v>37.8072315532725</v>
      </c>
      <c r="H911" s="18" t="n">
        <v>106</v>
      </c>
      <c r="I911" s="21" t="str">
        <f aca="false">CONCATENATE(B911,"_",C911,H911)</f>
        <v>OPN_M. laciniatus106</v>
      </c>
      <c r="J911" s="22" t="n">
        <v>44726</v>
      </c>
      <c r="K911" s="23" t="n">
        <v>0.680555555555556</v>
      </c>
      <c r="L911" s="22" t="n">
        <v>44727</v>
      </c>
      <c r="M911" s="23"/>
      <c r="O911" s="1" t="s">
        <v>729</v>
      </c>
      <c r="P911" s="16" t="s">
        <v>707</v>
      </c>
      <c r="Q911" s="16" t="s">
        <v>723</v>
      </c>
      <c r="R911" s="16" t="s">
        <v>709</v>
      </c>
      <c r="T911" s="24" t="n">
        <v>323</v>
      </c>
      <c r="U911" s="18" t="n">
        <v>4.6</v>
      </c>
      <c r="V911" s="24" t="n">
        <v>0.17</v>
      </c>
      <c r="Z911" s="18"/>
      <c r="AA911" s="20"/>
      <c r="AB911" s="20"/>
      <c r="AC911" s="19" t="e">
        <f aca="false">(AB911-AA911)/AB911</f>
        <v>#DIV/0!</v>
      </c>
    </row>
    <row r="912" customFormat="false" ht="14.25" hidden="false" customHeight="true" outlineLevel="0" collapsed="false">
      <c r="A912" s="18" t="s">
        <v>721</v>
      </c>
      <c r="B912" s="18" t="s">
        <v>721</v>
      </c>
      <c r="C912" s="2" t="s">
        <v>31</v>
      </c>
      <c r="E912" s="2" t="n">
        <f aca="false">INDEX(FieldSites!F:F, MATCH(Ch2_FieldSurvey!B912,FieldSites!C:C,0))</f>
        <v>2506</v>
      </c>
      <c r="F912" s="2" t="n">
        <f aca="false">INDEX(FieldSites!G:G, MATCH(Ch2_FieldSurvey!B912,FieldSites!C:C,0))</f>
        <v>-119.486313176147</v>
      </c>
      <c r="G912" s="2" t="n">
        <f aca="false">INDEX(FieldSites!H:H, MATCH(Ch2_FieldSurvey!B912,FieldSites!C:C,0))</f>
        <v>37.8072315532725</v>
      </c>
      <c r="H912" s="18" t="n">
        <v>107</v>
      </c>
      <c r="I912" s="21" t="str">
        <f aca="false">CONCATENATE(B912,"_",C912,H912)</f>
        <v>OPN_M. laciniatus107</v>
      </c>
      <c r="J912" s="22" t="n">
        <v>44726</v>
      </c>
      <c r="K912" s="23" t="n">
        <v>0.680555555555556</v>
      </c>
      <c r="L912" s="22" t="n">
        <v>44727</v>
      </c>
      <c r="M912" s="23" t="n">
        <v>0.559027777777778</v>
      </c>
      <c r="O912" s="1" t="s">
        <v>730</v>
      </c>
      <c r="P912" s="16" t="s">
        <v>707</v>
      </c>
      <c r="Q912" s="16" t="s">
        <v>723</v>
      </c>
      <c r="R912" s="16" t="s">
        <v>709</v>
      </c>
      <c r="S912" s="4" t="s">
        <v>518</v>
      </c>
      <c r="T912" s="24" t="n">
        <v>381</v>
      </c>
      <c r="U912" s="18" t="n">
        <v>4.9</v>
      </c>
      <c r="V912" s="24" t="n">
        <v>0.2</v>
      </c>
      <c r="W912" s="2" t="n">
        <v>0.3</v>
      </c>
      <c r="Z912" s="18"/>
      <c r="AA912" s="20" t="n">
        <v>185376</v>
      </c>
      <c r="AB912" s="20" t="n">
        <v>301055</v>
      </c>
      <c r="AC912" s="19" t="n">
        <f aca="false">(AB912-AA912)/AB912</f>
        <v>0.384245403663782</v>
      </c>
    </row>
    <row r="913" customFormat="false" ht="14.25" hidden="false" customHeight="true" outlineLevel="0" collapsed="false">
      <c r="A913" s="18" t="s">
        <v>721</v>
      </c>
      <c r="B913" s="18" t="s">
        <v>721</v>
      </c>
      <c r="C913" s="2" t="s">
        <v>31</v>
      </c>
      <c r="E913" s="2" t="n">
        <f aca="false">INDEX(FieldSites!F:F, MATCH(Ch2_FieldSurvey!B913,FieldSites!C:C,0))</f>
        <v>2506</v>
      </c>
      <c r="F913" s="2" t="n">
        <f aca="false">INDEX(FieldSites!G:G, MATCH(Ch2_FieldSurvey!B913,FieldSites!C:C,0))</f>
        <v>-119.486313176147</v>
      </c>
      <c r="G913" s="2" t="n">
        <f aca="false">INDEX(FieldSites!H:H, MATCH(Ch2_FieldSurvey!B913,FieldSites!C:C,0))</f>
        <v>37.8072315532725</v>
      </c>
      <c r="H913" s="18" t="n">
        <v>107</v>
      </c>
      <c r="I913" s="21" t="str">
        <f aca="false">CONCATENATE(B913,"_",C913,H913)</f>
        <v>OPN_M. laciniatus107</v>
      </c>
      <c r="J913" s="22" t="n">
        <v>44726</v>
      </c>
      <c r="K913" s="23" t="n">
        <v>0.680555555555556</v>
      </c>
      <c r="L913" s="22" t="n">
        <v>44727</v>
      </c>
      <c r="M913" s="23"/>
      <c r="O913" s="1" t="s">
        <v>730</v>
      </c>
      <c r="P913" s="16" t="s">
        <v>707</v>
      </c>
      <c r="Q913" s="16" t="s">
        <v>723</v>
      </c>
      <c r="R913" s="16" t="s">
        <v>709</v>
      </c>
      <c r="T913" s="24" t="n">
        <v>372</v>
      </c>
      <c r="U913" s="18" t="n">
        <v>4.8</v>
      </c>
      <c r="V913" s="24" t="n">
        <v>0.17</v>
      </c>
      <c r="W913" s="2" t="n">
        <v>0.1</v>
      </c>
      <c r="Z913" s="18"/>
      <c r="AA913" s="20"/>
      <c r="AB913" s="20"/>
      <c r="AC913" s="19" t="e">
        <f aca="false">(AB913-AA913)/AB913</f>
        <v>#DIV/0!</v>
      </c>
    </row>
    <row r="914" customFormat="false" ht="14.25" hidden="false" customHeight="true" outlineLevel="0" collapsed="false">
      <c r="A914" s="18" t="s">
        <v>721</v>
      </c>
      <c r="B914" s="18" t="s">
        <v>721</v>
      </c>
      <c r="C914" s="2" t="s">
        <v>31</v>
      </c>
      <c r="E914" s="2" t="n">
        <f aca="false">INDEX(FieldSites!F:F, MATCH(Ch2_FieldSurvey!B914,FieldSites!C:C,0))</f>
        <v>2506</v>
      </c>
      <c r="F914" s="2" t="n">
        <f aca="false">INDEX(FieldSites!G:G, MATCH(Ch2_FieldSurvey!B914,FieldSites!C:C,0))</f>
        <v>-119.486313176147</v>
      </c>
      <c r="G914" s="2" t="n">
        <f aca="false">INDEX(FieldSites!H:H, MATCH(Ch2_FieldSurvey!B914,FieldSites!C:C,0))</f>
        <v>37.8072315532725</v>
      </c>
      <c r="H914" s="18" t="n">
        <v>107</v>
      </c>
      <c r="I914" s="21" t="str">
        <f aca="false">CONCATENATE(B914,"_",C914,H914)</f>
        <v>OPN_M. laciniatus107</v>
      </c>
      <c r="J914" s="22" t="n">
        <v>44726</v>
      </c>
      <c r="K914" s="23" t="n">
        <v>0.680555555555556</v>
      </c>
      <c r="L914" s="22" t="n">
        <v>44727</v>
      </c>
      <c r="M914" s="23"/>
      <c r="O914" s="1" t="s">
        <v>730</v>
      </c>
      <c r="P914" s="16" t="s">
        <v>707</v>
      </c>
      <c r="Q914" s="16" t="s">
        <v>723</v>
      </c>
      <c r="R914" s="16" t="s">
        <v>709</v>
      </c>
      <c r="T914" s="24" t="n">
        <v>322</v>
      </c>
      <c r="U914" s="18" t="n">
        <v>5.7</v>
      </c>
      <c r="V914" s="24" t="n">
        <v>0.17</v>
      </c>
      <c r="W914" s="2" t="n">
        <v>0.4</v>
      </c>
      <c r="Z914" s="18"/>
      <c r="AA914" s="20"/>
      <c r="AB914" s="20"/>
      <c r="AC914" s="19" t="e">
        <f aca="false">(AB914-AA914)/AB914</f>
        <v>#DIV/0!</v>
      </c>
    </row>
    <row r="915" customFormat="false" ht="14.25" hidden="false" customHeight="true" outlineLevel="0" collapsed="false">
      <c r="A915" s="18" t="s">
        <v>721</v>
      </c>
      <c r="B915" s="18" t="s">
        <v>721</v>
      </c>
      <c r="C915" s="2" t="s">
        <v>31</v>
      </c>
      <c r="E915" s="2" t="n">
        <f aca="false">INDEX(FieldSites!F:F, MATCH(Ch2_FieldSurvey!B915,FieldSites!C:C,0))</f>
        <v>2506</v>
      </c>
      <c r="F915" s="2" t="n">
        <f aca="false">INDEX(FieldSites!G:G, MATCH(Ch2_FieldSurvey!B915,FieldSites!C:C,0))</f>
        <v>-119.486313176147</v>
      </c>
      <c r="G915" s="2" t="n">
        <f aca="false">INDEX(FieldSites!H:H, MATCH(Ch2_FieldSurvey!B915,FieldSites!C:C,0))</f>
        <v>37.8072315532725</v>
      </c>
      <c r="H915" s="18" t="n">
        <v>108</v>
      </c>
      <c r="I915" s="21" t="str">
        <f aca="false">CONCATENATE(B915,"_",C915,H915)</f>
        <v>OPN_M. laciniatus108</v>
      </c>
      <c r="J915" s="22" t="n">
        <v>44726</v>
      </c>
      <c r="K915" s="23" t="n">
        <v>0.680555555555556</v>
      </c>
      <c r="L915" s="22" t="n">
        <v>44727</v>
      </c>
      <c r="M915" s="23" t="n">
        <v>0.563194444444444</v>
      </c>
      <c r="O915" s="1" t="s">
        <v>731</v>
      </c>
      <c r="P915" s="16" t="s">
        <v>707</v>
      </c>
      <c r="Q915" s="16" t="s">
        <v>723</v>
      </c>
      <c r="R915" s="16" t="s">
        <v>709</v>
      </c>
      <c r="S915" s="4" t="s">
        <v>732</v>
      </c>
      <c r="T915" s="24" t="n">
        <v>375</v>
      </c>
      <c r="U915" s="18" t="n">
        <v>2.7</v>
      </c>
      <c r="V915" s="24" t="n">
        <v>0.31</v>
      </c>
      <c r="Z915" s="18" t="s">
        <v>581</v>
      </c>
      <c r="AA915" s="20" t="n">
        <v>100404</v>
      </c>
      <c r="AB915" s="20" t="n">
        <v>188939</v>
      </c>
      <c r="AC915" s="19" t="n">
        <f aca="false">(AB915-AA915)/AB915</f>
        <v>0.468590391607873</v>
      </c>
    </row>
    <row r="916" customFormat="false" ht="14.25" hidden="false" customHeight="true" outlineLevel="0" collapsed="false">
      <c r="A916" s="18" t="s">
        <v>721</v>
      </c>
      <c r="B916" s="18" t="s">
        <v>721</v>
      </c>
      <c r="C916" s="2" t="s">
        <v>31</v>
      </c>
      <c r="E916" s="2" t="n">
        <f aca="false">INDEX(FieldSites!F:F, MATCH(Ch2_FieldSurvey!B916,FieldSites!C:C,0))</f>
        <v>2506</v>
      </c>
      <c r="F916" s="2" t="n">
        <f aca="false">INDEX(FieldSites!G:G, MATCH(Ch2_FieldSurvey!B916,FieldSites!C:C,0))</f>
        <v>-119.486313176147</v>
      </c>
      <c r="G916" s="2" t="n">
        <f aca="false">INDEX(FieldSites!H:H, MATCH(Ch2_FieldSurvey!B916,FieldSites!C:C,0))</f>
        <v>37.8072315532725</v>
      </c>
      <c r="H916" s="18" t="n">
        <v>108</v>
      </c>
      <c r="I916" s="21" t="str">
        <f aca="false">CONCATENATE(B916,"_",C916,H916)</f>
        <v>OPN_M. laciniatus108</v>
      </c>
      <c r="J916" s="22" t="n">
        <v>44726</v>
      </c>
      <c r="K916" s="23" t="n">
        <v>0.680555555555556</v>
      </c>
      <c r="L916" s="22" t="n">
        <v>44727</v>
      </c>
      <c r="M916" s="23"/>
      <c r="O916" s="1" t="s">
        <v>731</v>
      </c>
      <c r="P916" s="16" t="s">
        <v>707</v>
      </c>
      <c r="Q916" s="16" t="s">
        <v>723</v>
      </c>
      <c r="R916" s="16" t="s">
        <v>709</v>
      </c>
      <c r="T916" s="24" t="n">
        <v>413</v>
      </c>
      <c r="U916" s="18" t="n">
        <v>2.6</v>
      </c>
      <c r="V916" s="24" t="n">
        <v>0.32</v>
      </c>
      <c r="Z916" s="18" t="s">
        <v>581</v>
      </c>
      <c r="AA916" s="20"/>
      <c r="AB916" s="20"/>
      <c r="AC916" s="19" t="e">
        <f aca="false">(AB916-AA916)/AB916</f>
        <v>#DIV/0!</v>
      </c>
    </row>
    <row r="917" customFormat="false" ht="14.25" hidden="false" customHeight="true" outlineLevel="0" collapsed="false">
      <c r="A917" s="18" t="s">
        <v>721</v>
      </c>
      <c r="B917" s="18" t="s">
        <v>721</v>
      </c>
      <c r="C917" s="2" t="s">
        <v>31</v>
      </c>
      <c r="E917" s="2" t="n">
        <f aca="false">INDEX(FieldSites!F:F, MATCH(Ch2_FieldSurvey!B917,FieldSites!C:C,0))</f>
        <v>2506</v>
      </c>
      <c r="F917" s="2" t="n">
        <f aca="false">INDEX(FieldSites!G:G, MATCH(Ch2_FieldSurvey!B917,FieldSites!C:C,0))</f>
        <v>-119.486313176147</v>
      </c>
      <c r="G917" s="2" t="n">
        <f aca="false">INDEX(FieldSites!H:H, MATCH(Ch2_FieldSurvey!B917,FieldSites!C:C,0))</f>
        <v>37.8072315532725</v>
      </c>
      <c r="H917" s="18" t="n">
        <v>108</v>
      </c>
      <c r="I917" s="21" t="str">
        <f aca="false">CONCATENATE(B917,"_",C917,H917)</f>
        <v>OPN_M. laciniatus108</v>
      </c>
      <c r="J917" s="22" t="n">
        <v>44726</v>
      </c>
      <c r="K917" s="23" t="n">
        <v>0.680555555555556</v>
      </c>
      <c r="L917" s="22" t="n">
        <v>44727</v>
      </c>
      <c r="M917" s="23"/>
      <c r="O917" s="1" t="s">
        <v>731</v>
      </c>
      <c r="P917" s="16" t="s">
        <v>707</v>
      </c>
      <c r="Q917" s="16" t="s">
        <v>723</v>
      </c>
      <c r="R917" s="16" t="s">
        <v>709</v>
      </c>
      <c r="T917" s="24" t="n">
        <v>352</v>
      </c>
      <c r="U917" s="18" t="n">
        <v>3.7</v>
      </c>
      <c r="V917" s="24" t="n">
        <v>0.28</v>
      </c>
      <c r="Z917" s="18" t="s">
        <v>581</v>
      </c>
      <c r="AA917" s="20"/>
      <c r="AB917" s="20"/>
      <c r="AC917" s="19" t="e">
        <f aca="false">(AB917-AA917)/AB917</f>
        <v>#DIV/0!</v>
      </c>
    </row>
    <row r="918" customFormat="false" ht="14.25" hidden="false" customHeight="true" outlineLevel="0" collapsed="false">
      <c r="A918" s="18" t="s">
        <v>721</v>
      </c>
      <c r="B918" s="18" t="s">
        <v>721</v>
      </c>
      <c r="C918" s="2" t="s">
        <v>31</v>
      </c>
      <c r="E918" s="2" t="n">
        <f aca="false">INDEX(FieldSites!F:F, MATCH(Ch2_FieldSurvey!B918,FieldSites!C:C,0))</f>
        <v>2506</v>
      </c>
      <c r="F918" s="2" t="n">
        <f aca="false">INDEX(FieldSites!G:G, MATCH(Ch2_FieldSurvey!B918,FieldSites!C:C,0))</f>
        <v>-119.486313176147</v>
      </c>
      <c r="G918" s="2" t="n">
        <f aca="false">INDEX(FieldSites!H:H, MATCH(Ch2_FieldSurvey!B918,FieldSites!C:C,0))</f>
        <v>37.8072315532725</v>
      </c>
      <c r="H918" s="18" t="n">
        <v>109</v>
      </c>
      <c r="I918" s="21" t="str">
        <f aca="false">CONCATENATE(B918,"_",C918,H918)</f>
        <v>OPN_M. laciniatus109</v>
      </c>
      <c r="J918" s="22" t="n">
        <v>44726</v>
      </c>
      <c r="K918" s="23" t="n">
        <v>0.680555555555556</v>
      </c>
      <c r="L918" s="22" t="n">
        <v>44727</v>
      </c>
      <c r="M918" s="23" t="n">
        <v>0.569444444444444</v>
      </c>
      <c r="O918" s="1" t="s">
        <v>733</v>
      </c>
      <c r="P918" s="16" t="s">
        <v>707</v>
      </c>
      <c r="Q918" s="16" t="s">
        <v>723</v>
      </c>
      <c r="R918" s="16" t="s">
        <v>709</v>
      </c>
      <c r="S918" s="4" t="s">
        <v>734</v>
      </c>
      <c r="T918" s="24" t="n">
        <v>290</v>
      </c>
      <c r="U918" s="18" t="n">
        <v>3.3</v>
      </c>
      <c r="V918" s="24" t="n">
        <v>0.21</v>
      </c>
      <c r="Z918" s="18"/>
      <c r="AA918" s="20" t="n">
        <v>93041</v>
      </c>
      <c r="AB918" s="20" t="n">
        <v>117711</v>
      </c>
      <c r="AC918" s="19" t="n">
        <f aca="false">(AB918-AA918)/AB918</f>
        <v>0.209581092676131</v>
      </c>
    </row>
    <row r="919" customFormat="false" ht="14.25" hidden="false" customHeight="true" outlineLevel="0" collapsed="false">
      <c r="A919" s="18" t="s">
        <v>721</v>
      </c>
      <c r="B919" s="18" t="s">
        <v>721</v>
      </c>
      <c r="C919" s="2" t="s">
        <v>31</v>
      </c>
      <c r="E919" s="2" t="n">
        <f aca="false">INDEX(FieldSites!F:F, MATCH(Ch2_FieldSurvey!B919,FieldSites!C:C,0))</f>
        <v>2506</v>
      </c>
      <c r="F919" s="2" t="n">
        <f aca="false">INDEX(FieldSites!G:G, MATCH(Ch2_FieldSurvey!B919,FieldSites!C:C,0))</f>
        <v>-119.486313176147</v>
      </c>
      <c r="G919" s="2" t="n">
        <f aca="false">INDEX(FieldSites!H:H, MATCH(Ch2_FieldSurvey!B919,FieldSites!C:C,0))</f>
        <v>37.8072315532725</v>
      </c>
      <c r="H919" s="18" t="n">
        <v>109</v>
      </c>
      <c r="I919" s="21" t="str">
        <f aca="false">CONCATENATE(B919,"_",C919,H919)</f>
        <v>OPN_M. laciniatus109</v>
      </c>
      <c r="J919" s="22" t="n">
        <v>44726</v>
      </c>
      <c r="K919" s="23" t="n">
        <v>0.680555555555556</v>
      </c>
      <c r="L919" s="22" t="n">
        <v>44727</v>
      </c>
      <c r="M919" s="23"/>
      <c r="O919" s="1" t="s">
        <v>733</v>
      </c>
      <c r="P919" s="16" t="s">
        <v>707</v>
      </c>
      <c r="Q919" s="16" t="s">
        <v>723</v>
      </c>
      <c r="R919" s="16" t="s">
        <v>709</v>
      </c>
      <c r="T919" s="24" t="n">
        <v>320</v>
      </c>
      <c r="U919" s="18" t="n">
        <v>2.3</v>
      </c>
      <c r="V919" s="24" t="n">
        <v>0.21</v>
      </c>
      <c r="Z919" s="18"/>
      <c r="AA919" s="20"/>
      <c r="AB919" s="20"/>
      <c r="AC919" s="19" t="e">
        <f aca="false">(AB919-AA919)/AB919</f>
        <v>#DIV/0!</v>
      </c>
    </row>
    <row r="920" customFormat="false" ht="14.25" hidden="false" customHeight="true" outlineLevel="0" collapsed="false">
      <c r="A920" s="18" t="s">
        <v>721</v>
      </c>
      <c r="B920" s="18" t="s">
        <v>721</v>
      </c>
      <c r="C920" s="2" t="s">
        <v>31</v>
      </c>
      <c r="E920" s="2" t="n">
        <f aca="false">INDEX(FieldSites!F:F, MATCH(Ch2_FieldSurvey!B920,FieldSites!C:C,0))</f>
        <v>2506</v>
      </c>
      <c r="F920" s="2" t="n">
        <f aca="false">INDEX(FieldSites!G:G, MATCH(Ch2_FieldSurvey!B920,FieldSites!C:C,0))</f>
        <v>-119.486313176147</v>
      </c>
      <c r="G920" s="2" t="n">
        <f aca="false">INDEX(FieldSites!H:H, MATCH(Ch2_FieldSurvey!B920,FieldSites!C:C,0))</f>
        <v>37.8072315532725</v>
      </c>
      <c r="H920" s="18" t="n">
        <v>109</v>
      </c>
      <c r="I920" s="21" t="str">
        <f aca="false">CONCATENATE(B920,"_",C920,H920)</f>
        <v>OPN_M. laciniatus109</v>
      </c>
      <c r="J920" s="22" t="n">
        <v>44726</v>
      </c>
      <c r="K920" s="23" t="n">
        <v>0.680555555555556</v>
      </c>
      <c r="L920" s="22" t="n">
        <v>44727</v>
      </c>
      <c r="M920" s="23"/>
      <c r="O920" s="1" t="s">
        <v>733</v>
      </c>
      <c r="P920" s="16" t="s">
        <v>707</v>
      </c>
      <c r="Q920" s="16" t="s">
        <v>723</v>
      </c>
      <c r="R920" s="16" t="s">
        <v>709</v>
      </c>
      <c r="T920" s="24" t="n">
        <v>295</v>
      </c>
      <c r="U920" s="18" t="n">
        <v>2.7</v>
      </c>
      <c r="V920" s="24" t="n">
        <v>0.2</v>
      </c>
      <c r="Z920" s="18"/>
      <c r="AA920" s="20"/>
      <c r="AB920" s="20"/>
      <c r="AC920" s="19" t="e">
        <f aca="false">(AB920-AA920)/AB920</f>
        <v>#DIV/0!</v>
      </c>
    </row>
    <row r="921" customFormat="false" ht="14.25" hidden="false" customHeight="true" outlineLevel="0" collapsed="false">
      <c r="A921" s="18" t="s">
        <v>721</v>
      </c>
      <c r="B921" s="18" t="s">
        <v>721</v>
      </c>
      <c r="C921" s="2" t="s">
        <v>31</v>
      </c>
      <c r="E921" s="2" t="n">
        <f aca="false">INDEX(FieldSites!F:F, MATCH(Ch2_FieldSurvey!B921,FieldSites!C:C,0))</f>
        <v>2506</v>
      </c>
      <c r="F921" s="2" t="n">
        <f aca="false">INDEX(FieldSites!G:G, MATCH(Ch2_FieldSurvey!B921,FieldSites!C:C,0))</f>
        <v>-119.486313176147</v>
      </c>
      <c r="G921" s="2" t="n">
        <f aca="false">INDEX(FieldSites!H:H, MATCH(Ch2_FieldSurvey!B921,FieldSites!C:C,0))</f>
        <v>37.8072315532725</v>
      </c>
      <c r="H921" s="18" t="n">
        <v>110</v>
      </c>
      <c r="I921" s="21" t="str">
        <f aca="false">CONCATENATE(B921,"_",C921,H921)</f>
        <v>OPN_M. laciniatus110</v>
      </c>
      <c r="J921" s="22" t="n">
        <v>44726</v>
      </c>
      <c r="K921" s="23" t="n">
        <v>0.680555555555556</v>
      </c>
      <c r="L921" s="22" t="n">
        <v>44727</v>
      </c>
      <c r="M921" s="23" t="n">
        <v>0.573611111111111</v>
      </c>
      <c r="O921" s="1" t="s">
        <v>735</v>
      </c>
      <c r="P921" s="16" t="s">
        <v>707</v>
      </c>
      <c r="Q921" s="16" t="s">
        <v>723</v>
      </c>
      <c r="R921" s="16" t="s">
        <v>709</v>
      </c>
      <c r="S921" s="4" t="s">
        <v>736</v>
      </c>
      <c r="T921" s="24" t="n">
        <v>380</v>
      </c>
      <c r="U921" s="18" t="n">
        <v>4.4</v>
      </c>
      <c r="V921" s="24" t="n">
        <v>0.19</v>
      </c>
      <c r="Z921" s="18"/>
      <c r="AA921" s="20" t="n">
        <v>79015</v>
      </c>
      <c r="AB921" s="20" t="n">
        <v>168897</v>
      </c>
      <c r="AC921" s="19" t="n">
        <f aca="false">(AB921-AA921)/AB921</f>
        <v>0.532170494443359</v>
      </c>
    </row>
    <row r="922" customFormat="false" ht="14.25" hidden="false" customHeight="true" outlineLevel="0" collapsed="false">
      <c r="A922" s="18" t="s">
        <v>721</v>
      </c>
      <c r="B922" s="18" t="s">
        <v>721</v>
      </c>
      <c r="C922" s="2" t="s">
        <v>31</v>
      </c>
      <c r="E922" s="2" t="n">
        <f aca="false">INDEX(FieldSites!F:F, MATCH(Ch2_FieldSurvey!B922,FieldSites!C:C,0))</f>
        <v>2506</v>
      </c>
      <c r="F922" s="2" t="n">
        <f aca="false">INDEX(FieldSites!G:G, MATCH(Ch2_FieldSurvey!B922,FieldSites!C:C,0))</f>
        <v>-119.486313176147</v>
      </c>
      <c r="G922" s="2" t="n">
        <f aca="false">INDEX(FieldSites!H:H, MATCH(Ch2_FieldSurvey!B922,FieldSites!C:C,0))</f>
        <v>37.8072315532725</v>
      </c>
      <c r="H922" s="18" t="n">
        <v>110</v>
      </c>
      <c r="I922" s="21" t="str">
        <f aca="false">CONCATENATE(B922,"_",C922,H922)</f>
        <v>OPN_M. laciniatus110</v>
      </c>
      <c r="J922" s="22" t="n">
        <v>44726</v>
      </c>
      <c r="K922" s="23" t="n">
        <v>0.680555555555556</v>
      </c>
      <c r="L922" s="22" t="n">
        <v>44727</v>
      </c>
      <c r="M922" s="23"/>
      <c r="O922" s="1" t="s">
        <v>735</v>
      </c>
      <c r="P922" s="16" t="s">
        <v>707</v>
      </c>
      <c r="Q922" s="16" t="s">
        <v>723</v>
      </c>
      <c r="R922" s="16" t="s">
        <v>709</v>
      </c>
      <c r="T922" s="24" t="n">
        <v>440</v>
      </c>
      <c r="U922" s="18" t="n">
        <v>2.9</v>
      </c>
      <c r="V922" s="24" t="n">
        <v>0.31</v>
      </c>
      <c r="Z922" s="18"/>
      <c r="AA922" s="20"/>
      <c r="AB922" s="20"/>
      <c r="AC922" s="19" t="e">
        <f aca="false">(AB922-AA922)/AB922</f>
        <v>#DIV/0!</v>
      </c>
    </row>
    <row r="923" customFormat="false" ht="14.25" hidden="false" customHeight="true" outlineLevel="0" collapsed="false">
      <c r="A923" s="18" t="s">
        <v>721</v>
      </c>
      <c r="B923" s="18" t="s">
        <v>721</v>
      </c>
      <c r="C923" s="2" t="s">
        <v>31</v>
      </c>
      <c r="E923" s="2" t="n">
        <f aca="false">INDEX(FieldSites!F:F, MATCH(Ch2_FieldSurvey!B923,FieldSites!C:C,0))</f>
        <v>2506</v>
      </c>
      <c r="F923" s="2" t="n">
        <f aca="false">INDEX(FieldSites!G:G, MATCH(Ch2_FieldSurvey!B923,FieldSites!C:C,0))</f>
        <v>-119.486313176147</v>
      </c>
      <c r="G923" s="2" t="n">
        <f aca="false">INDEX(FieldSites!H:H, MATCH(Ch2_FieldSurvey!B923,FieldSites!C:C,0))</f>
        <v>37.8072315532725</v>
      </c>
      <c r="H923" s="18" t="n">
        <v>110</v>
      </c>
      <c r="I923" s="21" t="str">
        <f aca="false">CONCATENATE(B923,"_",C923,H923)</f>
        <v>OPN_M. laciniatus110</v>
      </c>
      <c r="J923" s="22" t="n">
        <v>44726</v>
      </c>
      <c r="K923" s="23" t="n">
        <v>0.680555555555556</v>
      </c>
      <c r="L923" s="22" t="n">
        <v>44727</v>
      </c>
      <c r="M923" s="23"/>
      <c r="O923" s="1" t="s">
        <v>735</v>
      </c>
      <c r="P923" s="16" t="s">
        <v>707</v>
      </c>
      <c r="Q923" s="16" t="s">
        <v>723</v>
      </c>
      <c r="R923" s="16" t="s">
        <v>709</v>
      </c>
      <c r="T923" s="24" t="n">
        <v>425</v>
      </c>
      <c r="U923" s="18"/>
      <c r="V923" s="24" t="n">
        <v>0.25</v>
      </c>
      <c r="Z923" s="18" t="s">
        <v>737</v>
      </c>
      <c r="AA923" s="20"/>
      <c r="AB923" s="20"/>
      <c r="AC923" s="19" t="e">
        <f aca="false">(AB923-AA923)/AB923</f>
        <v>#DIV/0!</v>
      </c>
    </row>
    <row r="924" customFormat="false" ht="14.25" hidden="false" customHeight="true" outlineLevel="0" collapsed="false">
      <c r="A924" s="18" t="s">
        <v>721</v>
      </c>
      <c r="B924" s="18" t="s">
        <v>721</v>
      </c>
      <c r="C924" s="2" t="s">
        <v>31</v>
      </c>
      <c r="E924" s="2" t="n">
        <f aca="false">INDEX(FieldSites!F:F, MATCH(Ch2_FieldSurvey!B924,FieldSites!C:C,0))</f>
        <v>2506</v>
      </c>
      <c r="F924" s="2" t="n">
        <f aca="false">INDEX(FieldSites!G:G, MATCH(Ch2_FieldSurvey!B924,FieldSites!C:C,0))</f>
        <v>-119.486313176147</v>
      </c>
      <c r="G924" s="2" t="n">
        <f aca="false">INDEX(FieldSites!H:H, MATCH(Ch2_FieldSurvey!B924,FieldSites!C:C,0))</f>
        <v>37.8072315532725</v>
      </c>
      <c r="H924" s="18" t="n">
        <v>1</v>
      </c>
      <c r="I924" s="21" t="str">
        <f aca="false">CONCATENATE(B924,"_",C924,H924)</f>
        <v>OPN_M. laciniatus1</v>
      </c>
      <c r="J924" s="22" t="n">
        <v>44394</v>
      </c>
      <c r="K924" s="23"/>
      <c r="L924" s="22" t="n">
        <v>44394</v>
      </c>
      <c r="M924" s="23"/>
      <c r="O924" s="1" t="s">
        <v>738</v>
      </c>
      <c r="P924" s="16" t="s">
        <v>739</v>
      </c>
      <c r="R924" s="16" t="s">
        <v>739</v>
      </c>
      <c r="T924" s="24" t="n">
        <v>335</v>
      </c>
      <c r="U924" s="18"/>
      <c r="V924" s="24"/>
      <c r="Z924" s="18"/>
      <c r="AA924" s="20"/>
      <c r="AB924" s="20"/>
      <c r="AC924" s="20"/>
    </row>
    <row r="925" customFormat="false" ht="14.25" hidden="false" customHeight="true" outlineLevel="0" collapsed="false">
      <c r="A925" s="18" t="s">
        <v>721</v>
      </c>
      <c r="B925" s="18" t="s">
        <v>721</v>
      </c>
      <c r="C925" s="2" t="s">
        <v>31</v>
      </c>
      <c r="E925" s="2" t="n">
        <f aca="false">INDEX(FieldSites!F:F, MATCH(Ch2_FieldSurvey!B925,FieldSites!C:C,0))</f>
        <v>2506</v>
      </c>
      <c r="F925" s="2" t="n">
        <f aca="false">INDEX(FieldSites!G:G, MATCH(Ch2_FieldSurvey!B925,FieldSites!C:C,0))</f>
        <v>-119.486313176147</v>
      </c>
      <c r="G925" s="2" t="n">
        <f aca="false">INDEX(FieldSites!H:H, MATCH(Ch2_FieldSurvey!B925,FieldSites!C:C,0))</f>
        <v>37.8072315532725</v>
      </c>
      <c r="H925" s="18" t="n">
        <v>1</v>
      </c>
      <c r="I925" s="21" t="str">
        <f aca="false">CONCATENATE(B925,"_",C925,H925)</f>
        <v>OPN_M. laciniatus1</v>
      </c>
      <c r="J925" s="22" t="n">
        <v>44394</v>
      </c>
      <c r="K925" s="23"/>
      <c r="L925" s="22" t="n">
        <v>44394</v>
      </c>
      <c r="M925" s="23"/>
      <c r="O925" s="1" t="s">
        <v>738</v>
      </c>
      <c r="P925" s="16" t="s">
        <v>739</v>
      </c>
      <c r="R925" s="16" t="s">
        <v>739</v>
      </c>
      <c r="T925" s="24" t="n">
        <v>319</v>
      </c>
      <c r="U925" s="18"/>
      <c r="V925" s="24"/>
      <c r="Z925" s="18"/>
      <c r="AA925" s="20"/>
      <c r="AB925" s="20"/>
      <c r="AC925" s="20"/>
    </row>
    <row r="926" customFormat="false" ht="14.25" hidden="false" customHeight="true" outlineLevel="0" collapsed="false">
      <c r="A926" s="18" t="s">
        <v>721</v>
      </c>
      <c r="B926" s="18" t="s">
        <v>721</v>
      </c>
      <c r="C926" s="2" t="s">
        <v>31</v>
      </c>
      <c r="E926" s="2" t="n">
        <f aca="false">INDEX(FieldSites!F:F, MATCH(Ch2_FieldSurvey!B926,FieldSites!C:C,0))</f>
        <v>2506</v>
      </c>
      <c r="F926" s="2" t="n">
        <f aca="false">INDEX(FieldSites!G:G, MATCH(Ch2_FieldSurvey!B926,FieldSites!C:C,0))</f>
        <v>-119.486313176147</v>
      </c>
      <c r="G926" s="2" t="n">
        <f aca="false">INDEX(FieldSites!H:H, MATCH(Ch2_FieldSurvey!B926,FieldSites!C:C,0))</f>
        <v>37.8072315532725</v>
      </c>
      <c r="H926" s="18" t="n">
        <v>1</v>
      </c>
      <c r="I926" s="21" t="str">
        <f aca="false">CONCATENATE(B926,"_",C926,H926)</f>
        <v>OPN_M. laciniatus1</v>
      </c>
      <c r="J926" s="22" t="n">
        <v>44394</v>
      </c>
      <c r="K926" s="23"/>
      <c r="L926" s="22" t="n">
        <v>44394</v>
      </c>
      <c r="M926" s="23"/>
      <c r="O926" s="1" t="s">
        <v>738</v>
      </c>
      <c r="P926" s="16" t="s">
        <v>739</v>
      </c>
      <c r="R926" s="16" t="s">
        <v>739</v>
      </c>
      <c r="T926" s="24" t="n">
        <v>360</v>
      </c>
      <c r="U926" s="18"/>
      <c r="V926" s="24"/>
      <c r="Z926" s="18"/>
      <c r="AA926" s="20"/>
      <c r="AB926" s="20"/>
      <c r="AC926" s="20"/>
    </row>
    <row r="927" customFormat="false" ht="14.25" hidden="false" customHeight="true" outlineLevel="0" collapsed="false">
      <c r="A927" s="18" t="s">
        <v>721</v>
      </c>
      <c r="B927" s="18" t="s">
        <v>721</v>
      </c>
      <c r="C927" s="2" t="s">
        <v>31</v>
      </c>
      <c r="E927" s="2" t="n">
        <f aca="false">INDEX(FieldSites!F:F, MATCH(Ch2_FieldSurvey!B927,FieldSites!C:C,0))</f>
        <v>2506</v>
      </c>
      <c r="F927" s="2" t="n">
        <f aca="false">INDEX(FieldSites!G:G, MATCH(Ch2_FieldSurvey!B927,FieldSites!C:C,0))</f>
        <v>-119.486313176147</v>
      </c>
      <c r="G927" s="2" t="n">
        <f aca="false">INDEX(FieldSites!H:H, MATCH(Ch2_FieldSurvey!B927,FieldSites!C:C,0))</f>
        <v>37.8072315532725</v>
      </c>
      <c r="H927" s="18" t="n">
        <v>2</v>
      </c>
      <c r="I927" s="21" t="str">
        <f aca="false">CONCATENATE(B927,"_",C927,H927)</f>
        <v>OPN_M. laciniatus2</v>
      </c>
      <c r="J927" s="22" t="n">
        <v>44394</v>
      </c>
      <c r="K927" s="23"/>
      <c r="L927" s="22" t="n">
        <v>44394</v>
      </c>
      <c r="M927" s="23"/>
      <c r="O927" s="1" t="s">
        <v>740</v>
      </c>
      <c r="P927" s="16" t="s">
        <v>739</v>
      </c>
      <c r="R927" s="16" t="s">
        <v>739</v>
      </c>
      <c r="T927" s="24" t="n">
        <v>449</v>
      </c>
      <c r="U927" s="18" t="n">
        <v>0.3</v>
      </c>
      <c r="V927" s="24"/>
      <c r="Z927" s="18"/>
      <c r="AA927" s="20"/>
      <c r="AB927" s="20"/>
      <c r="AC927" s="20"/>
    </row>
    <row r="928" customFormat="false" ht="14.25" hidden="false" customHeight="true" outlineLevel="0" collapsed="false">
      <c r="A928" s="18" t="s">
        <v>721</v>
      </c>
      <c r="B928" s="18" t="s">
        <v>721</v>
      </c>
      <c r="C928" s="2" t="s">
        <v>31</v>
      </c>
      <c r="E928" s="2" t="n">
        <f aca="false">INDEX(FieldSites!F:F, MATCH(Ch2_FieldSurvey!B928,FieldSites!C:C,0))</f>
        <v>2506</v>
      </c>
      <c r="F928" s="2" t="n">
        <f aca="false">INDEX(FieldSites!G:G, MATCH(Ch2_FieldSurvey!B928,FieldSites!C:C,0))</f>
        <v>-119.486313176147</v>
      </c>
      <c r="G928" s="2" t="n">
        <f aca="false">INDEX(FieldSites!H:H, MATCH(Ch2_FieldSurvey!B928,FieldSites!C:C,0))</f>
        <v>37.8072315532725</v>
      </c>
      <c r="H928" s="18" t="n">
        <v>2</v>
      </c>
      <c r="I928" s="21" t="str">
        <f aca="false">CONCATENATE(B928,"_",C928,H928)</f>
        <v>OPN_M. laciniatus2</v>
      </c>
      <c r="J928" s="22" t="n">
        <v>44394</v>
      </c>
      <c r="K928" s="23"/>
      <c r="L928" s="22" t="n">
        <v>44394</v>
      </c>
      <c r="M928" s="23"/>
      <c r="O928" s="1" t="s">
        <v>740</v>
      </c>
      <c r="P928" s="16" t="s">
        <v>739</v>
      </c>
      <c r="R928" s="16" t="s">
        <v>739</v>
      </c>
      <c r="T928" s="24" t="n">
        <v>460</v>
      </c>
      <c r="U928" s="18" t="n">
        <v>0.24</v>
      </c>
      <c r="V928" s="24"/>
      <c r="Z928" s="18"/>
      <c r="AA928" s="20"/>
      <c r="AB928" s="20"/>
      <c r="AC928" s="20"/>
    </row>
    <row r="929" customFormat="false" ht="14.25" hidden="false" customHeight="true" outlineLevel="0" collapsed="false">
      <c r="A929" s="18" t="s">
        <v>721</v>
      </c>
      <c r="B929" s="18" t="s">
        <v>721</v>
      </c>
      <c r="C929" s="2" t="s">
        <v>31</v>
      </c>
      <c r="E929" s="2" t="n">
        <f aca="false">INDEX(FieldSites!F:F, MATCH(Ch2_FieldSurvey!B929,FieldSites!C:C,0))</f>
        <v>2506</v>
      </c>
      <c r="F929" s="2" t="n">
        <f aca="false">INDEX(FieldSites!G:G, MATCH(Ch2_FieldSurvey!B929,FieldSites!C:C,0))</f>
        <v>-119.486313176147</v>
      </c>
      <c r="G929" s="2" t="n">
        <f aca="false">INDEX(FieldSites!H:H, MATCH(Ch2_FieldSurvey!B929,FieldSites!C:C,0))</f>
        <v>37.8072315532725</v>
      </c>
      <c r="H929" s="18" t="n">
        <v>2</v>
      </c>
      <c r="I929" s="21" t="str">
        <f aca="false">CONCATENATE(B929,"_",C929,H929)</f>
        <v>OPN_M. laciniatus2</v>
      </c>
      <c r="J929" s="22" t="n">
        <v>44394</v>
      </c>
      <c r="K929" s="23"/>
      <c r="L929" s="22" t="n">
        <v>44394</v>
      </c>
      <c r="M929" s="23"/>
      <c r="O929" s="1" t="s">
        <v>740</v>
      </c>
      <c r="P929" s="16" t="s">
        <v>739</v>
      </c>
      <c r="R929" s="16" t="s">
        <v>739</v>
      </c>
      <c r="T929" s="24" t="n">
        <v>568</v>
      </c>
      <c r="U929" s="18"/>
      <c r="V929" s="24"/>
      <c r="Z929" s="18"/>
      <c r="AA929" s="20"/>
      <c r="AB929" s="20"/>
      <c r="AC929" s="20"/>
    </row>
    <row r="930" customFormat="false" ht="14.25" hidden="false" customHeight="true" outlineLevel="0" collapsed="false">
      <c r="A930" s="18" t="s">
        <v>721</v>
      </c>
      <c r="B930" s="18" t="s">
        <v>721</v>
      </c>
      <c r="C930" s="2" t="s">
        <v>31</v>
      </c>
      <c r="E930" s="2" t="n">
        <f aca="false">INDEX(FieldSites!F:F, MATCH(Ch2_FieldSurvey!B930,FieldSites!C:C,0))</f>
        <v>2506</v>
      </c>
      <c r="F930" s="2" t="n">
        <f aca="false">INDEX(FieldSites!G:G, MATCH(Ch2_FieldSurvey!B930,FieldSites!C:C,0))</f>
        <v>-119.486313176147</v>
      </c>
      <c r="G930" s="2" t="n">
        <f aca="false">INDEX(FieldSites!H:H, MATCH(Ch2_FieldSurvey!B930,FieldSites!C:C,0))</f>
        <v>37.8072315532725</v>
      </c>
      <c r="H930" s="18" t="n">
        <v>3</v>
      </c>
      <c r="I930" s="21" t="str">
        <f aca="false">CONCATENATE(B930,"_",C930,H930)</f>
        <v>OPN_M. laciniatus3</v>
      </c>
      <c r="J930" s="22" t="n">
        <v>44394</v>
      </c>
      <c r="K930" s="23"/>
      <c r="L930" s="22" t="n">
        <v>44394</v>
      </c>
      <c r="M930" s="23"/>
      <c r="O930" s="1" t="s">
        <v>741</v>
      </c>
      <c r="P930" s="16" t="s">
        <v>739</v>
      </c>
      <c r="R930" s="16" t="s">
        <v>739</v>
      </c>
      <c r="T930" s="24" t="n">
        <v>300</v>
      </c>
      <c r="U930" s="18"/>
      <c r="V930" s="24"/>
      <c r="Z930" s="18"/>
      <c r="AA930" s="20"/>
      <c r="AB930" s="20"/>
      <c r="AC930" s="20"/>
    </row>
    <row r="931" customFormat="false" ht="14.25" hidden="false" customHeight="true" outlineLevel="0" collapsed="false">
      <c r="A931" s="18" t="s">
        <v>721</v>
      </c>
      <c r="B931" s="18" t="s">
        <v>721</v>
      </c>
      <c r="C931" s="2" t="s">
        <v>31</v>
      </c>
      <c r="E931" s="2" t="n">
        <f aca="false">INDEX(FieldSites!F:F, MATCH(Ch2_FieldSurvey!B931,FieldSites!C:C,0))</f>
        <v>2506</v>
      </c>
      <c r="F931" s="2" t="n">
        <f aca="false">INDEX(FieldSites!G:G, MATCH(Ch2_FieldSurvey!B931,FieldSites!C:C,0))</f>
        <v>-119.486313176147</v>
      </c>
      <c r="G931" s="2" t="n">
        <f aca="false">INDEX(FieldSites!H:H, MATCH(Ch2_FieldSurvey!B931,FieldSites!C:C,0))</f>
        <v>37.8072315532725</v>
      </c>
      <c r="H931" s="18" t="n">
        <v>3</v>
      </c>
      <c r="I931" s="21" t="str">
        <f aca="false">CONCATENATE(B931,"_",C931,H931)</f>
        <v>OPN_M. laciniatus3</v>
      </c>
      <c r="J931" s="22" t="n">
        <v>44394</v>
      </c>
      <c r="K931" s="23"/>
      <c r="L931" s="22" t="n">
        <v>44394</v>
      </c>
      <c r="M931" s="23"/>
      <c r="O931" s="1" t="s">
        <v>741</v>
      </c>
      <c r="P931" s="16" t="s">
        <v>739</v>
      </c>
      <c r="R931" s="16" t="s">
        <v>739</v>
      </c>
      <c r="T931" s="24" t="n">
        <v>350</v>
      </c>
      <c r="U931" s="18"/>
      <c r="V931" s="24"/>
      <c r="Z931" s="18"/>
      <c r="AA931" s="20"/>
      <c r="AB931" s="20"/>
      <c r="AC931" s="20"/>
    </row>
    <row r="932" customFormat="false" ht="14.25" hidden="false" customHeight="true" outlineLevel="0" collapsed="false">
      <c r="A932" s="18" t="s">
        <v>721</v>
      </c>
      <c r="B932" s="18" t="s">
        <v>721</v>
      </c>
      <c r="C932" s="2" t="s">
        <v>31</v>
      </c>
      <c r="E932" s="2" t="n">
        <f aca="false">INDEX(FieldSites!F:F, MATCH(Ch2_FieldSurvey!B932,FieldSites!C:C,0))</f>
        <v>2506</v>
      </c>
      <c r="F932" s="2" t="n">
        <f aca="false">INDEX(FieldSites!G:G, MATCH(Ch2_FieldSurvey!B932,FieldSites!C:C,0))</f>
        <v>-119.486313176147</v>
      </c>
      <c r="G932" s="2" t="n">
        <f aca="false">INDEX(FieldSites!H:H, MATCH(Ch2_FieldSurvey!B932,FieldSites!C:C,0))</f>
        <v>37.8072315532725</v>
      </c>
      <c r="H932" s="18" t="n">
        <v>3</v>
      </c>
      <c r="I932" s="21" t="str">
        <f aca="false">CONCATENATE(B932,"_",C932,H932)</f>
        <v>OPN_M. laciniatus3</v>
      </c>
      <c r="J932" s="22" t="n">
        <v>44394</v>
      </c>
      <c r="K932" s="23"/>
      <c r="L932" s="22" t="n">
        <v>44394</v>
      </c>
      <c r="M932" s="23"/>
      <c r="O932" s="1" t="s">
        <v>741</v>
      </c>
      <c r="P932" s="16" t="s">
        <v>739</v>
      </c>
      <c r="R932" s="16" t="s">
        <v>739</v>
      </c>
      <c r="T932" s="24" t="n">
        <v>297</v>
      </c>
      <c r="U932" s="18"/>
      <c r="V932" s="24"/>
      <c r="Z932" s="18"/>
      <c r="AA932" s="20"/>
      <c r="AB932" s="20"/>
      <c r="AC932" s="20"/>
    </row>
    <row r="933" customFormat="false" ht="14.25" hidden="false" customHeight="true" outlineLevel="0" collapsed="false">
      <c r="A933" s="18" t="s">
        <v>721</v>
      </c>
      <c r="B933" s="18" t="s">
        <v>721</v>
      </c>
      <c r="C933" s="2" t="s">
        <v>31</v>
      </c>
      <c r="E933" s="2" t="n">
        <f aca="false">INDEX(FieldSites!F:F, MATCH(Ch2_FieldSurvey!B933,FieldSites!C:C,0))</f>
        <v>2506</v>
      </c>
      <c r="F933" s="2" t="n">
        <f aca="false">INDEX(FieldSites!G:G, MATCH(Ch2_FieldSurvey!B933,FieldSites!C:C,0))</f>
        <v>-119.486313176147</v>
      </c>
      <c r="G933" s="2" t="n">
        <f aca="false">INDEX(FieldSites!H:H, MATCH(Ch2_FieldSurvey!B933,FieldSites!C:C,0))</f>
        <v>37.8072315532725</v>
      </c>
      <c r="H933" s="18" t="n">
        <v>4</v>
      </c>
      <c r="I933" s="21" t="str">
        <f aca="false">CONCATENATE(B933,"_",C933,H933)</f>
        <v>OPN_M. laciniatus4</v>
      </c>
      <c r="J933" s="22" t="n">
        <v>44394</v>
      </c>
      <c r="K933" s="23"/>
      <c r="L933" s="22" t="n">
        <v>44394</v>
      </c>
      <c r="M933" s="23"/>
      <c r="O933" s="1" t="s">
        <v>742</v>
      </c>
      <c r="P933" s="16" t="s">
        <v>739</v>
      </c>
      <c r="R933" s="16" t="s">
        <v>739</v>
      </c>
      <c r="T933" s="24" t="n">
        <v>330</v>
      </c>
      <c r="U933" s="18"/>
      <c r="V933" s="24"/>
      <c r="Z933" s="18"/>
      <c r="AA933" s="20"/>
      <c r="AB933" s="20"/>
      <c r="AC933" s="20"/>
    </row>
    <row r="934" customFormat="false" ht="14.25" hidden="false" customHeight="true" outlineLevel="0" collapsed="false">
      <c r="A934" s="18" t="s">
        <v>721</v>
      </c>
      <c r="B934" s="18" t="s">
        <v>721</v>
      </c>
      <c r="C934" s="2" t="s">
        <v>31</v>
      </c>
      <c r="E934" s="2" t="n">
        <f aca="false">INDEX(FieldSites!F:F, MATCH(Ch2_FieldSurvey!B934,FieldSites!C:C,0))</f>
        <v>2506</v>
      </c>
      <c r="F934" s="2" t="n">
        <f aca="false">INDEX(FieldSites!G:G, MATCH(Ch2_FieldSurvey!B934,FieldSites!C:C,0))</f>
        <v>-119.486313176147</v>
      </c>
      <c r="G934" s="2" t="n">
        <f aca="false">INDEX(FieldSites!H:H, MATCH(Ch2_FieldSurvey!B934,FieldSites!C:C,0))</f>
        <v>37.8072315532725</v>
      </c>
      <c r="H934" s="18" t="n">
        <v>4</v>
      </c>
      <c r="I934" s="21" t="str">
        <f aca="false">CONCATENATE(B934,"_",C934,H934)</f>
        <v>OPN_M. laciniatus4</v>
      </c>
      <c r="J934" s="22" t="n">
        <v>44394</v>
      </c>
      <c r="K934" s="23"/>
      <c r="L934" s="22" t="n">
        <v>44394</v>
      </c>
      <c r="M934" s="23"/>
      <c r="O934" s="1" t="s">
        <v>742</v>
      </c>
      <c r="P934" s="16" t="s">
        <v>739</v>
      </c>
      <c r="R934" s="16" t="s">
        <v>739</v>
      </c>
      <c r="T934" s="24" t="n">
        <v>270</v>
      </c>
      <c r="U934" s="18"/>
      <c r="V934" s="24"/>
      <c r="Z934" s="18"/>
      <c r="AA934" s="20"/>
      <c r="AB934" s="20"/>
      <c r="AC934" s="20"/>
    </row>
    <row r="935" customFormat="false" ht="14.25" hidden="false" customHeight="true" outlineLevel="0" collapsed="false">
      <c r="A935" s="18" t="s">
        <v>721</v>
      </c>
      <c r="B935" s="18" t="s">
        <v>721</v>
      </c>
      <c r="C935" s="2" t="s">
        <v>31</v>
      </c>
      <c r="E935" s="2" t="n">
        <f aca="false">INDEX(FieldSites!F:F, MATCH(Ch2_FieldSurvey!B935,FieldSites!C:C,0))</f>
        <v>2506</v>
      </c>
      <c r="F935" s="2" t="n">
        <f aca="false">INDEX(FieldSites!G:G, MATCH(Ch2_FieldSurvey!B935,FieldSites!C:C,0))</f>
        <v>-119.486313176147</v>
      </c>
      <c r="G935" s="2" t="n">
        <f aca="false">INDEX(FieldSites!H:H, MATCH(Ch2_FieldSurvey!B935,FieldSites!C:C,0))</f>
        <v>37.8072315532725</v>
      </c>
      <c r="H935" s="18" t="n">
        <v>4</v>
      </c>
      <c r="I935" s="21" t="str">
        <f aca="false">CONCATENATE(B935,"_",C935,H935)</f>
        <v>OPN_M. laciniatus4</v>
      </c>
      <c r="J935" s="22" t="n">
        <v>44394</v>
      </c>
      <c r="K935" s="23"/>
      <c r="L935" s="22" t="n">
        <v>44394</v>
      </c>
      <c r="M935" s="23"/>
      <c r="O935" s="1" t="s">
        <v>742</v>
      </c>
      <c r="P935" s="16" t="s">
        <v>739</v>
      </c>
      <c r="R935" s="16" t="s">
        <v>739</v>
      </c>
      <c r="T935" s="24" t="n">
        <v>335</v>
      </c>
      <c r="U935" s="18"/>
      <c r="V935" s="24"/>
      <c r="Z935" s="18"/>
      <c r="AA935" s="20"/>
      <c r="AB935" s="20"/>
      <c r="AC935" s="20"/>
    </row>
    <row r="936" customFormat="false" ht="14.25" hidden="false" customHeight="true" outlineLevel="0" collapsed="false">
      <c r="A936" s="18" t="s">
        <v>721</v>
      </c>
      <c r="B936" s="18" t="s">
        <v>721</v>
      </c>
      <c r="C936" s="2" t="s">
        <v>31</v>
      </c>
      <c r="E936" s="2" t="n">
        <f aca="false">INDEX(FieldSites!F:F, MATCH(Ch2_FieldSurvey!B936,FieldSites!C:C,0))</f>
        <v>2506</v>
      </c>
      <c r="F936" s="2" t="n">
        <f aca="false">INDEX(FieldSites!G:G, MATCH(Ch2_FieldSurvey!B936,FieldSites!C:C,0))</f>
        <v>-119.486313176147</v>
      </c>
      <c r="G936" s="2" t="n">
        <f aca="false">INDEX(FieldSites!H:H, MATCH(Ch2_FieldSurvey!B936,FieldSites!C:C,0))</f>
        <v>37.8072315532725</v>
      </c>
      <c r="H936" s="18" t="n">
        <v>5</v>
      </c>
      <c r="I936" s="21" t="str">
        <f aca="false">CONCATENATE(B936,"_",C936,H936)</f>
        <v>OPN_M. laciniatus5</v>
      </c>
      <c r="J936" s="22" t="n">
        <v>44394</v>
      </c>
      <c r="K936" s="23"/>
      <c r="L936" s="22" t="n">
        <v>44394</v>
      </c>
      <c r="M936" s="23"/>
      <c r="O936" s="1" t="s">
        <v>743</v>
      </c>
      <c r="P936" s="16" t="s">
        <v>739</v>
      </c>
      <c r="R936" s="16" t="s">
        <v>739</v>
      </c>
      <c r="T936" s="24" t="n">
        <v>340</v>
      </c>
      <c r="U936" s="18"/>
      <c r="V936" s="24"/>
      <c r="Z936" s="18"/>
      <c r="AA936" s="20"/>
      <c r="AB936" s="20"/>
      <c r="AC936" s="20"/>
    </row>
    <row r="937" customFormat="false" ht="14.25" hidden="false" customHeight="true" outlineLevel="0" collapsed="false">
      <c r="A937" s="18" t="s">
        <v>721</v>
      </c>
      <c r="B937" s="18" t="s">
        <v>721</v>
      </c>
      <c r="C937" s="2" t="s">
        <v>31</v>
      </c>
      <c r="E937" s="2" t="n">
        <f aca="false">INDEX(FieldSites!F:F, MATCH(Ch2_FieldSurvey!B937,FieldSites!C:C,0))</f>
        <v>2506</v>
      </c>
      <c r="F937" s="2" t="n">
        <f aca="false">INDEX(FieldSites!G:G, MATCH(Ch2_FieldSurvey!B937,FieldSites!C:C,0))</f>
        <v>-119.486313176147</v>
      </c>
      <c r="G937" s="2" t="n">
        <f aca="false">INDEX(FieldSites!H:H, MATCH(Ch2_FieldSurvey!B937,FieldSites!C:C,0))</f>
        <v>37.8072315532725</v>
      </c>
      <c r="H937" s="18" t="n">
        <v>5</v>
      </c>
      <c r="I937" s="21" t="str">
        <f aca="false">CONCATENATE(B937,"_",C937,H937)</f>
        <v>OPN_M. laciniatus5</v>
      </c>
      <c r="J937" s="22" t="n">
        <v>44394</v>
      </c>
      <c r="K937" s="23"/>
      <c r="L937" s="22" t="n">
        <v>44394</v>
      </c>
      <c r="M937" s="23"/>
      <c r="O937" s="1" t="s">
        <v>743</v>
      </c>
      <c r="P937" s="16" t="s">
        <v>739</v>
      </c>
      <c r="R937" s="16" t="s">
        <v>739</v>
      </c>
      <c r="T937" s="24" t="n">
        <v>336</v>
      </c>
      <c r="U937" s="18"/>
      <c r="V937" s="24"/>
      <c r="Z937" s="18"/>
      <c r="AA937" s="20"/>
      <c r="AB937" s="20"/>
      <c r="AC937" s="20"/>
    </row>
    <row r="938" customFormat="false" ht="14.25" hidden="false" customHeight="true" outlineLevel="0" collapsed="false">
      <c r="A938" s="18" t="s">
        <v>721</v>
      </c>
      <c r="B938" s="18" t="s">
        <v>721</v>
      </c>
      <c r="C938" s="2" t="s">
        <v>31</v>
      </c>
      <c r="E938" s="2" t="n">
        <f aca="false">INDEX(FieldSites!F:F, MATCH(Ch2_FieldSurvey!B938,FieldSites!C:C,0))</f>
        <v>2506</v>
      </c>
      <c r="F938" s="2" t="n">
        <f aca="false">INDEX(FieldSites!G:G, MATCH(Ch2_FieldSurvey!B938,FieldSites!C:C,0))</f>
        <v>-119.486313176147</v>
      </c>
      <c r="G938" s="2" t="n">
        <f aca="false">INDEX(FieldSites!H:H, MATCH(Ch2_FieldSurvey!B938,FieldSites!C:C,0))</f>
        <v>37.8072315532725</v>
      </c>
      <c r="H938" s="18" t="n">
        <v>5</v>
      </c>
      <c r="I938" s="21" t="str">
        <f aca="false">CONCATENATE(B938,"_",C938,H938)</f>
        <v>OPN_M. laciniatus5</v>
      </c>
      <c r="J938" s="22" t="n">
        <v>44394</v>
      </c>
      <c r="K938" s="23"/>
      <c r="L938" s="22" t="n">
        <v>44394</v>
      </c>
      <c r="M938" s="23"/>
      <c r="O938" s="1" t="s">
        <v>743</v>
      </c>
      <c r="P938" s="16" t="s">
        <v>739</v>
      </c>
      <c r="R938" s="16" t="s">
        <v>739</v>
      </c>
      <c r="T938" s="24" t="n">
        <v>289</v>
      </c>
      <c r="U938" s="18"/>
      <c r="V938" s="24"/>
      <c r="Z938" s="18"/>
      <c r="AA938" s="20"/>
      <c r="AB938" s="20"/>
      <c r="AC938" s="20"/>
    </row>
    <row r="939" customFormat="false" ht="14.25" hidden="false" customHeight="true" outlineLevel="0" collapsed="false">
      <c r="A939" s="18" t="s">
        <v>721</v>
      </c>
      <c r="B939" s="18" t="s">
        <v>721</v>
      </c>
      <c r="C939" s="2" t="s">
        <v>31</v>
      </c>
      <c r="E939" s="2" t="n">
        <f aca="false">INDEX(FieldSites!F:F, MATCH(Ch2_FieldSurvey!B939,FieldSites!C:C,0))</f>
        <v>2506</v>
      </c>
      <c r="F939" s="2" t="n">
        <f aca="false">INDEX(FieldSites!G:G, MATCH(Ch2_FieldSurvey!B939,FieldSites!C:C,0))</f>
        <v>-119.486313176147</v>
      </c>
      <c r="G939" s="2" t="n">
        <f aca="false">INDEX(FieldSites!H:H, MATCH(Ch2_FieldSurvey!B939,FieldSites!C:C,0))</f>
        <v>37.8072315532725</v>
      </c>
      <c r="H939" s="18" t="n">
        <v>6</v>
      </c>
      <c r="I939" s="21" t="str">
        <f aca="false">CONCATENATE(B939,"_",C939,H939)</f>
        <v>OPN_M. laciniatus6</v>
      </c>
      <c r="J939" s="22" t="n">
        <v>44394</v>
      </c>
      <c r="K939" s="23"/>
      <c r="L939" s="22" t="n">
        <v>44394</v>
      </c>
      <c r="M939" s="23"/>
      <c r="O939" s="1" t="s">
        <v>744</v>
      </c>
      <c r="P939" s="16" t="s">
        <v>739</v>
      </c>
      <c r="R939" s="16" t="s">
        <v>739</v>
      </c>
      <c r="T939" s="24" t="n">
        <v>375</v>
      </c>
      <c r="U939" s="18"/>
      <c r="V939" s="24"/>
      <c r="Z939" s="18"/>
      <c r="AA939" s="20"/>
      <c r="AB939" s="20"/>
      <c r="AC939" s="20"/>
    </row>
    <row r="940" customFormat="false" ht="14.25" hidden="false" customHeight="true" outlineLevel="0" collapsed="false">
      <c r="A940" s="18" t="s">
        <v>721</v>
      </c>
      <c r="B940" s="18" t="s">
        <v>721</v>
      </c>
      <c r="C940" s="2" t="s">
        <v>31</v>
      </c>
      <c r="E940" s="2" t="n">
        <f aca="false">INDEX(FieldSites!F:F, MATCH(Ch2_FieldSurvey!B940,FieldSites!C:C,0))</f>
        <v>2506</v>
      </c>
      <c r="F940" s="2" t="n">
        <f aca="false">INDEX(FieldSites!G:G, MATCH(Ch2_FieldSurvey!B940,FieldSites!C:C,0))</f>
        <v>-119.486313176147</v>
      </c>
      <c r="G940" s="2" t="n">
        <f aca="false">INDEX(FieldSites!H:H, MATCH(Ch2_FieldSurvey!B940,FieldSites!C:C,0))</f>
        <v>37.8072315532725</v>
      </c>
      <c r="H940" s="18" t="n">
        <v>6</v>
      </c>
      <c r="I940" s="21" t="str">
        <f aca="false">CONCATENATE(B940,"_",C940,H940)</f>
        <v>OPN_M. laciniatus6</v>
      </c>
      <c r="J940" s="22" t="n">
        <v>44394</v>
      </c>
      <c r="K940" s="23"/>
      <c r="L940" s="22" t="n">
        <v>44394</v>
      </c>
      <c r="M940" s="23"/>
      <c r="O940" s="1" t="s">
        <v>744</v>
      </c>
      <c r="P940" s="16" t="s">
        <v>739</v>
      </c>
      <c r="R940" s="16" t="s">
        <v>739</v>
      </c>
      <c r="T940" s="24" t="n">
        <v>386</v>
      </c>
      <c r="U940" s="18"/>
      <c r="V940" s="24"/>
      <c r="Z940" s="18"/>
      <c r="AA940" s="20"/>
      <c r="AB940" s="20"/>
      <c r="AC940" s="20"/>
    </row>
    <row r="941" customFormat="false" ht="14.25" hidden="false" customHeight="true" outlineLevel="0" collapsed="false">
      <c r="A941" s="18" t="s">
        <v>721</v>
      </c>
      <c r="B941" s="18" t="s">
        <v>721</v>
      </c>
      <c r="C941" s="2" t="s">
        <v>31</v>
      </c>
      <c r="E941" s="2" t="n">
        <f aca="false">INDEX(FieldSites!F:F, MATCH(Ch2_FieldSurvey!B941,FieldSites!C:C,0))</f>
        <v>2506</v>
      </c>
      <c r="F941" s="2" t="n">
        <f aca="false">INDEX(FieldSites!G:G, MATCH(Ch2_FieldSurvey!B941,FieldSites!C:C,0))</f>
        <v>-119.486313176147</v>
      </c>
      <c r="G941" s="2" t="n">
        <f aca="false">INDEX(FieldSites!H:H, MATCH(Ch2_FieldSurvey!B941,FieldSites!C:C,0))</f>
        <v>37.8072315532725</v>
      </c>
      <c r="H941" s="18" t="n">
        <v>6</v>
      </c>
      <c r="I941" s="21" t="str">
        <f aca="false">CONCATENATE(B941,"_",C941,H941)</f>
        <v>OPN_M. laciniatus6</v>
      </c>
      <c r="J941" s="22" t="n">
        <v>44394</v>
      </c>
      <c r="K941" s="23"/>
      <c r="L941" s="22" t="n">
        <v>44394</v>
      </c>
      <c r="M941" s="23"/>
      <c r="O941" s="1" t="s">
        <v>744</v>
      </c>
      <c r="P941" s="16" t="s">
        <v>739</v>
      </c>
      <c r="R941" s="16" t="s">
        <v>739</v>
      </c>
      <c r="T941" s="24" t="n">
        <v>378</v>
      </c>
      <c r="U941" s="18"/>
      <c r="V941" s="24"/>
      <c r="Z941" s="18"/>
      <c r="AA941" s="20"/>
      <c r="AB941" s="20"/>
      <c r="AC941" s="20"/>
    </row>
    <row r="942" customFormat="false" ht="14.25" hidden="false" customHeight="true" outlineLevel="0" collapsed="false">
      <c r="A942" s="18" t="s">
        <v>721</v>
      </c>
      <c r="B942" s="18" t="s">
        <v>721</v>
      </c>
      <c r="C942" s="2" t="s">
        <v>31</v>
      </c>
      <c r="E942" s="2" t="n">
        <f aca="false">INDEX(FieldSites!F:F, MATCH(Ch2_FieldSurvey!B942,FieldSites!C:C,0))</f>
        <v>2506</v>
      </c>
      <c r="F942" s="2" t="n">
        <f aca="false">INDEX(FieldSites!G:G, MATCH(Ch2_FieldSurvey!B942,FieldSites!C:C,0))</f>
        <v>-119.486313176147</v>
      </c>
      <c r="G942" s="2" t="n">
        <f aca="false">INDEX(FieldSites!H:H, MATCH(Ch2_FieldSurvey!B942,FieldSites!C:C,0))</f>
        <v>37.8072315532725</v>
      </c>
      <c r="H942" s="18" t="n">
        <v>7</v>
      </c>
      <c r="I942" s="21" t="str">
        <f aca="false">CONCATENATE(B942,"_",C942,H942)</f>
        <v>OPN_M. laciniatus7</v>
      </c>
      <c r="J942" s="22" t="n">
        <v>44394</v>
      </c>
      <c r="K942" s="23"/>
      <c r="L942" s="22" t="n">
        <v>44394</v>
      </c>
      <c r="M942" s="23"/>
      <c r="O942" s="1" t="s">
        <v>745</v>
      </c>
      <c r="P942" s="16" t="s">
        <v>739</v>
      </c>
      <c r="R942" s="16" t="s">
        <v>739</v>
      </c>
      <c r="T942" s="24" t="n">
        <v>410</v>
      </c>
      <c r="U942" s="18"/>
      <c r="V942" s="24"/>
      <c r="Z942" s="18"/>
      <c r="AA942" s="20"/>
      <c r="AB942" s="20"/>
      <c r="AC942" s="20"/>
    </row>
    <row r="943" customFormat="false" ht="14.25" hidden="false" customHeight="true" outlineLevel="0" collapsed="false">
      <c r="A943" s="18" t="s">
        <v>721</v>
      </c>
      <c r="B943" s="18" t="s">
        <v>721</v>
      </c>
      <c r="C943" s="2" t="s">
        <v>31</v>
      </c>
      <c r="E943" s="2" t="n">
        <f aca="false">INDEX(FieldSites!F:F, MATCH(Ch2_FieldSurvey!B943,FieldSites!C:C,0))</f>
        <v>2506</v>
      </c>
      <c r="F943" s="2" t="n">
        <f aca="false">INDEX(FieldSites!G:G, MATCH(Ch2_FieldSurvey!B943,FieldSites!C:C,0))</f>
        <v>-119.486313176147</v>
      </c>
      <c r="G943" s="2" t="n">
        <f aca="false">INDEX(FieldSites!H:H, MATCH(Ch2_FieldSurvey!B943,FieldSites!C:C,0))</f>
        <v>37.8072315532725</v>
      </c>
      <c r="H943" s="18" t="n">
        <v>7</v>
      </c>
      <c r="I943" s="21" t="str">
        <f aca="false">CONCATENATE(B943,"_",C943,H943)</f>
        <v>OPN_M. laciniatus7</v>
      </c>
      <c r="J943" s="22" t="n">
        <v>44394</v>
      </c>
      <c r="K943" s="23"/>
      <c r="L943" s="22" t="n">
        <v>44394</v>
      </c>
      <c r="M943" s="23"/>
      <c r="O943" s="1" t="s">
        <v>745</v>
      </c>
      <c r="P943" s="16" t="s">
        <v>739</v>
      </c>
      <c r="R943" s="16" t="s">
        <v>739</v>
      </c>
      <c r="T943" s="24" t="n">
        <v>400</v>
      </c>
      <c r="U943" s="18"/>
      <c r="V943" s="24"/>
      <c r="Z943" s="18"/>
      <c r="AA943" s="20"/>
      <c r="AB943" s="20"/>
      <c r="AC943" s="20"/>
    </row>
    <row r="944" customFormat="false" ht="14.25" hidden="false" customHeight="true" outlineLevel="0" collapsed="false">
      <c r="A944" s="18" t="s">
        <v>721</v>
      </c>
      <c r="B944" s="18" t="s">
        <v>721</v>
      </c>
      <c r="C944" s="2" t="s">
        <v>31</v>
      </c>
      <c r="E944" s="2" t="n">
        <f aca="false">INDEX(FieldSites!F:F, MATCH(Ch2_FieldSurvey!B944,FieldSites!C:C,0))</f>
        <v>2506</v>
      </c>
      <c r="F944" s="2" t="n">
        <f aca="false">INDEX(FieldSites!G:G, MATCH(Ch2_FieldSurvey!B944,FieldSites!C:C,0))</f>
        <v>-119.486313176147</v>
      </c>
      <c r="G944" s="2" t="n">
        <f aca="false">INDEX(FieldSites!H:H, MATCH(Ch2_FieldSurvey!B944,FieldSites!C:C,0))</f>
        <v>37.8072315532725</v>
      </c>
      <c r="H944" s="18" t="n">
        <v>7</v>
      </c>
      <c r="I944" s="21" t="str">
        <f aca="false">CONCATENATE(B944,"_",C944,H944)</f>
        <v>OPN_M. laciniatus7</v>
      </c>
      <c r="J944" s="22" t="n">
        <v>44394</v>
      </c>
      <c r="K944" s="23"/>
      <c r="L944" s="22" t="n">
        <v>44394</v>
      </c>
      <c r="M944" s="23"/>
      <c r="O944" s="1" t="s">
        <v>745</v>
      </c>
      <c r="P944" s="16" t="s">
        <v>739</v>
      </c>
      <c r="R944" s="16" t="s">
        <v>739</v>
      </c>
      <c r="T944" s="24" t="n">
        <v>426</v>
      </c>
      <c r="U944" s="18"/>
      <c r="V944" s="24"/>
      <c r="Z944" s="18"/>
      <c r="AA944" s="20"/>
      <c r="AB944" s="20"/>
      <c r="AC944" s="20"/>
    </row>
    <row r="945" customFormat="false" ht="14.25" hidden="false" customHeight="true" outlineLevel="0" collapsed="false">
      <c r="A945" s="18" t="s">
        <v>721</v>
      </c>
      <c r="B945" s="18" t="s">
        <v>721</v>
      </c>
      <c r="C945" s="2" t="s">
        <v>31</v>
      </c>
      <c r="E945" s="2" t="n">
        <f aca="false">INDEX(FieldSites!F:F, MATCH(Ch2_FieldSurvey!B945,FieldSites!C:C,0))</f>
        <v>2506</v>
      </c>
      <c r="F945" s="2" t="n">
        <f aca="false">INDEX(FieldSites!G:G, MATCH(Ch2_FieldSurvey!B945,FieldSites!C:C,0))</f>
        <v>-119.486313176147</v>
      </c>
      <c r="G945" s="2" t="n">
        <f aca="false">INDEX(FieldSites!H:H, MATCH(Ch2_FieldSurvey!B945,FieldSites!C:C,0))</f>
        <v>37.8072315532725</v>
      </c>
      <c r="H945" s="18" t="n">
        <v>8</v>
      </c>
      <c r="I945" s="21" t="str">
        <f aca="false">CONCATENATE(B945,"_",C945,H945)</f>
        <v>OPN_M. laciniatus8</v>
      </c>
      <c r="J945" s="22" t="n">
        <v>44394</v>
      </c>
      <c r="K945" s="23"/>
      <c r="L945" s="22" t="n">
        <v>44394</v>
      </c>
      <c r="M945" s="23"/>
      <c r="O945" s="1" t="s">
        <v>746</v>
      </c>
      <c r="P945" s="16" t="s">
        <v>739</v>
      </c>
      <c r="R945" s="16" t="s">
        <v>739</v>
      </c>
      <c r="T945" s="24" t="n">
        <v>285</v>
      </c>
      <c r="U945" s="18"/>
      <c r="V945" s="24"/>
      <c r="Z945" s="18"/>
      <c r="AA945" s="20"/>
      <c r="AB945" s="20"/>
      <c r="AC945" s="20"/>
    </row>
    <row r="946" customFormat="false" ht="14.25" hidden="false" customHeight="true" outlineLevel="0" collapsed="false">
      <c r="A946" s="18" t="s">
        <v>721</v>
      </c>
      <c r="B946" s="18" t="s">
        <v>721</v>
      </c>
      <c r="C946" s="2" t="s">
        <v>31</v>
      </c>
      <c r="E946" s="2" t="n">
        <f aca="false">INDEX(FieldSites!F:F, MATCH(Ch2_FieldSurvey!B946,FieldSites!C:C,0))</f>
        <v>2506</v>
      </c>
      <c r="F946" s="2" t="n">
        <f aca="false">INDEX(FieldSites!G:G, MATCH(Ch2_FieldSurvey!B946,FieldSites!C:C,0))</f>
        <v>-119.486313176147</v>
      </c>
      <c r="G946" s="2" t="n">
        <f aca="false">INDEX(FieldSites!H:H, MATCH(Ch2_FieldSurvey!B946,FieldSites!C:C,0))</f>
        <v>37.8072315532725</v>
      </c>
      <c r="H946" s="18" t="n">
        <v>8</v>
      </c>
      <c r="I946" s="21" t="str">
        <f aca="false">CONCATENATE(B946,"_",C946,H946)</f>
        <v>OPN_M. laciniatus8</v>
      </c>
      <c r="J946" s="22" t="n">
        <v>44394</v>
      </c>
      <c r="K946" s="23"/>
      <c r="L946" s="22" t="n">
        <v>44394</v>
      </c>
      <c r="M946" s="23"/>
      <c r="O946" s="1" t="s">
        <v>746</v>
      </c>
      <c r="P946" s="16" t="s">
        <v>739</v>
      </c>
      <c r="R946" s="16" t="s">
        <v>739</v>
      </c>
      <c r="T946" s="24" t="n">
        <v>286</v>
      </c>
      <c r="U946" s="18"/>
      <c r="V946" s="24"/>
      <c r="Z946" s="18"/>
      <c r="AA946" s="20"/>
      <c r="AB946" s="20"/>
      <c r="AC946" s="20"/>
    </row>
    <row r="947" customFormat="false" ht="14.25" hidden="false" customHeight="true" outlineLevel="0" collapsed="false">
      <c r="A947" s="18" t="s">
        <v>721</v>
      </c>
      <c r="B947" s="18" t="s">
        <v>721</v>
      </c>
      <c r="C947" s="2" t="s">
        <v>31</v>
      </c>
      <c r="E947" s="2" t="n">
        <f aca="false">INDEX(FieldSites!F:F, MATCH(Ch2_FieldSurvey!B947,FieldSites!C:C,0))</f>
        <v>2506</v>
      </c>
      <c r="F947" s="2" t="n">
        <f aca="false">INDEX(FieldSites!G:G, MATCH(Ch2_FieldSurvey!B947,FieldSites!C:C,0))</f>
        <v>-119.486313176147</v>
      </c>
      <c r="G947" s="2" t="n">
        <f aca="false">INDEX(FieldSites!H:H, MATCH(Ch2_FieldSurvey!B947,FieldSites!C:C,0))</f>
        <v>37.8072315532725</v>
      </c>
      <c r="H947" s="18" t="n">
        <v>8</v>
      </c>
      <c r="I947" s="21" t="str">
        <f aca="false">CONCATENATE(B947,"_",C947,H947)</f>
        <v>OPN_M. laciniatus8</v>
      </c>
      <c r="J947" s="22" t="n">
        <v>44394</v>
      </c>
      <c r="K947" s="23"/>
      <c r="L947" s="22" t="n">
        <v>44394</v>
      </c>
      <c r="M947" s="23"/>
      <c r="O947" s="1" t="s">
        <v>746</v>
      </c>
      <c r="P947" s="16" t="s">
        <v>739</v>
      </c>
      <c r="R947" s="16" t="s">
        <v>739</v>
      </c>
      <c r="T947" s="24" t="n">
        <v>280</v>
      </c>
      <c r="U947" s="18"/>
      <c r="V947" s="24"/>
      <c r="Z947" s="18"/>
      <c r="AA947" s="20"/>
      <c r="AB947" s="20"/>
      <c r="AC947" s="20"/>
    </row>
    <row r="948" customFormat="false" ht="14.25" hidden="false" customHeight="true" outlineLevel="0" collapsed="false">
      <c r="A948" s="18" t="s">
        <v>721</v>
      </c>
      <c r="B948" s="18" t="s">
        <v>721</v>
      </c>
      <c r="C948" s="2" t="s">
        <v>31</v>
      </c>
      <c r="E948" s="2" t="n">
        <f aca="false">INDEX(FieldSites!F:F, MATCH(Ch2_FieldSurvey!B948,FieldSites!C:C,0))</f>
        <v>2506</v>
      </c>
      <c r="F948" s="2" t="n">
        <f aca="false">INDEX(FieldSites!G:G, MATCH(Ch2_FieldSurvey!B948,FieldSites!C:C,0))</f>
        <v>-119.486313176147</v>
      </c>
      <c r="G948" s="2" t="n">
        <f aca="false">INDEX(FieldSites!H:H, MATCH(Ch2_FieldSurvey!B948,FieldSites!C:C,0))</f>
        <v>37.8072315532725</v>
      </c>
      <c r="H948" s="18" t="n">
        <v>9</v>
      </c>
      <c r="I948" s="21" t="str">
        <f aca="false">CONCATENATE(B948,"_",C948,H948)</f>
        <v>OPN_M. laciniatus9</v>
      </c>
      <c r="J948" s="22" t="n">
        <v>44394</v>
      </c>
      <c r="K948" s="23"/>
      <c r="L948" s="22" t="n">
        <v>44394</v>
      </c>
      <c r="M948" s="23"/>
      <c r="O948" s="1" t="s">
        <v>747</v>
      </c>
      <c r="P948" s="16" t="s">
        <v>739</v>
      </c>
      <c r="R948" s="16" t="s">
        <v>739</v>
      </c>
      <c r="T948" s="24" t="n">
        <v>347</v>
      </c>
      <c r="U948" s="18"/>
      <c r="V948" s="24"/>
      <c r="Z948" s="18"/>
      <c r="AA948" s="20"/>
      <c r="AB948" s="20"/>
      <c r="AC948" s="20"/>
    </row>
    <row r="949" customFormat="false" ht="14.25" hidden="false" customHeight="true" outlineLevel="0" collapsed="false">
      <c r="A949" s="18" t="s">
        <v>721</v>
      </c>
      <c r="B949" s="18" t="s">
        <v>721</v>
      </c>
      <c r="C949" s="2" t="s">
        <v>31</v>
      </c>
      <c r="E949" s="2" t="n">
        <f aca="false">INDEX(FieldSites!F:F, MATCH(Ch2_FieldSurvey!B949,FieldSites!C:C,0))</f>
        <v>2506</v>
      </c>
      <c r="F949" s="2" t="n">
        <f aca="false">INDEX(FieldSites!G:G, MATCH(Ch2_FieldSurvey!B949,FieldSites!C:C,0))</f>
        <v>-119.486313176147</v>
      </c>
      <c r="G949" s="2" t="n">
        <f aca="false">INDEX(FieldSites!H:H, MATCH(Ch2_FieldSurvey!B949,FieldSites!C:C,0))</f>
        <v>37.8072315532725</v>
      </c>
      <c r="H949" s="18" t="n">
        <v>9</v>
      </c>
      <c r="I949" s="21" t="str">
        <f aca="false">CONCATENATE(B949,"_",C949,H949)</f>
        <v>OPN_M. laciniatus9</v>
      </c>
      <c r="J949" s="22" t="n">
        <v>44394</v>
      </c>
      <c r="K949" s="23"/>
      <c r="L949" s="22" t="n">
        <v>44394</v>
      </c>
      <c r="M949" s="23"/>
      <c r="O949" s="1" t="s">
        <v>747</v>
      </c>
      <c r="P949" s="16" t="s">
        <v>739</v>
      </c>
      <c r="R949" s="16" t="s">
        <v>739</v>
      </c>
      <c r="T949" s="24" t="n">
        <v>331</v>
      </c>
      <c r="U949" s="18"/>
      <c r="V949" s="24"/>
      <c r="Z949" s="18"/>
      <c r="AA949" s="20"/>
      <c r="AB949" s="20"/>
      <c r="AC949" s="20"/>
    </row>
    <row r="950" customFormat="false" ht="14.25" hidden="false" customHeight="true" outlineLevel="0" collapsed="false">
      <c r="A950" s="18" t="s">
        <v>721</v>
      </c>
      <c r="B950" s="18" t="s">
        <v>721</v>
      </c>
      <c r="C950" s="2" t="s">
        <v>31</v>
      </c>
      <c r="E950" s="2" t="n">
        <f aca="false">INDEX(FieldSites!F:F, MATCH(Ch2_FieldSurvey!B950,FieldSites!C:C,0))</f>
        <v>2506</v>
      </c>
      <c r="F950" s="2" t="n">
        <f aca="false">INDEX(FieldSites!G:G, MATCH(Ch2_FieldSurvey!B950,FieldSites!C:C,0))</f>
        <v>-119.486313176147</v>
      </c>
      <c r="G950" s="2" t="n">
        <f aca="false">INDEX(FieldSites!H:H, MATCH(Ch2_FieldSurvey!B950,FieldSites!C:C,0))</f>
        <v>37.8072315532725</v>
      </c>
      <c r="H950" s="18" t="n">
        <v>9</v>
      </c>
      <c r="I950" s="21" t="str">
        <f aca="false">CONCATENATE(B950,"_",C950,H950)</f>
        <v>OPN_M. laciniatus9</v>
      </c>
      <c r="J950" s="22" t="n">
        <v>44394</v>
      </c>
      <c r="K950" s="23"/>
      <c r="L950" s="22" t="n">
        <v>44394</v>
      </c>
      <c r="M950" s="23"/>
      <c r="O950" s="1" t="s">
        <v>747</v>
      </c>
      <c r="P950" s="16" t="s">
        <v>739</v>
      </c>
      <c r="R950" s="16" t="s">
        <v>739</v>
      </c>
      <c r="T950" s="24" t="n">
        <v>335</v>
      </c>
      <c r="U950" s="18"/>
      <c r="V950" s="24"/>
      <c r="Z950" s="18"/>
      <c r="AA950" s="20"/>
      <c r="AB950" s="20"/>
      <c r="AC950" s="20"/>
    </row>
    <row r="951" customFormat="false" ht="14.25" hidden="false" customHeight="true" outlineLevel="0" collapsed="false">
      <c r="A951" s="18" t="s">
        <v>721</v>
      </c>
      <c r="B951" s="18" t="s">
        <v>721</v>
      </c>
      <c r="C951" s="2" t="s">
        <v>31</v>
      </c>
      <c r="E951" s="2" t="n">
        <f aca="false">INDEX(FieldSites!F:F, MATCH(Ch2_FieldSurvey!B951,FieldSites!C:C,0))</f>
        <v>2506</v>
      </c>
      <c r="F951" s="2" t="n">
        <f aca="false">INDEX(FieldSites!G:G, MATCH(Ch2_FieldSurvey!B951,FieldSites!C:C,0))</f>
        <v>-119.486313176147</v>
      </c>
      <c r="G951" s="2" t="n">
        <f aca="false">INDEX(FieldSites!H:H, MATCH(Ch2_FieldSurvey!B951,FieldSites!C:C,0))</f>
        <v>37.8072315532725</v>
      </c>
      <c r="H951" s="18" t="n">
        <v>10</v>
      </c>
      <c r="I951" s="21" t="str">
        <f aca="false">CONCATENATE(B951,"_",C951,H951)</f>
        <v>OPN_M. laciniatus10</v>
      </c>
      <c r="J951" s="22" t="n">
        <v>44394</v>
      </c>
      <c r="K951" s="23"/>
      <c r="L951" s="22" t="n">
        <v>44394</v>
      </c>
      <c r="M951" s="23"/>
      <c r="O951" s="1" t="s">
        <v>748</v>
      </c>
      <c r="P951" s="16" t="s">
        <v>739</v>
      </c>
      <c r="R951" s="16" t="s">
        <v>739</v>
      </c>
      <c r="T951" s="24" t="n">
        <v>532</v>
      </c>
      <c r="U951" s="18" t="n">
        <v>0.21</v>
      </c>
      <c r="V951" s="24"/>
      <c r="Z951" s="18"/>
      <c r="AA951" s="20"/>
      <c r="AB951" s="20"/>
      <c r="AC951" s="20"/>
    </row>
    <row r="952" customFormat="false" ht="14.25" hidden="false" customHeight="true" outlineLevel="0" collapsed="false">
      <c r="A952" s="18" t="s">
        <v>721</v>
      </c>
      <c r="B952" s="18" t="s">
        <v>721</v>
      </c>
      <c r="C952" s="2" t="s">
        <v>31</v>
      </c>
      <c r="E952" s="2" t="n">
        <f aca="false">INDEX(FieldSites!F:F, MATCH(Ch2_FieldSurvey!B952,FieldSites!C:C,0))</f>
        <v>2506</v>
      </c>
      <c r="F952" s="2" t="n">
        <f aca="false">INDEX(FieldSites!G:G, MATCH(Ch2_FieldSurvey!B952,FieldSites!C:C,0))</f>
        <v>-119.486313176147</v>
      </c>
      <c r="G952" s="2" t="n">
        <f aca="false">INDEX(FieldSites!H:H, MATCH(Ch2_FieldSurvey!B952,FieldSites!C:C,0))</f>
        <v>37.8072315532725</v>
      </c>
      <c r="H952" s="18" t="n">
        <v>10</v>
      </c>
      <c r="I952" s="21" t="str">
        <f aca="false">CONCATENATE(B952,"_",C952,H952)</f>
        <v>OPN_M. laciniatus10</v>
      </c>
      <c r="J952" s="22" t="n">
        <v>44394</v>
      </c>
      <c r="K952" s="23"/>
      <c r="L952" s="22" t="n">
        <v>44394</v>
      </c>
      <c r="M952" s="23"/>
      <c r="O952" s="1" t="s">
        <v>748</v>
      </c>
      <c r="P952" s="16" t="s">
        <v>739</v>
      </c>
      <c r="R952" s="16" t="s">
        <v>739</v>
      </c>
      <c r="T952" s="24" t="n">
        <v>498</v>
      </c>
      <c r="U952" s="18" t="n">
        <v>0.15</v>
      </c>
      <c r="V952" s="24"/>
      <c r="Z952" s="18"/>
      <c r="AA952" s="20"/>
      <c r="AB952" s="20"/>
      <c r="AC952" s="20"/>
    </row>
    <row r="953" customFormat="false" ht="14.25" hidden="false" customHeight="true" outlineLevel="0" collapsed="false">
      <c r="A953" s="18" t="s">
        <v>721</v>
      </c>
      <c r="B953" s="18" t="s">
        <v>721</v>
      </c>
      <c r="C953" s="2" t="s">
        <v>31</v>
      </c>
      <c r="E953" s="2" t="n">
        <f aca="false">INDEX(FieldSites!F:F, MATCH(Ch2_FieldSurvey!B953,FieldSites!C:C,0))</f>
        <v>2506</v>
      </c>
      <c r="F953" s="2" t="n">
        <f aca="false">INDEX(FieldSites!G:G, MATCH(Ch2_FieldSurvey!B953,FieldSites!C:C,0))</f>
        <v>-119.486313176147</v>
      </c>
      <c r="G953" s="2" t="n">
        <f aca="false">INDEX(FieldSites!H:H, MATCH(Ch2_FieldSurvey!B953,FieldSites!C:C,0))</f>
        <v>37.8072315532725</v>
      </c>
      <c r="H953" s="18" t="n">
        <v>10</v>
      </c>
      <c r="I953" s="21" t="str">
        <f aca="false">CONCATENATE(B953,"_",C953,H953)</f>
        <v>OPN_M. laciniatus10</v>
      </c>
      <c r="J953" s="22" t="n">
        <v>44394</v>
      </c>
      <c r="K953" s="23"/>
      <c r="L953" s="22" t="n">
        <v>44394</v>
      </c>
      <c r="M953" s="23"/>
      <c r="O953" s="1" t="s">
        <v>748</v>
      </c>
      <c r="P953" s="16" t="s">
        <v>739</v>
      </c>
      <c r="R953" s="16" t="s">
        <v>739</v>
      </c>
      <c r="T953" s="24" t="n">
        <v>522</v>
      </c>
      <c r="U953" s="18"/>
      <c r="V953" s="24"/>
      <c r="Z953" s="18"/>
      <c r="AA953" s="20"/>
      <c r="AB953" s="20"/>
      <c r="AC953" s="20"/>
    </row>
    <row r="954" customFormat="false" ht="14.25" hidden="false" customHeight="false" outlineLevel="0" collapsed="false">
      <c r="O954" s="1" t="s">
        <v>749</v>
      </c>
    </row>
    <row r="955" customFormat="false" ht="14.25" hidden="false" customHeight="false" outlineLevel="0" collapsed="false">
      <c r="O955" s="1" t="s">
        <v>750</v>
      </c>
    </row>
    <row r="956" customFormat="false" ht="14.25" hidden="false" customHeight="false" outlineLevel="0" collapsed="false">
      <c r="O956" s="1" t="s">
        <v>751</v>
      </c>
    </row>
    <row r="957" customFormat="false" ht="14.25" hidden="false" customHeight="false" outlineLevel="0" collapsed="false">
      <c r="O957" s="1" t="s">
        <v>752</v>
      </c>
    </row>
    <row r="958" customFormat="false" ht="14.25" hidden="false" customHeight="false" outlineLevel="0" collapsed="false">
      <c r="O958" s="1" t="s">
        <v>753</v>
      </c>
    </row>
    <row r="959" customFormat="false" ht="14.25" hidden="false" customHeight="false" outlineLevel="0" collapsed="false">
      <c r="O959" s="1" t="s">
        <v>754</v>
      </c>
    </row>
    <row r="960" customFormat="false" ht="14.25" hidden="false" customHeight="false" outlineLevel="0" collapsed="false">
      <c r="O960" s="1" t="s">
        <v>755</v>
      </c>
    </row>
    <row r="961" customFormat="false" ht="14.25" hidden="false" customHeight="false" outlineLevel="0" collapsed="false">
      <c r="O961" s="1" t="s">
        <v>756</v>
      </c>
    </row>
    <row r="962" customFormat="false" ht="14.25" hidden="false" customHeight="false" outlineLevel="0" collapsed="false">
      <c r="O962" s="1" t="s">
        <v>757</v>
      </c>
    </row>
    <row r="963" customFormat="false" ht="14.25" hidden="false" customHeight="false" outlineLevel="0" collapsed="false">
      <c r="O963" s="1" t="s">
        <v>758</v>
      </c>
    </row>
    <row r="964" customFormat="false" ht="14.25" hidden="false" customHeight="false" outlineLevel="0" collapsed="false">
      <c r="O964" s="1" t="s">
        <v>759</v>
      </c>
    </row>
    <row r="965" customFormat="false" ht="14.25" hidden="false" customHeight="false" outlineLevel="0" collapsed="false">
      <c r="O965" s="1" t="s">
        <v>760</v>
      </c>
    </row>
    <row r="966" customFormat="false" ht="14.25" hidden="false" customHeight="false" outlineLevel="0" collapsed="false">
      <c r="O966" s="1" t="s">
        <v>761</v>
      </c>
    </row>
    <row r="967" customFormat="false" ht="14.25" hidden="false" customHeight="false" outlineLevel="0" collapsed="false">
      <c r="O967" s="1" t="s">
        <v>762</v>
      </c>
    </row>
    <row r="968" customFormat="false" ht="14.25" hidden="false" customHeight="false" outlineLevel="0" collapsed="false">
      <c r="O968" s="1" t="s">
        <v>763</v>
      </c>
    </row>
    <row r="970" customFormat="false" ht="14.25" hidden="false" customHeight="false" outlineLevel="0" collapsed="false">
      <c r="O970" s="26" t="s">
        <v>764</v>
      </c>
      <c r="P970" s="27" t="s">
        <v>304</v>
      </c>
      <c r="Q970" s="27" t="s">
        <v>305</v>
      </c>
      <c r="R970" s="27" t="s">
        <v>306</v>
      </c>
      <c r="S970" s="28" t="s">
        <v>341</v>
      </c>
    </row>
    <row r="971" customFormat="false" ht="14.25" hidden="false" customHeight="false" outlineLevel="0" collapsed="false">
      <c r="O971" s="26" t="s">
        <v>764</v>
      </c>
      <c r="P971" s="27" t="s">
        <v>304</v>
      </c>
      <c r="Q971" s="27" t="s">
        <v>305</v>
      </c>
      <c r="R971" s="27" t="s">
        <v>306</v>
      </c>
      <c r="S971" s="28" t="s">
        <v>341</v>
      </c>
    </row>
    <row r="972" customFormat="false" ht="14.25" hidden="false" customHeight="false" outlineLevel="0" collapsed="false">
      <c r="O972" s="26" t="s">
        <v>764</v>
      </c>
      <c r="P972" s="27" t="s">
        <v>304</v>
      </c>
      <c r="Q972" s="27" t="s">
        <v>305</v>
      </c>
      <c r="R972" s="27" t="s">
        <v>306</v>
      </c>
      <c r="S972" s="28" t="s">
        <v>341</v>
      </c>
    </row>
    <row r="973" customFormat="false" ht="14.25" hidden="false" customHeight="false" outlineLevel="0" collapsed="false">
      <c r="S973" s="1"/>
    </row>
    <row r="974" customFormat="false" ht="14.25" hidden="false" customHeight="false" outlineLevel="0" collapsed="false">
      <c r="O974" s="26" t="s">
        <v>765</v>
      </c>
      <c r="P974" s="27" t="s">
        <v>617</v>
      </c>
      <c r="Q974" s="27" t="s">
        <v>637</v>
      </c>
      <c r="R974" s="27" t="s">
        <v>617</v>
      </c>
      <c r="S974" s="28" t="s">
        <v>644</v>
      </c>
    </row>
    <row r="975" customFormat="false" ht="14.25" hidden="false" customHeight="false" outlineLevel="0" collapsed="false">
      <c r="O975" s="26" t="s">
        <v>765</v>
      </c>
      <c r="P975" s="27" t="s">
        <v>617</v>
      </c>
      <c r="Q975" s="27" t="s">
        <v>637</v>
      </c>
      <c r="R975" s="27" t="s">
        <v>617</v>
      </c>
      <c r="S975" s="28" t="s">
        <v>644</v>
      </c>
    </row>
    <row r="976" customFormat="false" ht="14.25" hidden="false" customHeight="false" outlineLevel="0" collapsed="false">
      <c r="O976" s="26" t="s">
        <v>765</v>
      </c>
      <c r="P976" s="27" t="s">
        <v>617</v>
      </c>
      <c r="Q976" s="27" t="s">
        <v>637</v>
      </c>
      <c r="R976" s="27" t="s">
        <v>617</v>
      </c>
      <c r="S976" s="28" t="s">
        <v>644</v>
      </c>
    </row>
    <row r="977" customFormat="false" ht="14.25" hidden="false" customHeight="false" outlineLevel="0" collapsed="false">
      <c r="S977" s="1"/>
    </row>
    <row r="978" customFormat="false" ht="14.25" hidden="false" customHeight="false" outlineLevel="0" collapsed="false">
      <c r="S978" s="1"/>
    </row>
    <row r="979" customFormat="false" ht="14.25" hidden="false" customHeight="false" outlineLevel="0" collapsed="false">
      <c r="S979"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H4" activeCellId="0" sqref="H4"/>
    </sheetView>
  </sheetViews>
  <sheetFormatPr defaultColWidth="12.6328125" defaultRowHeight="14.25" customHeight="true" zeroHeight="false" outlineLevelRow="0" outlineLevelCol="0"/>
  <cols>
    <col collapsed="false" customWidth="true" hidden="false" outlineLevel="0" max="1" min="1" style="1" width="20.95"/>
    <col collapsed="false" customWidth="true" hidden="false" outlineLevel="0" max="2" min="2" style="1" width="25.99"/>
    <col collapsed="false" customWidth="true" hidden="false" outlineLevel="0" max="3" min="3" style="1" width="10.27"/>
    <col collapsed="false" customWidth="true" hidden="false" outlineLevel="0" max="5" min="4" style="1" width="9.18"/>
    <col collapsed="false" customWidth="true" hidden="false" outlineLevel="0" max="6" min="6" style="1" width="15.54"/>
    <col collapsed="false" customWidth="true" hidden="false" outlineLevel="0" max="7" min="7" style="1" width="17.23"/>
    <col collapsed="false" customWidth="true" hidden="false" outlineLevel="0" max="8" min="8" style="1" width="16.05"/>
    <col collapsed="false" customWidth="true" hidden="false" outlineLevel="0" max="10" min="9" style="1" width="11.91"/>
    <col collapsed="false" customWidth="true" hidden="false" outlineLevel="0" max="11" min="11" style="1" width="10.73"/>
    <col collapsed="false" customWidth="true" hidden="false" outlineLevel="0" max="12" min="12" style="1" width="11.18"/>
    <col collapsed="false" customWidth="true" hidden="false" outlineLevel="0" max="13" min="13" style="1" width="13"/>
    <col collapsed="false" customWidth="true" hidden="false" outlineLevel="0" max="14" min="14" style="1" width="8.91"/>
    <col collapsed="false" customWidth="true" hidden="false" outlineLevel="0" max="15" min="15" style="1" width="17.23"/>
  </cols>
  <sheetData>
    <row r="1" customFormat="false" ht="13.5" hidden="false" customHeight="true" outlineLevel="0" collapsed="false">
      <c r="A1" s="29" t="s">
        <v>766</v>
      </c>
      <c r="B1" s="29" t="s">
        <v>767</v>
      </c>
      <c r="C1" s="30" t="s">
        <v>7</v>
      </c>
      <c r="D1" s="30" t="s">
        <v>14</v>
      </c>
      <c r="E1" s="30" t="s">
        <v>768</v>
      </c>
      <c r="F1" s="30" t="s">
        <v>10</v>
      </c>
      <c r="G1" s="30" t="s">
        <v>11</v>
      </c>
      <c r="H1" s="30" t="s">
        <v>12</v>
      </c>
      <c r="I1" s="30" t="s">
        <v>769</v>
      </c>
      <c r="J1" s="30" t="s">
        <v>770</v>
      </c>
      <c r="K1" s="30" t="s">
        <v>771</v>
      </c>
      <c r="L1" s="30" t="s">
        <v>772</v>
      </c>
      <c r="M1" s="30" t="s">
        <v>773</v>
      </c>
      <c r="N1" s="31" t="s">
        <v>25</v>
      </c>
      <c r="O1" s="32"/>
    </row>
    <row r="2" customFormat="false" ht="13.5" hidden="false" customHeight="true" outlineLevel="0" collapsed="false">
      <c r="A2" s="33" t="s">
        <v>774</v>
      </c>
      <c r="B2" s="33" t="s">
        <v>775</v>
      </c>
      <c r="C2" s="34" t="s">
        <v>49</v>
      </c>
      <c r="D2" s="34" t="s">
        <v>776</v>
      </c>
      <c r="E2" s="34" t="n">
        <v>5643</v>
      </c>
      <c r="F2" s="34" t="n">
        <f aca="false">INDEX(FieldSites!C$34:C$100, MATCH(FieldSites!C2, FieldSites!H$34:H$100,0))</f>
        <v>1730</v>
      </c>
      <c r="G2" s="34" t="n">
        <f aca="false">INDEX(FieldSites!A$34:A$100, MATCH(FieldSites!C2, FieldSites!H$34:H$100,0))</f>
        <v>-119.314015</v>
      </c>
      <c r="H2" s="34" t="n">
        <f aca="false">INDEX(FieldSites!B$34:B$100, MATCH(FieldSites!C2, FieldSites!H$34:H$100,0))</f>
        <v>37.090625</v>
      </c>
      <c r="I2" s="34" t="n">
        <v>5</v>
      </c>
      <c r="J2" s="34" t="n">
        <v>5</v>
      </c>
      <c r="K2" s="34" t="n">
        <v>0</v>
      </c>
      <c r="L2" s="34" t="n">
        <v>0</v>
      </c>
      <c r="M2" s="34" t="s">
        <v>88</v>
      </c>
      <c r="N2" s="34" t="s">
        <v>777</v>
      </c>
      <c r="O2" s="32"/>
    </row>
    <row r="3" customFormat="false" ht="13.5" hidden="false" customHeight="true" outlineLevel="0" collapsed="false">
      <c r="A3" s="33" t="s">
        <v>778</v>
      </c>
      <c r="B3" s="33" t="s">
        <v>775</v>
      </c>
      <c r="C3" s="34" t="s">
        <v>71</v>
      </c>
      <c r="D3" s="34" t="s">
        <v>779</v>
      </c>
      <c r="E3" s="34" t="n">
        <v>5233</v>
      </c>
      <c r="F3" s="34" t="n">
        <f aca="false">INDEX(FieldSites!C$34:C$100, MATCH(FieldSites!C3, FieldSites!H$34:H$100,0))</f>
        <v>1595</v>
      </c>
      <c r="G3" s="34" t="n">
        <f aca="false">INDEX(FieldSites!A$34:A$100, MATCH(FieldSites!C3, FieldSites!H$34:H$100,0))</f>
        <v>-119.307426</v>
      </c>
      <c r="H3" s="34" t="n">
        <f aca="false">INDEX(FieldSites!B$34:B$100, MATCH(FieldSites!C3, FieldSites!H$34:H$100,0))</f>
        <v>37.145131</v>
      </c>
      <c r="I3" s="34" t="n">
        <v>5</v>
      </c>
      <c r="J3" s="34" t="n">
        <v>5</v>
      </c>
      <c r="K3" s="34" t="n">
        <v>0</v>
      </c>
      <c r="L3" s="34" t="n">
        <v>0</v>
      </c>
      <c r="M3" s="34" t="s">
        <v>88</v>
      </c>
      <c r="N3" s="34" t="s">
        <v>780</v>
      </c>
      <c r="O3" s="32"/>
    </row>
    <row r="4" customFormat="false" ht="13.5" hidden="false" customHeight="true" outlineLevel="0" collapsed="false">
      <c r="A4" s="33"/>
      <c r="B4" s="33" t="s">
        <v>781</v>
      </c>
      <c r="C4" s="34" t="s">
        <v>39</v>
      </c>
      <c r="D4" s="34" t="s">
        <v>39</v>
      </c>
      <c r="E4" s="34" t="n">
        <v>5766</v>
      </c>
      <c r="F4" s="34" t="n">
        <f aca="false">INDEX(FieldSites!C$34:C$100, MATCH(FieldSites!C4, FieldSites!H$34:H$100,0))</f>
        <v>1757</v>
      </c>
      <c r="G4" s="34" t="n">
        <f aca="false">INDEX(FieldSites!A$34:A$100, MATCH(FieldSites!C4, FieldSites!H$34:H$100,0))</f>
        <v>-119.702719</v>
      </c>
      <c r="H4" s="34" t="n">
        <f aca="false">INDEX(FieldSites!B$34:B$100, MATCH(FieldSites!C4, FieldSites!H$34:H$100,0))</f>
        <v>37.698587</v>
      </c>
      <c r="I4" s="34" t="n">
        <v>1</v>
      </c>
      <c r="J4" s="34" t="n">
        <v>1</v>
      </c>
      <c r="K4" s="34" t="n">
        <v>0</v>
      </c>
      <c r="L4" s="34" t="n">
        <v>0</v>
      </c>
      <c r="M4" s="34" t="s">
        <v>782</v>
      </c>
      <c r="N4" s="34"/>
      <c r="O4" s="32"/>
    </row>
    <row r="5" customFormat="false" ht="13.5" hidden="false" customHeight="true" outlineLevel="0" collapsed="false">
      <c r="A5" s="33" t="s">
        <v>783</v>
      </c>
      <c r="B5" s="33" t="s">
        <v>781</v>
      </c>
      <c r="C5" s="34" t="s">
        <v>133</v>
      </c>
      <c r="D5" s="34" t="s">
        <v>133</v>
      </c>
      <c r="E5" s="34" t="n">
        <v>5203</v>
      </c>
      <c r="F5" s="34" t="n">
        <f aca="false">INDEX(FieldSites!C$34:C$100, MATCH(FieldSites!C5, FieldSites!H$34:H$100,0))</f>
        <v>1565</v>
      </c>
      <c r="G5" s="34" t="n">
        <f aca="false">INDEX(FieldSites!A$34:A$100, MATCH(FieldSites!C5, FieldSites!H$34:H$100,0))</f>
        <v>-119.601395</v>
      </c>
      <c r="H5" s="34" t="n">
        <f aca="false">INDEX(FieldSites!B$34:B$100, MATCH(FieldSites!C5, FieldSites!H$34:H$100,0))</f>
        <v>37.748823</v>
      </c>
      <c r="I5" s="34" t="n">
        <v>0</v>
      </c>
      <c r="J5" s="34" t="n">
        <v>5</v>
      </c>
      <c r="K5" s="34" t="n">
        <v>0</v>
      </c>
      <c r="L5" s="34" t="n">
        <v>0</v>
      </c>
      <c r="M5" s="34" t="s">
        <v>782</v>
      </c>
      <c r="N5" s="34"/>
      <c r="O5" s="32"/>
    </row>
    <row r="6" customFormat="false" ht="13.5" hidden="false" customHeight="true" outlineLevel="0" collapsed="false">
      <c r="A6" s="33" t="s">
        <v>784</v>
      </c>
      <c r="B6" s="33" t="s">
        <v>775</v>
      </c>
      <c r="C6" s="34" t="s">
        <v>148</v>
      </c>
      <c r="D6" s="34" t="s">
        <v>148</v>
      </c>
      <c r="E6" s="34" t="n">
        <v>6033</v>
      </c>
      <c r="F6" s="34" t="n">
        <f aca="false">INDEX(FieldSites!C$34:C$100, MATCH(FieldSites!C6, FieldSites!H$34:H$100,0))</f>
        <v>1851</v>
      </c>
      <c r="G6" s="34" t="n">
        <f aca="false">INDEX(FieldSites!A$34:A$100, MATCH(FieldSites!C6, FieldSites!H$34:H$100,0))</f>
        <v>-119.273507</v>
      </c>
      <c r="H6" s="34" t="n">
        <f aca="false">INDEX(FieldSites!B$34:B$100, MATCH(FieldSites!C6, FieldSites!H$34:H$100,0))</f>
        <v>37.150723</v>
      </c>
      <c r="I6" s="34" t="n">
        <v>0</v>
      </c>
      <c r="J6" s="34" t="n">
        <v>17</v>
      </c>
      <c r="K6" s="34" t="n">
        <v>5</v>
      </c>
      <c r="L6" s="34" t="n">
        <v>0</v>
      </c>
      <c r="M6" s="34" t="s">
        <v>88</v>
      </c>
      <c r="N6" s="34"/>
      <c r="O6" s="35" t="s">
        <v>785</v>
      </c>
      <c r="P6" s="30" t="s">
        <v>7</v>
      </c>
      <c r="Q6" s="30" t="s">
        <v>786</v>
      </c>
      <c r="R6" s="30" t="s">
        <v>769</v>
      </c>
      <c r="S6" s="30" t="s">
        <v>770</v>
      </c>
      <c r="T6" s="30" t="s">
        <v>771</v>
      </c>
      <c r="U6" s="30" t="s">
        <v>772</v>
      </c>
      <c r="V6" s="30" t="s">
        <v>773</v>
      </c>
    </row>
    <row r="7" customFormat="false" ht="13.5" hidden="false" customHeight="true" outlineLevel="0" collapsed="false">
      <c r="A7" s="33" t="s">
        <v>787</v>
      </c>
      <c r="B7" s="33" t="s">
        <v>775</v>
      </c>
      <c r="C7" s="34" t="s">
        <v>167</v>
      </c>
      <c r="D7" s="34" t="s">
        <v>167</v>
      </c>
      <c r="E7" s="34" t="n">
        <v>7126</v>
      </c>
      <c r="F7" s="34" t="n">
        <f aca="false">INDEX(FieldSites!C$34:C$100, MATCH(FieldSites!C7, FieldSites!H$34:H$100,0))</f>
        <v>2178</v>
      </c>
      <c r="G7" s="34" t="n">
        <f aca="false">INDEX(FieldSites!A$34:A$100, MATCH(FieldSites!C7, FieldSites!H$34:H$100,0))</f>
        <v>-119.14962</v>
      </c>
      <c r="H7" s="34" t="n">
        <f aca="false">INDEX(FieldSites!B$34:B$100, MATCH(FieldSites!C7, FieldSites!H$34:H$100,0))</f>
        <v>37.23553</v>
      </c>
      <c r="I7" s="34" t="n">
        <v>5</v>
      </c>
      <c r="J7" s="34" t="n">
        <v>5</v>
      </c>
      <c r="K7" s="34" t="n">
        <v>0</v>
      </c>
      <c r="L7" s="34" t="n">
        <v>0</v>
      </c>
      <c r="M7" s="34" t="s">
        <v>88</v>
      </c>
      <c r="N7" s="34"/>
      <c r="O7" s="36" t="s">
        <v>788</v>
      </c>
      <c r="P7" s="37"/>
      <c r="Q7" s="34" t="n">
        <f aca="false">MIN(E2:E27)</f>
        <v>2081</v>
      </c>
      <c r="R7" s="34" t="n">
        <f aca="false">MIN(I2:I27)</f>
        <v>0</v>
      </c>
      <c r="S7" s="34" t="n">
        <f aca="false">MIN(J2:J27)</f>
        <v>0</v>
      </c>
      <c r="T7" s="34" t="n">
        <f aca="false">MIN(K2:K27)</f>
        <v>0</v>
      </c>
      <c r="U7" s="34" t="n">
        <f aca="false">MIN(L2:L27)</f>
        <v>0</v>
      </c>
      <c r="V7" s="38"/>
    </row>
    <row r="8" customFormat="false" ht="13.5" hidden="false" customHeight="true" outlineLevel="0" collapsed="false">
      <c r="A8" s="33" t="s">
        <v>789</v>
      </c>
      <c r="B8" s="33" t="s">
        <v>781</v>
      </c>
      <c r="C8" s="34" t="s">
        <v>200</v>
      </c>
      <c r="D8" s="34" t="s">
        <v>790</v>
      </c>
      <c r="E8" s="34" t="n">
        <v>6250</v>
      </c>
      <c r="F8" s="34" t="n">
        <f aca="false">INDEX(FieldSites!C$34:C$100, MATCH(FieldSites!C8, FieldSites!H$34:H$100,0))</f>
        <v>2157</v>
      </c>
      <c r="G8" s="34" t="n">
        <f aca="false">INDEX(FieldSites!A$34:A$100, MATCH(FieldSites!C8, FieldSites!H$34:H$100,0))</f>
        <v>-119.772719</v>
      </c>
      <c r="H8" s="34" t="n">
        <f aca="false">INDEX(FieldSites!B$34:B$100, MATCH(FieldSites!C8, FieldSites!H$34:H$100,0))</f>
        <v>37.767781</v>
      </c>
      <c r="I8" s="34" t="n">
        <v>0</v>
      </c>
      <c r="J8" s="34" t="n">
        <v>10</v>
      </c>
      <c r="K8" s="34" t="n">
        <v>0</v>
      </c>
      <c r="L8" s="34" t="n">
        <v>0</v>
      </c>
      <c r="M8" s="34" t="s">
        <v>782</v>
      </c>
      <c r="N8" s="34"/>
      <c r="O8" s="36" t="s">
        <v>791</v>
      </c>
      <c r="P8" s="37"/>
      <c r="Q8" s="34" t="n">
        <f aca="false">MAX(E2:E27)</f>
        <v>8442</v>
      </c>
      <c r="R8" s="34" t="n">
        <f aca="false">MAX(I2:I27)</f>
        <v>20</v>
      </c>
      <c r="S8" s="34" t="n">
        <f aca="false">MAX(J2:J27)</f>
        <v>17</v>
      </c>
      <c r="T8" s="34" t="n">
        <f aca="false">MAX(K2:K27)</f>
        <v>11</v>
      </c>
      <c r="U8" s="34" t="n">
        <f aca="false">MAX(L2:L27)</f>
        <v>10</v>
      </c>
      <c r="V8" s="38"/>
    </row>
    <row r="9" customFormat="false" ht="13.5" hidden="false" customHeight="true" outlineLevel="0" collapsed="false">
      <c r="A9" s="33" t="s">
        <v>792</v>
      </c>
      <c r="B9" s="33" t="s">
        <v>781</v>
      </c>
      <c r="C9" s="34" t="s">
        <v>228</v>
      </c>
      <c r="D9" s="34" t="s">
        <v>793</v>
      </c>
      <c r="E9" s="34" t="n">
        <v>6237</v>
      </c>
      <c r="F9" s="34" t="n">
        <f aca="false">INDEX(FieldSites!C$34:C$100, MATCH(FieldSites!C9, FieldSites!H$34:H$100,0))</f>
        <v>1901</v>
      </c>
      <c r="G9" s="34" t="n">
        <f aca="false">INDEX(FieldSites!A$34:A$100, MATCH(FieldSites!C9, FieldSites!H$34:H$100,0))</f>
        <v>-119.802952</v>
      </c>
      <c r="H9" s="34" t="n">
        <f aca="false">INDEX(FieldSites!B$34:B$100, MATCH(FieldSites!C9, FieldSites!H$34:H$100,0))</f>
        <v>37.755986</v>
      </c>
      <c r="I9" s="34" t="n">
        <v>0</v>
      </c>
      <c r="J9" s="34" t="n">
        <v>10</v>
      </c>
      <c r="K9" s="34" t="n">
        <v>0</v>
      </c>
      <c r="L9" s="34" t="n">
        <v>0</v>
      </c>
      <c r="M9" s="34" t="s">
        <v>782</v>
      </c>
      <c r="N9" s="34"/>
      <c r="O9" s="36" t="s">
        <v>794</v>
      </c>
      <c r="P9" s="37"/>
      <c r="Q9" s="38"/>
      <c r="R9" s="34" t="n">
        <f aca="false">SUM(I2:I27)</f>
        <v>121</v>
      </c>
      <c r="S9" s="34" t="n">
        <f aca="false">SUM(J2:J27)</f>
        <v>143</v>
      </c>
      <c r="T9" s="34" t="n">
        <f aca="false">SUM(K2:K27)</f>
        <v>46</v>
      </c>
      <c r="U9" s="34" t="n">
        <f aca="false">SUM(L2:L27)</f>
        <v>14</v>
      </c>
      <c r="V9" s="34" t="s">
        <v>795</v>
      </c>
    </row>
    <row r="10" customFormat="false" ht="13.5" hidden="false" customHeight="true" outlineLevel="0" collapsed="false">
      <c r="A10" s="33" t="s">
        <v>796</v>
      </c>
      <c r="B10" s="33" t="s">
        <v>775</v>
      </c>
      <c r="C10" s="34" t="s">
        <v>342</v>
      </c>
      <c r="D10" s="34" t="s">
        <v>342</v>
      </c>
      <c r="E10" s="34" t="n">
        <v>3688</v>
      </c>
      <c r="F10" s="34" t="n">
        <f aca="false">INDEX(FieldSites!C$34:C$100, MATCH(FieldSites!C10, FieldSites!H$34:H$100,0))</f>
        <v>1124</v>
      </c>
      <c r="G10" s="34" t="n">
        <f aca="false">INDEX(FieldSites!A$34:A$100, MATCH(FieldSites!C10, FieldSites!H$34:H$100,0))</f>
        <v>-119.570677</v>
      </c>
      <c r="H10" s="34" t="n">
        <f aca="false">INDEX(FieldSites!B$34:B$100, MATCH(FieldSites!C10, FieldSites!H$34:H$100,0))</f>
        <v>37.33823</v>
      </c>
      <c r="I10" s="34" t="n">
        <v>10</v>
      </c>
      <c r="J10" s="34" t="n">
        <v>0</v>
      </c>
      <c r="K10" s="34" t="n">
        <v>10</v>
      </c>
      <c r="L10" s="34" t="n">
        <v>0</v>
      </c>
      <c r="M10" s="34" t="s">
        <v>88</v>
      </c>
      <c r="N10" s="34"/>
      <c r="O10" s="39" t="s">
        <v>797</v>
      </c>
      <c r="P10" s="40" t="n">
        <f aca="false">COUNTA(C2:C27)</f>
        <v>26</v>
      </c>
      <c r="Q10" s="2"/>
      <c r="R10" s="1"/>
      <c r="S10" s="1"/>
      <c r="T10" s="1"/>
      <c r="U10" s="1"/>
    </row>
    <row r="11" customFormat="false" ht="13.5" hidden="false" customHeight="true" outlineLevel="0" collapsed="false">
      <c r="A11" s="41" t="s">
        <v>798</v>
      </c>
      <c r="B11" s="33" t="s">
        <v>775</v>
      </c>
      <c r="C11" s="34" t="s">
        <v>302</v>
      </c>
      <c r="D11" s="34" t="s">
        <v>302</v>
      </c>
      <c r="E11" s="34" t="n">
        <v>3967</v>
      </c>
      <c r="F11" s="34" t="n">
        <f aca="false">INDEX(FieldSites!C$34:C$100, MATCH(FieldSites!C11, FieldSites!H$34:H$100,0))</f>
        <v>1209</v>
      </c>
      <c r="G11" s="34" t="n">
        <f aca="false">INDEX(FieldSites!A$34:A$100, MATCH(FieldSites!C11, FieldSites!H$34:H$100,0))</f>
        <v>-119.393233</v>
      </c>
      <c r="H11" s="34" t="n">
        <f aca="false">INDEX(FieldSites!B$34:B$100, MATCH(FieldSites!C11, FieldSites!H$34:H$100,0))</f>
        <v>37.053544</v>
      </c>
      <c r="I11" s="34" t="n">
        <v>0</v>
      </c>
      <c r="J11" s="34" t="n">
        <v>10</v>
      </c>
      <c r="K11" s="34" t="n">
        <v>10</v>
      </c>
      <c r="L11" s="34" t="n">
        <v>0</v>
      </c>
      <c r="M11" s="34" t="s">
        <v>88</v>
      </c>
      <c r="N11" s="34"/>
      <c r="O11" s="39" t="s">
        <v>799</v>
      </c>
      <c r="P11" s="40" t="n">
        <f aca="false">SUM(R9:U9)</f>
        <v>324</v>
      </c>
    </row>
    <row r="12" customFormat="false" ht="13.5" hidden="false" customHeight="true" outlineLevel="0" collapsed="false">
      <c r="A12" s="33" t="s">
        <v>800</v>
      </c>
      <c r="B12" s="33" t="s">
        <v>781</v>
      </c>
      <c r="C12" s="34" t="s">
        <v>259</v>
      </c>
      <c r="D12" s="34" t="s">
        <v>259</v>
      </c>
      <c r="E12" s="34" t="n">
        <v>3934</v>
      </c>
      <c r="F12" s="34" t="n">
        <f aca="false">INDEX(FieldSites!C$34:C$100, MATCH(FieldSites!C12, FieldSites!H$34:H$100,0))</f>
        <v>1199</v>
      </c>
      <c r="G12" s="34" t="n">
        <f aca="false">INDEX(FieldSites!A$34:A$100, MATCH(FieldSites!C12, FieldSites!H$34:H$100,0))</f>
        <v>-119.778553</v>
      </c>
      <c r="H12" s="34" t="n">
        <f aca="false">INDEX(FieldSites!B$34:B$100, MATCH(FieldSites!C12, FieldSites!H$34:H$100,0))</f>
        <v>37.959056</v>
      </c>
      <c r="I12" s="34" t="n">
        <v>10</v>
      </c>
      <c r="J12" s="34" t="n">
        <v>10</v>
      </c>
      <c r="K12" s="34" t="n">
        <v>0</v>
      </c>
      <c r="L12" s="34" t="n">
        <v>0</v>
      </c>
      <c r="M12" s="34" t="s">
        <v>88</v>
      </c>
      <c r="N12" s="34"/>
      <c r="O12" s="32"/>
    </row>
    <row r="13" customFormat="false" ht="13.5" hidden="false" customHeight="true" outlineLevel="0" collapsed="false">
      <c r="A13" s="33" t="s">
        <v>801</v>
      </c>
      <c r="B13" s="33" t="s">
        <v>781</v>
      </c>
      <c r="C13" s="34" t="s">
        <v>30</v>
      </c>
      <c r="D13" s="34" t="s">
        <v>30</v>
      </c>
      <c r="E13" s="34" t="n">
        <v>5158</v>
      </c>
      <c r="F13" s="34" t="n">
        <f aca="false">INDEX(FieldSites!C$34:C$100, MATCH(FieldSites!C13, FieldSites!H$34:H$100,0))</f>
        <v>1572</v>
      </c>
      <c r="G13" s="34" t="n">
        <f aca="false">INDEX(FieldSites!A$34:A$100, MATCH(FieldSites!C13, FieldSites!H$34:H$100,0))</f>
        <v>-119.710152</v>
      </c>
      <c r="H13" s="34" t="n">
        <f aca="false">INDEX(FieldSites!B$34:B$100, MATCH(FieldSites!C13, FieldSites!H$34:H$100,0))</f>
        <v>37.700419</v>
      </c>
      <c r="I13" s="34" t="n">
        <v>1</v>
      </c>
      <c r="J13" s="34" t="n">
        <v>0</v>
      </c>
      <c r="K13" s="34"/>
      <c r="L13" s="34" t="n">
        <v>0</v>
      </c>
      <c r="M13" s="34" t="s">
        <v>782</v>
      </c>
      <c r="N13" s="34"/>
      <c r="O13" s="32"/>
    </row>
    <row r="14" customFormat="false" ht="13.5" hidden="false" customHeight="true" outlineLevel="0" collapsed="false">
      <c r="A14" s="33" t="s">
        <v>802</v>
      </c>
      <c r="B14" s="33" t="s">
        <v>781</v>
      </c>
      <c r="C14" s="34" t="s">
        <v>389</v>
      </c>
      <c r="D14" s="34" t="s">
        <v>803</v>
      </c>
      <c r="E14" s="34" t="n">
        <v>4875</v>
      </c>
      <c r="F14" s="34" t="n">
        <f aca="false">INDEX(FieldSites!C$34:C$100, MATCH(FieldSites!C14, FieldSites!H$34:H$100,0))</f>
        <v>1486</v>
      </c>
      <c r="G14" s="34" t="n">
        <f aca="false">INDEX(FieldSites!A$34:A$100, MATCH(FieldSites!C14, FieldSites!H$34:H$100,0))</f>
        <v>-119.70531698</v>
      </c>
      <c r="H14" s="34" t="n">
        <f aca="false">INDEX(FieldSites!B$34:B$100, MATCH(FieldSites!C14, FieldSites!H$34:H$100,0))</f>
        <v>37.71609798</v>
      </c>
      <c r="I14" s="34" t="n">
        <v>10</v>
      </c>
      <c r="J14" s="34" t="n">
        <v>0</v>
      </c>
      <c r="K14" s="34" t="n">
        <v>0</v>
      </c>
      <c r="L14" s="34" t="n">
        <v>0</v>
      </c>
      <c r="M14" s="34" t="s">
        <v>782</v>
      </c>
      <c r="N14" s="34" t="s">
        <v>804</v>
      </c>
      <c r="O14" s="32"/>
    </row>
    <row r="15" customFormat="false" ht="13.5" hidden="false" customHeight="true" outlineLevel="0" collapsed="false">
      <c r="A15" s="33" t="s">
        <v>805</v>
      </c>
      <c r="B15" s="33" t="s">
        <v>806</v>
      </c>
      <c r="C15" s="34" t="s">
        <v>411</v>
      </c>
      <c r="D15" s="34" t="s">
        <v>411</v>
      </c>
      <c r="E15" s="34" t="n">
        <v>4793</v>
      </c>
      <c r="F15" s="34" t="n">
        <f aca="false">INDEX(FieldSites!C$34:C$100, MATCH(FieldSites!C15, FieldSites!H$34:H$100,0))</f>
        <v>1238</v>
      </c>
      <c r="G15" s="34" t="n">
        <f aca="false">INDEX(FieldSites!A$34:A$100, MATCH(FieldSites!C15, FieldSites!H$34:H$100,0))</f>
        <v>-119.951305</v>
      </c>
      <c r="H15" s="34" t="n">
        <f aca="false">INDEX(FieldSites!B$34:B$100, MATCH(FieldSites!C15, FieldSites!H$34:H$100,0))</f>
        <v>37.85882</v>
      </c>
      <c r="I15" s="34" t="n">
        <v>0</v>
      </c>
      <c r="J15" s="34" t="n">
        <v>10</v>
      </c>
      <c r="K15" s="34" t="n">
        <v>0</v>
      </c>
      <c r="L15" s="34" t="n">
        <v>0</v>
      </c>
      <c r="M15" s="34" t="s">
        <v>782</v>
      </c>
      <c r="N15" s="34"/>
      <c r="O15" s="32"/>
    </row>
    <row r="16" customFormat="false" ht="13.5" hidden="false" customHeight="true" outlineLevel="0" collapsed="false">
      <c r="A16" s="33" t="s">
        <v>807</v>
      </c>
      <c r="B16" s="33" t="s">
        <v>808</v>
      </c>
      <c r="C16" s="34" t="s">
        <v>429</v>
      </c>
      <c r="D16" s="34" t="s">
        <v>429</v>
      </c>
      <c r="E16" s="34" t="n">
        <v>2081</v>
      </c>
      <c r="F16" s="34" t="n">
        <f aca="false">INDEX(FieldSites!C$34:C$100, MATCH(FieldSites!C16, FieldSites!H$34:H$100,0))</f>
        <v>666</v>
      </c>
      <c r="G16" s="34" t="n">
        <f aca="false">INDEX(FieldSites!A$34:A$100, MATCH(FieldSites!C16, FieldSites!H$34:H$100,0))</f>
        <v>-119.99792</v>
      </c>
      <c r="H16" s="34" t="n">
        <f aca="false">INDEX(FieldSites!B$34:B$100, MATCH(FieldSites!C16, FieldSites!H$34:H$100,0))</f>
        <v>37.486337</v>
      </c>
      <c r="I16" s="34" t="n">
        <v>0</v>
      </c>
      <c r="J16" s="34" t="n">
        <v>0</v>
      </c>
      <c r="K16" s="34" t="n">
        <v>10</v>
      </c>
      <c r="L16" s="34" t="n">
        <v>0</v>
      </c>
      <c r="M16" s="34" t="s">
        <v>782</v>
      </c>
      <c r="N16" s="34"/>
      <c r="O16" s="32"/>
    </row>
    <row r="17" customFormat="false" ht="13.5" hidden="false" customHeight="true" outlineLevel="0" collapsed="false">
      <c r="A17" s="33" t="s">
        <v>809</v>
      </c>
      <c r="B17" s="33" t="s">
        <v>775</v>
      </c>
      <c r="C17" s="34" t="s">
        <v>449</v>
      </c>
      <c r="D17" s="34" t="s">
        <v>449</v>
      </c>
      <c r="E17" s="34" t="n">
        <v>2772</v>
      </c>
      <c r="F17" s="34" t="n">
        <f aca="false">INDEX(FieldSites!C$34:C$100, MATCH(FieldSites!C17, FieldSites!H$34:H$100,0))</f>
        <v>875</v>
      </c>
      <c r="G17" s="34" t="n">
        <f aca="false">INDEX(FieldSites!A$34:A$100, MATCH(FieldSites!C17, FieldSites!H$34:H$100,0))</f>
        <v>-119.521415</v>
      </c>
      <c r="H17" s="34" t="n">
        <f aca="false">INDEX(FieldSites!B$34:B$100, MATCH(FieldSites!C17, FieldSites!H$34:H$100,0))</f>
        <v>37.257397</v>
      </c>
      <c r="I17" s="34" t="n">
        <v>7</v>
      </c>
      <c r="J17" s="34" t="n">
        <v>0</v>
      </c>
      <c r="K17" s="34" t="n">
        <v>11</v>
      </c>
      <c r="L17" s="34" t="n">
        <v>0</v>
      </c>
      <c r="M17" s="34" t="s">
        <v>88</v>
      </c>
      <c r="N17" s="34"/>
      <c r="O17" s="32"/>
    </row>
    <row r="18" customFormat="false" ht="13.5" hidden="false" customHeight="true" outlineLevel="0" collapsed="false">
      <c r="A18" s="33" t="s">
        <v>810</v>
      </c>
      <c r="B18" s="33" t="s">
        <v>781</v>
      </c>
      <c r="C18" s="34" t="s">
        <v>512</v>
      </c>
      <c r="D18" s="34" t="s">
        <v>512</v>
      </c>
      <c r="E18" s="34" t="n">
        <v>4528</v>
      </c>
      <c r="F18" s="34" t="n">
        <f aca="false">INDEX(FieldSites!C$34:C$100, MATCH(FieldSites!C18, FieldSites!H$34:H$100,0))</f>
        <v>1380</v>
      </c>
      <c r="G18" s="34" t="n">
        <f aca="false">INDEX(FieldSites!A$34:A$100, MATCH(FieldSites!C18, FieldSites!H$34:H$100,0))</f>
        <v>-119.719077</v>
      </c>
      <c r="H18" s="34" t="n">
        <f aca="false">INDEX(FieldSites!B$34:B$100, MATCH(FieldSites!C18, FieldSites!H$34:H$100,0))</f>
        <v>37.723593</v>
      </c>
      <c r="I18" s="34" t="n">
        <v>11</v>
      </c>
      <c r="J18" s="34" t="n">
        <v>12</v>
      </c>
      <c r="K18" s="34" t="n">
        <v>0</v>
      </c>
      <c r="L18" s="34" t="n">
        <v>0</v>
      </c>
      <c r="M18" s="34" t="s">
        <v>88</v>
      </c>
      <c r="N18" s="34"/>
      <c r="O18" s="32"/>
    </row>
    <row r="19" customFormat="false" ht="13.5" hidden="false" customHeight="true" outlineLevel="0" collapsed="false">
      <c r="A19" s="42" t="s">
        <v>811</v>
      </c>
      <c r="B19" s="42" t="s">
        <v>775</v>
      </c>
      <c r="C19" s="34" t="s">
        <v>489</v>
      </c>
      <c r="D19" s="34" t="s">
        <v>489</v>
      </c>
      <c r="E19" s="34" t="n">
        <v>3284</v>
      </c>
      <c r="F19" s="34" t="n">
        <f aca="false">INDEX(FieldSites!C$34:C$100, MATCH(FieldSites!C19, FieldSites!H$34:H$100,0))</f>
        <v>1037</v>
      </c>
      <c r="G19" s="34" t="n">
        <f aca="false">INDEX(FieldSites!A$34:A$100, MATCH(FieldSites!C19, FieldSites!H$34:H$100,0))</f>
        <v>-119.534709</v>
      </c>
      <c r="H19" s="34" t="n">
        <f aca="false">INDEX(FieldSites!B$34:B$100, MATCH(FieldSites!C19, FieldSites!H$34:H$100,0))</f>
        <v>37.288671</v>
      </c>
      <c r="I19" s="34" t="n">
        <v>0</v>
      </c>
      <c r="J19" s="34" t="n">
        <v>10</v>
      </c>
      <c r="K19" s="34" t="n">
        <v>0</v>
      </c>
      <c r="L19" s="34" t="n">
        <v>0</v>
      </c>
      <c r="M19" s="34" t="s">
        <v>782</v>
      </c>
      <c r="N19" s="34"/>
      <c r="O19" s="32"/>
    </row>
    <row r="20" customFormat="false" ht="13.5" hidden="false" customHeight="true" outlineLevel="0" collapsed="false">
      <c r="A20" s="33" t="s">
        <v>812</v>
      </c>
      <c r="B20" s="33" t="s">
        <v>806</v>
      </c>
      <c r="C20" s="34" t="s">
        <v>559</v>
      </c>
      <c r="D20" s="34" t="s">
        <v>559</v>
      </c>
      <c r="E20" s="34" t="n">
        <v>5511</v>
      </c>
      <c r="F20" s="34" t="n">
        <f aca="false">INDEX(FieldSites!C$34:C$100, MATCH(FieldSites!C20, FieldSites!H$34:H$100,0))</f>
        <v>1679</v>
      </c>
      <c r="G20" s="34" t="n">
        <f aca="false">INDEX(FieldSites!A$34:A$100, MATCH(FieldSites!C20, FieldSites!H$34:H$100,0))</f>
        <v>-120.094614</v>
      </c>
      <c r="H20" s="34" t="n">
        <f aca="false">INDEX(FieldSites!B$34:B$100, MATCH(FieldSites!C20, FieldSites!H$34:H$100,0))</f>
        <v>38.136194</v>
      </c>
      <c r="I20" s="34" t="n">
        <v>0</v>
      </c>
      <c r="J20" s="34" t="n">
        <v>10</v>
      </c>
      <c r="K20" s="34" t="n">
        <v>0</v>
      </c>
      <c r="L20" s="34" t="n">
        <v>10</v>
      </c>
      <c r="M20" s="34" t="s">
        <v>88</v>
      </c>
      <c r="N20" s="34"/>
      <c r="O20" s="32"/>
    </row>
    <row r="21" customFormat="false" ht="13.5" hidden="false" customHeight="true" outlineLevel="0" collapsed="false">
      <c r="A21" s="33" t="s">
        <v>813</v>
      </c>
      <c r="B21" s="33" t="s">
        <v>806</v>
      </c>
      <c r="C21" s="34" t="s">
        <v>586</v>
      </c>
      <c r="D21" s="34" t="s">
        <v>586</v>
      </c>
      <c r="E21" s="34" t="n">
        <v>6554</v>
      </c>
      <c r="F21" s="34" t="n">
        <f aca="false">INDEX(FieldSites!C$34:C$100, MATCH(FieldSites!C21, FieldSites!H$34:H$100,0))</f>
        <v>1997</v>
      </c>
      <c r="G21" s="34" t="n">
        <f aca="false">INDEX(FieldSites!A$34:A$100, MATCH(FieldSites!C21, FieldSites!H$34:H$100,0))</f>
        <v>-119.963252</v>
      </c>
      <c r="H21" s="34" t="n">
        <f aca="false">INDEX(FieldSites!B$34:B$100, MATCH(FieldSites!C21, FieldSites!H$34:H$100,0))</f>
        <v>38.183927</v>
      </c>
      <c r="I21" s="34" t="n">
        <v>0</v>
      </c>
      <c r="J21" s="34" t="n">
        <v>12</v>
      </c>
      <c r="K21" s="34" t="n">
        <v>0</v>
      </c>
      <c r="L21" s="34" t="n">
        <v>4</v>
      </c>
      <c r="M21" s="34" t="s">
        <v>88</v>
      </c>
      <c r="N21" s="34"/>
      <c r="O21" s="32"/>
    </row>
    <row r="22" customFormat="false" ht="13.5" hidden="false" customHeight="true" outlineLevel="0" collapsed="false">
      <c r="A22" s="33" t="s">
        <v>814</v>
      </c>
      <c r="B22" s="33" t="s">
        <v>781</v>
      </c>
      <c r="C22" s="34" t="s">
        <v>635</v>
      </c>
      <c r="D22" s="34" t="s">
        <v>635</v>
      </c>
      <c r="E22" s="34" t="n">
        <v>4055</v>
      </c>
      <c r="F22" s="34" t="n">
        <f aca="false">INDEX(FieldSites!C$34:C$100, MATCH(FieldSites!C22, FieldSites!H$34:H$100,0))</f>
        <v>1235</v>
      </c>
      <c r="G22" s="34" t="n">
        <f aca="false">INDEX(FieldSites!A$34:A$100, MATCH(FieldSites!C22, FieldSites!H$34:H$100,0))</f>
        <v>-119.647878</v>
      </c>
      <c r="H22" s="34" t="n">
        <f aca="false">INDEX(FieldSites!B$34:B$100, MATCH(FieldSites!C22, FieldSites!H$34:H$100,0))</f>
        <v>37.543343</v>
      </c>
      <c r="I22" s="34" t="n">
        <v>0</v>
      </c>
      <c r="J22" s="34" t="n">
        <v>11</v>
      </c>
      <c r="K22" s="34" t="n">
        <v>0</v>
      </c>
      <c r="L22" s="34" t="n">
        <v>0</v>
      </c>
      <c r="M22" s="34" t="s">
        <v>782</v>
      </c>
      <c r="N22" s="34"/>
      <c r="O22" s="32"/>
    </row>
    <row r="23" customFormat="false" ht="13.5" hidden="false" customHeight="true" outlineLevel="0" collapsed="false">
      <c r="A23" s="33" t="s">
        <v>815</v>
      </c>
      <c r="B23" s="33" t="s">
        <v>781</v>
      </c>
      <c r="C23" s="34" t="s">
        <v>654</v>
      </c>
      <c r="D23" s="34" t="s">
        <v>654</v>
      </c>
      <c r="E23" s="34" t="n">
        <v>7808</v>
      </c>
      <c r="F23" s="34" t="n">
        <f aca="false">INDEX(FieldSites!C$34:C$100, MATCH(FieldSites!C23, FieldSites!H$34:H$100,0))</f>
        <v>2399</v>
      </c>
      <c r="G23" s="34" t="n">
        <f aca="false">INDEX(FieldSites!A$34:A$100, MATCH(FieldSites!C23, FieldSites!H$34:H$100,0))</f>
        <v>-119.594572</v>
      </c>
      <c r="H23" s="34" t="n">
        <f aca="false">INDEX(FieldSites!B$34:B$100, MATCH(FieldSites!C23, FieldSites!H$34:H$100,0))</f>
        <v>37.842693</v>
      </c>
      <c r="I23" s="34" t="n">
        <v>7</v>
      </c>
      <c r="J23" s="34" t="n">
        <v>0</v>
      </c>
      <c r="K23" s="34" t="n">
        <v>0</v>
      </c>
      <c r="L23" s="34" t="n">
        <v>0</v>
      </c>
      <c r="M23" s="34" t="s">
        <v>782</v>
      </c>
      <c r="N23" s="34"/>
    </row>
    <row r="24" customFormat="false" ht="13.5" hidden="false" customHeight="true" outlineLevel="0" collapsed="false">
      <c r="A24" s="33" t="s">
        <v>816</v>
      </c>
      <c r="B24" s="33" t="s">
        <v>781</v>
      </c>
      <c r="C24" s="34" t="s">
        <v>674</v>
      </c>
      <c r="D24" s="34" t="s">
        <v>674</v>
      </c>
      <c r="E24" s="34" t="n">
        <v>8281</v>
      </c>
      <c r="F24" s="34" t="n">
        <f aca="false">INDEX(FieldSites!C$34:C$100, MATCH(FieldSites!C24, FieldSites!H$34:H$100,0))</f>
        <v>2348</v>
      </c>
      <c r="G24" s="34" t="n">
        <f aca="false">INDEX(FieldSites!A$34:A$100, MATCH(FieldSites!C24, FieldSites!H$34:H$100,0))</f>
        <v>-119.586129</v>
      </c>
      <c r="H24" s="34" t="n">
        <f aca="false">INDEX(FieldSites!B$34:B$100, MATCH(FieldSites!C24, FieldSites!H$34:H$100,0))</f>
        <v>37.847194</v>
      </c>
      <c r="I24" s="34" t="n">
        <v>9</v>
      </c>
      <c r="J24" s="34" t="n">
        <v>0</v>
      </c>
      <c r="K24" s="34" t="n">
        <v>0</v>
      </c>
      <c r="L24" s="34" t="n">
        <v>0</v>
      </c>
      <c r="M24" s="34" t="s">
        <v>782</v>
      </c>
      <c r="N24" s="34"/>
    </row>
    <row r="25" customFormat="false" ht="13.5" hidden="false" customHeight="true" outlineLevel="0" collapsed="false">
      <c r="A25" s="33" t="s">
        <v>817</v>
      </c>
      <c r="B25" s="33" t="s">
        <v>781</v>
      </c>
      <c r="C25" s="34" t="s">
        <v>688</v>
      </c>
      <c r="D25" s="34" t="s">
        <v>688</v>
      </c>
      <c r="E25" s="34" t="n">
        <v>7736</v>
      </c>
      <c r="F25" s="34" t="n">
        <f aca="false">INDEX(FieldSites!C$34:C$100, MATCH(FieldSites!C25, FieldSites!H$34:H$100,0))</f>
        <v>2357</v>
      </c>
      <c r="G25" s="34" t="n">
        <f aca="false">INDEX(FieldSites!A$34:A$100, MATCH(FieldSites!C25, FieldSites!H$34:H$100,0))</f>
        <v>-119.572754</v>
      </c>
      <c r="H25" s="34" t="n">
        <f aca="false">INDEX(FieldSites!B$34:B$100, MATCH(FieldSites!C25, FieldSites!H$34:H$100,0))</f>
        <v>37.843904</v>
      </c>
      <c r="I25" s="34" t="n">
        <v>10</v>
      </c>
      <c r="J25" s="34" t="n">
        <v>0</v>
      </c>
      <c r="K25" s="34" t="n">
        <v>0</v>
      </c>
      <c r="L25" s="34" t="n">
        <v>0</v>
      </c>
      <c r="M25" s="34" t="s">
        <v>782</v>
      </c>
      <c r="N25" s="34"/>
    </row>
    <row r="26" customFormat="false" ht="13.5" hidden="false" customHeight="true" outlineLevel="0" collapsed="false">
      <c r="A26" s="33" t="s">
        <v>818</v>
      </c>
      <c r="B26" s="33" t="s">
        <v>781</v>
      </c>
      <c r="C26" s="34" t="s">
        <v>705</v>
      </c>
      <c r="D26" s="34" t="s">
        <v>705</v>
      </c>
      <c r="E26" s="43" t="n">
        <v>8442</v>
      </c>
      <c r="F26" s="34" t="n">
        <f aca="false">INDEX(FieldSites!C$34:C$100, MATCH(FieldSites!C26, FieldSites!H$34:H$100,0))</f>
        <v>2572</v>
      </c>
      <c r="G26" s="34" t="n">
        <f aca="false">INDEX(FieldSites!A$34:A$100, MATCH(FieldSites!C26, FieldSites!H$34:H$100,0))</f>
        <v>-119.440369</v>
      </c>
      <c r="H26" s="34" t="n">
        <f aca="false">INDEX(FieldSites!B$34:B$100, MATCH(FieldSites!C26, FieldSites!H$34:H$100,0))</f>
        <v>37.853852</v>
      </c>
      <c r="I26" s="34" t="n">
        <v>10</v>
      </c>
      <c r="J26" s="34" t="n">
        <v>0</v>
      </c>
      <c r="K26" s="34" t="n">
        <v>0</v>
      </c>
      <c r="L26" s="34" t="n">
        <v>0</v>
      </c>
      <c r="M26" s="34" t="s">
        <v>782</v>
      </c>
      <c r="N26" s="34"/>
    </row>
    <row r="27" customFormat="false" ht="13.5" hidden="false" customHeight="true" outlineLevel="0" collapsed="false">
      <c r="A27" s="33" t="s">
        <v>819</v>
      </c>
      <c r="B27" s="33" t="s">
        <v>781</v>
      </c>
      <c r="C27" s="34" t="s">
        <v>721</v>
      </c>
      <c r="D27" s="34" t="s">
        <v>820</v>
      </c>
      <c r="E27" s="43" t="n">
        <v>8225</v>
      </c>
      <c r="F27" s="34" t="n">
        <f aca="false">INDEX(FieldSites!C$34:C$100, MATCH(FieldSites!C27, FieldSites!H$34:H$100,0))</f>
        <v>2506</v>
      </c>
      <c r="G27" s="34" t="n">
        <f aca="false">INDEX(FieldSites!A$34:A$100, MATCH(FieldSites!C27, FieldSites!H$34:H$100,0))</f>
        <v>-119.486313176147</v>
      </c>
      <c r="H27" s="34" t="n">
        <f aca="false">INDEX(FieldSites!B$34:B$100, MATCH(FieldSites!C27, FieldSites!H$34:H$100,0))</f>
        <v>37.8072315532725</v>
      </c>
      <c r="I27" s="34" t="n">
        <v>20</v>
      </c>
      <c r="J27" s="34" t="n">
        <v>0</v>
      </c>
      <c r="K27" s="34" t="n">
        <v>0</v>
      </c>
      <c r="L27" s="34" t="n">
        <v>0</v>
      </c>
      <c r="M27" s="34" t="s">
        <v>782</v>
      </c>
      <c r="N27" s="33"/>
    </row>
    <row r="28" customFormat="false" ht="13.5" hidden="false" customHeight="true" outlineLevel="0" collapsed="false">
      <c r="C28" s="2"/>
      <c r="D28" s="2" t="s">
        <v>821</v>
      </c>
      <c r="E28" s="2"/>
      <c r="F28" s="2"/>
      <c r="G28" s="2"/>
      <c r="H28" s="2"/>
      <c r="I28" s="2"/>
      <c r="J28" s="2"/>
      <c r="K28" s="2"/>
      <c r="L28" s="2"/>
      <c r="M28" s="2"/>
      <c r="N28" s="2"/>
    </row>
    <row r="29" customFormat="false" ht="13.5" hidden="false" customHeight="true" outlineLevel="0" collapsed="false">
      <c r="C29" s="2"/>
      <c r="D29" s="2"/>
      <c r="E29" s="2"/>
      <c r="F29" s="2"/>
      <c r="G29" s="2"/>
      <c r="H29" s="2"/>
      <c r="I29" s="2"/>
      <c r="J29" s="2"/>
      <c r="K29" s="2"/>
      <c r="L29" s="2"/>
      <c r="M29" s="2"/>
      <c r="N29" s="2"/>
      <c r="O29" s="32"/>
    </row>
    <row r="30" customFormat="false" ht="13.5" hidden="false" customHeight="true" outlineLevel="0" collapsed="false">
      <c r="N30" s="32"/>
      <c r="O30" s="32"/>
    </row>
    <row r="31" customFormat="false" ht="13.5" hidden="false" customHeight="true" outlineLevel="0" collapsed="false"/>
    <row r="32" customFormat="false" ht="13.5" hidden="false" customHeight="true" outlineLevel="0" collapsed="false">
      <c r="A32" s="29" t="s">
        <v>822</v>
      </c>
      <c r="B32" s="44"/>
      <c r="C32" s="44"/>
      <c r="D32" s="44"/>
      <c r="E32" s="44"/>
      <c r="F32" s="44"/>
      <c r="G32" s="44"/>
      <c r="H32" s="44"/>
      <c r="I32" s="44"/>
      <c r="J32" s="44"/>
    </row>
    <row r="33" customFormat="false" ht="13.5" hidden="false" customHeight="true" outlineLevel="0" collapsed="false">
      <c r="A33" s="29" t="s">
        <v>823</v>
      </c>
      <c r="B33" s="29" t="s">
        <v>88</v>
      </c>
      <c r="C33" s="29" t="s">
        <v>824</v>
      </c>
      <c r="D33" s="29"/>
      <c r="E33" s="29" t="s">
        <v>825</v>
      </c>
      <c r="F33" s="29" t="s">
        <v>826</v>
      </c>
      <c r="G33" s="29" t="s">
        <v>827</v>
      </c>
      <c r="H33" s="29" t="s">
        <v>828</v>
      </c>
      <c r="I33" s="29" t="s">
        <v>829</v>
      </c>
      <c r="J33" s="29" t="s">
        <v>830</v>
      </c>
    </row>
    <row r="34" customFormat="false" ht="13.5" hidden="false" customHeight="true" outlineLevel="0" collapsed="false">
      <c r="A34" s="1" t="n">
        <v>-119.594572</v>
      </c>
      <c r="B34" s="1" t="n">
        <v>37.842693</v>
      </c>
      <c r="C34" s="1" t="n">
        <v>2399</v>
      </c>
      <c r="E34" s="1" t="s">
        <v>831</v>
      </c>
      <c r="H34" s="1" t="s">
        <v>654</v>
      </c>
      <c r="J34" s="1" t="s">
        <v>832</v>
      </c>
    </row>
    <row r="35" customFormat="false" ht="13.5" hidden="false" customHeight="true" outlineLevel="0" collapsed="false">
      <c r="A35" s="1" t="n">
        <v>-119.718684</v>
      </c>
      <c r="B35" s="1" t="n">
        <v>37.723542</v>
      </c>
      <c r="C35" s="1" t="n">
        <v>1372</v>
      </c>
      <c r="E35" s="1" t="s">
        <v>833</v>
      </c>
      <c r="H35" s="1" t="s">
        <v>834</v>
      </c>
      <c r="J35" s="1" t="s">
        <v>835</v>
      </c>
    </row>
    <row r="36" customFormat="false" ht="13.5" hidden="false" customHeight="true" outlineLevel="0" collapsed="false">
      <c r="A36" s="1" t="n">
        <v>-119.781397</v>
      </c>
      <c r="B36" s="1" t="n">
        <v>37.958448</v>
      </c>
      <c r="C36" s="1" t="n">
        <v>1202</v>
      </c>
      <c r="E36" s="1" t="s">
        <v>836</v>
      </c>
      <c r="H36" s="1" t="s">
        <v>837</v>
      </c>
    </row>
    <row r="37" customFormat="false" ht="13.5" hidden="false" customHeight="true" outlineLevel="0" collapsed="false">
      <c r="A37" s="1" t="n">
        <v>-119.59569996</v>
      </c>
      <c r="B37" s="1" t="n">
        <v>37.82639997</v>
      </c>
      <c r="C37" s="1" t="n">
        <v>2203</v>
      </c>
      <c r="E37" s="1" t="s">
        <v>838</v>
      </c>
      <c r="H37" s="1" t="s">
        <v>839</v>
      </c>
      <c r="J37" s="1" t="s">
        <v>840</v>
      </c>
    </row>
    <row r="38" customFormat="false" ht="13.5" hidden="false" customHeight="true" outlineLevel="0" collapsed="false">
      <c r="A38" s="1" t="n">
        <v>-119.948746</v>
      </c>
      <c r="B38" s="1" t="n">
        <v>37.865012</v>
      </c>
      <c r="C38" s="1" t="n">
        <v>1237</v>
      </c>
      <c r="E38" s="1" t="s">
        <v>841</v>
      </c>
      <c r="H38" s="1" t="s">
        <v>842</v>
      </c>
      <c r="J38" s="1" t="s">
        <v>843</v>
      </c>
    </row>
    <row r="39" customFormat="false" ht="13.5" hidden="false" customHeight="true" outlineLevel="0" collapsed="false">
      <c r="A39" s="1" t="n">
        <v>-119.634417</v>
      </c>
      <c r="B39" s="1" t="n">
        <v>37.486651</v>
      </c>
      <c r="C39" s="1" t="n">
        <v>1516</v>
      </c>
      <c r="E39" s="1" t="s">
        <v>844</v>
      </c>
      <c r="H39" s="1" t="s">
        <v>845</v>
      </c>
    </row>
    <row r="40" customFormat="false" ht="13.5" hidden="false" customHeight="true" outlineLevel="0" collapsed="false">
      <c r="A40" s="1" t="n">
        <v>-120.094614</v>
      </c>
      <c r="B40" s="1" t="n">
        <v>38.136194</v>
      </c>
      <c r="C40" s="1" t="n">
        <v>1679</v>
      </c>
      <c r="E40" s="1" t="s">
        <v>846</v>
      </c>
      <c r="H40" s="1" t="s">
        <v>559</v>
      </c>
      <c r="J40" s="1" t="s">
        <v>847</v>
      </c>
    </row>
    <row r="41" customFormat="false" ht="13.5" hidden="false" customHeight="true" outlineLevel="0" collapsed="false">
      <c r="A41" s="1" t="n">
        <v>-119.307426</v>
      </c>
      <c r="B41" s="1" t="n">
        <v>37.145131</v>
      </c>
      <c r="C41" s="1" t="n">
        <v>1595</v>
      </c>
      <c r="E41" s="1" t="s">
        <v>848</v>
      </c>
      <c r="H41" s="1" t="s">
        <v>71</v>
      </c>
      <c r="I41" s="1" t="s">
        <v>849</v>
      </c>
      <c r="J41" s="1" t="s">
        <v>850</v>
      </c>
    </row>
    <row r="42" customFormat="false" ht="13.5" hidden="false" customHeight="true" outlineLevel="0" collapsed="false">
      <c r="A42" s="1" t="n">
        <v>-119.486313176147</v>
      </c>
      <c r="B42" s="1" t="n">
        <v>37.8072315532725</v>
      </c>
      <c r="C42" s="1" t="n">
        <v>2506</v>
      </c>
      <c r="E42" s="1" t="s">
        <v>838</v>
      </c>
      <c r="H42" s="1" t="s">
        <v>721</v>
      </c>
      <c r="J42" s="1" t="s">
        <v>851</v>
      </c>
    </row>
    <row r="43" customFormat="false" ht="13.5" hidden="false" customHeight="true" outlineLevel="0" collapsed="false">
      <c r="A43" s="1" t="n">
        <v>-119.71177901</v>
      </c>
      <c r="B43" s="1" t="n">
        <v>37.70181899</v>
      </c>
      <c r="C43" s="1" t="n">
        <v>1533</v>
      </c>
      <c r="E43" s="1" t="s">
        <v>852</v>
      </c>
      <c r="H43" s="1" t="s">
        <v>853</v>
      </c>
    </row>
    <row r="44" customFormat="false" ht="13.5" hidden="false" customHeight="true" outlineLevel="0" collapsed="false">
      <c r="A44" s="1" t="n">
        <v>-119.802952</v>
      </c>
      <c r="B44" s="1" t="n">
        <v>37.755986</v>
      </c>
      <c r="C44" s="1" t="n">
        <v>1901</v>
      </c>
      <c r="E44" s="1" t="s">
        <v>854</v>
      </c>
      <c r="H44" s="1" t="s">
        <v>228</v>
      </c>
      <c r="J44" s="1" t="s">
        <v>792</v>
      </c>
    </row>
    <row r="45" customFormat="false" ht="13.5" hidden="false" customHeight="true" outlineLevel="0" collapsed="false">
      <c r="A45" s="1" t="n">
        <v>-119.314015</v>
      </c>
      <c r="B45" s="1" t="n">
        <v>37.090625</v>
      </c>
      <c r="C45" s="1" t="n">
        <v>1730</v>
      </c>
      <c r="E45" s="1" t="s">
        <v>855</v>
      </c>
      <c r="H45" s="1" t="s">
        <v>49</v>
      </c>
      <c r="I45" s="1" t="s">
        <v>856</v>
      </c>
      <c r="J45" s="1" t="s">
        <v>857</v>
      </c>
    </row>
    <row r="46" customFormat="false" ht="13.5" hidden="false" customHeight="true" outlineLevel="0" collapsed="false">
      <c r="A46" s="1" t="n">
        <v>-119.702719</v>
      </c>
      <c r="B46" s="1" t="n">
        <v>37.698587</v>
      </c>
      <c r="C46" s="1" t="n">
        <v>1757</v>
      </c>
      <c r="E46" s="1" t="s">
        <v>858</v>
      </c>
      <c r="H46" s="1" t="s">
        <v>39</v>
      </c>
    </row>
    <row r="47" customFormat="false" ht="13.5" hidden="false" customHeight="true" outlineLevel="0" collapsed="false">
      <c r="A47" s="1" t="n">
        <v>-119.606933</v>
      </c>
      <c r="B47" s="1" t="n">
        <v>37.513854</v>
      </c>
      <c r="C47" s="1" t="n">
        <v>1937</v>
      </c>
      <c r="E47" s="1" t="s">
        <v>859</v>
      </c>
      <c r="H47" s="1" t="s">
        <v>860</v>
      </c>
      <c r="J47" s="1" t="s">
        <v>861</v>
      </c>
    </row>
    <row r="48" customFormat="false" ht="13.5" hidden="false" customHeight="true" outlineLevel="0" collapsed="false">
      <c r="A48" s="1" t="n">
        <v>-119.440369</v>
      </c>
      <c r="B48" s="1" t="n">
        <v>37.853852</v>
      </c>
      <c r="C48" s="1" t="n">
        <v>2572</v>
      </c>
      <c r="E48" s="1" t="s">
        <v>862</v>
      </c>
      <c r="H48" s="1" t="s">
        <v>705</v>
      </c>
      <c r="J48" s="1" t="s">
        <v>863</v>
      </c>
    </row>
    <row r="49" customFormat="false" ht="13.5" hidden="false" customHeight="true" outlineLevel="0" collapsed="false">
      <c r="A49" s="1" t="n">
        <v>-119.572754</v>
      </c>
      <c r="B49" s="1" t="n">
        <v>37.843904</v>
      </c>
      <c r="C49" s="1" t="n">
        <v>2357</v>
      </c>
      <c r="E49" s="1" t="s">
        <v>864</v>
      </c>
      <c r="H49" s="1" t="s">
        <v>688</v>
      </c>
      <c r="J49" s="1" t="s">
        <v>865</v>
      </c>
    </row>
    <row r="50" customFormat="false" ht="13.5" hidden="false" customHeight="true" outlineLevel="0" collapsed="false">
      <c r="A50" s="1" t="n">
        <v>-119.570677</v>
      </c>
      <c r="B50" s="1" t="n">
        <v>37.33823</v>
      </c>
      <c r="C50" s="1" t="n">
        <v>1124</v>
      </c>
      <c r="E50" s="1" t="s">
        <v>866</v>
      </c>
      <c r="H50" s="1" t="s">
        <v>342</v>
      </c>
    </row>
    <row r="51" customFormat="false" ht="13.5" hidden="false" customHeight="true" outlineLevel="0" collapsed="false">
      <c r="A51" s="1" t="n">
        <v>-119.953013</v>
      </c>
      <c r="B51" s="1" t="n">
        <v>37.874426</v>
      </c>
      <c r="C51" s="1" t="n">
        <v>830</v>
      </c>
      <c r="E51" s="1" t="s">
        <v>867</v>
      </c>
      <c r="H51" s="1" t="s">
        <v>868</v>
      </c>
      <c r="J51" s="1" t="s">
        <v>869</v>
      </c>
    </row>
    <row r="52" customFormat="false" ht="13.5" hidden="false" customHeight="true" outlineLevel="0" collapsed="false">
      <c r="A52" s="1" t="n">
        <v>-119.57312</v>
      </c>
      <c r="B52" s="1" t="n">
        <v>37.843702</v>
      </c>
      <c r="C52" s="1" t="n">
        <v>2353</v>
      </c>
      <c r="E52" s="1" t="s">
        <v>870</v>
      </c>
      <c r="H52" s="1" t="s">
        <v>871</v>
      </c>
      <c r="J52" s="1" t="s">
        <v>872</v>
      </c>
    </row>
    <row r="53" customFormat="false" ht="13.5" hidden="false" customHeight="true" outlineLevel="0" collapsed="false">
      <c r="A53" s="1" t="n">
        <v>-119.963252</v>
      </c>
      <c r="B53" s="1" t="n">
        <v>38.183927</v>
      </c>
      <c r="C53" s="1" t="n">
        <v>1997</v>
      </c>
      <c r="E53" s="1" t="s">
        <v>873</v>
      </c>
      <c r="H53" s="1" t="s">
        <v>586</v>
      </c>
      <c r="J53" s="1" t="s">
        <v>874</v>
      </c>
    </row>
    <row r="54" customFormat="false" ht="13.5" hidden="false" customHeight="true" outlineLevel="0" collapsed="false">
      <c r="A54" s="1" t="n">
        <v>-119.601395</v>
      </c>
      <c r="B54" s="1" t="n">
        <v>37.748823</v>
      </c>
      <c r="C54" s="1" t="n">
        <v>1565</v>
      </c>
      <c r="E54" s="1" t="s">
        <v>875</v>
      </c>
      <c r="H54" s="1" t="s">
        <v>133</v>
      </c>
      <c r="J54" s="1" t="s">
        <v>876</v>
      </c>
    </row>
    <row r="55" customFormat="false" ht="13.5" hidden="false" customHeight="true" outlineLevel="0" collapsed="false">
      <c r="A55" s="1" t="n">
        <v>-119.710152</v>
      </c>
      <c r="B55" s="1" t="n">
        <v>37.700419</v>
      </c>
      <c r="C55" s="1" t="n">
        <v>1572</v>
      </c>
      <c r="E55" s="1" t="s">
        <v>877</v>
      </c>
      <c r="H55" s="1" t="s">
        <v>30</v>
      </c>
    </row>
    <row r="56" customFormat="false" ht="13.5" hidden="false" customHeight="true" outlineLevel="0" collapsed="false">
      <c r="A56" s="1" t="n">
        <v>-119.247577</v>
      </c>
      <c r="B56" s="1" t="n">
        <v>37.210521</v>
      </c>
      <c r="C56" s="1" t="n">
        <v>1619</v>
      </c>
      <c r="E56" s="1" t="s">
        <v>878</v>
      </c>
      <c r="H56" s="1" t="s">
        <v>879</v>
      </c>
      <c r="J56" s="1" t="s">
        <v>880</v>
      </c>
    </row>
    <row r="57" customFormat="false" ht="13.5" hidden="false" customHeight="true" outlineLevel="0" collapsed="false">
      <c r="A57" s="1" t="n">
        <v>-119.586129</v>
      </c>
      <c r="B57" s="1" t="n">
        <v>37.847194</v>
      </c>
      <c r="C57" s="1" t="n">
        <v>2348</v>
      </c>
      <c r="E57" s="1" t="s">
        <v>881</v>
      </c>
      <c r="H57" s="1" t="s">
        <v>674</v>
      </c>
      <c r="J57" s="1" t="s">
        <v>882</v>
      </c>
    </row>
    <row r="58" customFormat="false" ht="13.5" hidden="false" customHeight="true" outlineLevel="0" collapsed="false">
      <c r="A58" s="1" t="n">
        <v>-119.778553</v>
      </c>
      <c r="B58" s="1" t="n">
        <v>37.959056</v>
      </c>
      <c r="C58" s="1" t="n">
        <v>1199</v>
      </c>
      <c r="E58" s="1" t="s">
        <v>883</v>
      </c>
      <c r="H58" s="1" t="s">
        <v>259</v>
      </c>
    </row>
    <row r="59" customFormat="false" ht="13.5" hidden="false" customHeight="true" outlineLevel="0" collapsed="false">
      <c r="A59" s="1" t="n">
        <v>-119.22122</v>
      </c>
      <c r="B59" s="1" t="n">
        <v>37.03346</v>
      </c>
      <c r="C59" s="1" t="n">
        <v>1220</v>
      </c>
      <c r="E59" s="1" t="s">
        <v>884</v>
      </c>
      <c r="H59" s="1" t="s">
        <v>885</v>
      </c>
    </row>
    <row r="60" customFormat="false" ht="13.5" hidden="false" customHeight="true" outlineLevel="0" collapsed="false">
      <c r="A60" s="1" t="n">
        <v>-119.772719</v>
      </c>
      <c r="B60" s="1" t="n">
        <v>37.767781</v>
      </c>
      <c r="C60" s="1" t="n">
        <v>2157</v>
      </c>
      <c r="E60" s="1" t="s">
        <v>886</v>
      </c>
      <c r="H60" s="1" t="s">
        <v>200</v>
      </c>
      <c r="J60" s="1" t="s">
        <v>887</v>
      </c>
    </row>
    <row r="61" customFormat="false" ht="13.5" hidden="false" customHeight="true" outlineLevel="0" collapsed="false">
      <c r="A61" s="1" t="n">
        <v>-119.13102</v>
      </c>
      <c r="B61" s="1" t="n">
        <v>37.0511</v>
      </c>
      <c r="C61" s="1" t="n">
        <v>1978</v>
      </c>
      <c r="E61" s="1" t="s">
        <v>888</v>
      </c>
      <c r="H61" s="1" t="s">
        <v>889</v>
      </c>
    </row>
    <row r="62" customFormat="false" ht="13.5" hidden="false" customHeight="true" outlineLevel="0" collapsed="false">
      <c r="A62" s="1" t="n">
        <v>-119.719077</v>
      </c>
      <c r="B62" s="1" t="n">
        <v>37.723593</v>
      </c>
      <c r="C62" s="1" t="n">
        <v>1380</v>
      </c>
      <c r="E62" s="1" t="s">
        <v>890</v>
      </c>
      <c r="H62" s="1" t="s">
        <v>512</v>
      </c>
      <c r="J62" s="1" t="s">
        <v>891</v>
      </c>
    </row>
    <row r="63" customFormat="false" ht="13.5" hidden="false" customHeight="true" outlineLevel="0" collapsed="false">
      <c r="A63" s="1" t="n">
        <v>-119.624688</v>
      </c>
      <c r="B63" s="1" t="n">
        <v>37.565626</v>
      </c>
      <c r="C63" s="1" t="n">
        <v>1808</v>
      </c>
      <c r="E63" s="1" t="s">
        <v>892</v>
      </c>
      <c r="H63" s="1" t="s">
        <v>893</v>
      </c>
    </row>
    <row r="64" customFormat="false" ht="13.5" hidden="false" customHeight="true" outlineLevel="0" collapsed="false">
      <c r="A64" s="1" t="n">
        <v>-119.552699</v>
      </c>
      <c r="B64" s="1" t="n">
        <v>37.139999</v>
      </c>
      <c r="C64" s="1" t="n">
        <v>596</v>
      </c>
      <c r="E64" s="1" t="s">
        <v>838</v>
      </c>
      <c r="H64" s="1" t="s">
        <v>894</v>
      </c>
    </row>
    <row r="65" customFormat="false" ht="13.5" hidden="false" customHeight="true" outlineLevel="0" collapsed="false">
      <c r="A65" s="1" t="n">
        <v>-119.573135375977</v>
      </c>
      <c r="B65" s="1" t="n">
        <v>37.8436814502461</v>
      </c>
      <c r="C65" s="1" t="n">
        <v>2353</v>
      </c>
      <c r="E65" s="1" t="s">
        <v>895</v>
      </c>
      <c r="H65" s="1" t="s">
        <v>688</v>
      </c>
      <c r="I65" s="1" t="s">
        <v>896</v>
      </c>
      <c r="J65" s="1" t="s">
        <v>897</v>
      </c>
    </row>
    <row r="66" customFormat="false" ht="13.5" hidden="false" customHeight="true" outlineLevel="0" collapsed="false">
      <c r="A66" s="1" t="n">
        <v>-119.867261</v>
      </c>
      <c r="B66" s="1" t="n">
        <v>37.857233</v>
      </c>
      <c r="C66" s="1" t="n">
        <v>1346</v>
      </c>
      <c r="E66" s="1" t="s">
        <v>898</v>
      </c>
      <c r="H66" s="1" t="s">
        <v>899</v>
      </c>
    </row>
    <row r="67" customFormat="false" ht="13.5" hidden="false" customHeight="true" outlineLevel="0" collapsed="false">
      <c r="A67" s="1" t="n">
        <v>-119.70531698</v>
      </c>
      <c r="B67" s="1" t="n">
        <v>37.71609798</v>
      </c>
      <c r="C67" s="1" t="n">
        <v>1486</v>
      </c>
      <c r="E67" s="1" t="s">
        <v>900</v>
      </c>
      <c r="H67" s="1" t="s">
        <v>389</v>
      </c>
      <c r="I67" s="1" t="s">
        <v>901</v>
      </c>
    </row>
    <row r="68" customFormat="false" ht="13.5" hidden="false" customHeight="true" outlineLevel="0" collapsed="false">
      <c r="A68" s="1" t="n">
        <v>-119.776215</v>
      </c>
      <c r="B68" s="1" t="n">
        <v>37.959704</v>
      </c>
      <c r="C68" s="1" t="n">
        <v>1216</v>
      </c>
      <c r="E68" s="1" t="s">
        <v>902</v>
      </c>
      <c r="H68" s="1" t="s">
        <v>903</v>
      </c>
    </row>
    <row r="69" customFormat="false" ht="13.5" hidden="false" customHeight="true" outlineLevel="0" collapsed="false">
      <c r="A69" s="1" t="n">
        <v>-119.315045</v>
      </c>
      <c r="B69" s="1" t="n">
        <v>37.090509</v>
      </c>
      <c r="C69" s="1" t="n">
        <v>1720</v>
      </c>
      <c r="E69" s="1" t="s">
        <v>904</v>
      </c>
      <c r="H69" s="1" t="s">
        <v>905</v>
      </c>
      <c r="J69" s="1" t="s">
        <v>906</v>
      </c>
    </row>
    <row r="70" customFormat="false" ht="13.5" hidden="false" customHeight="true" outlineLevel="0" collapsed="false">
      <c r="A70" s="1" t="n">
        <v>-119.14962</v>
      </c>
      <c r="B70" s="1" t="n">
        <v>37.23553</v>
      </c>
      <c r="C70" s="1" t="n">
        <v>2178</v>
      </c>
      <c r="E70" s="1" t="s">
        <v>907</v>
      </c>
      <c r="H70" s="1" t="s">
        <v>167</v>
      </c>
    </row>
    <row r="71" customFormat="false" ht="13.5" hidden="false" customHeight="true" outlineLevel="0" collapsed="false">
      <c r="A71" s="1" t="n">
        <v>-119.273507</v>
      </c>
      <c r="B71" s="1" t="n">
        <v>37.150723</v>
      </c>
      <c r="C71" s="1" t="n">
        <v>1851</v>
      </c>
      <c r="E71" s="1" t="s">
        <v>908</v>
      </c>
      <c r="H71" s="1" t="s">
        <v>148</v>
      </c>
      <c r="J71" s="1" t="s">
        <v>909</v>
      </c>
    </row>
    <row r="72" customFormat="false" ht="13.5" hidden="false" customHeight="true" outlineLevel="0" collapsed="false">
      <c r="A72" s="1" t="n">
        <v>-119.534709</v>
      </c>
      <c r="B72" s="1" t="n">
        <v>37.288671</v>
      </c>
      <c r="C72" s="1" t="n">
        <v>1037</v>
      </c>
      <c r="E72" s="1" t="s">
        <v>910</v>
      </c>
      <c r="H72" s="1" t="s">
        <v>489</v>
      </c>
      <c r="J72" s="1" t="s">
        <v>911</v>
      </c>
    </row>
    <row r="73" customFormat="false" ht="13.5" hidden="false" customHeight="true" outlineLevel="0" collapsed="false">
      <c r="A73" s="1" t="n">
        <v>-119.393233</v>
      </c>
      <c r="B73" s="1" t="n">
        <v>37.053544</v>
      </c>
      <c r="C73" s="1" t="n">
        <v>1209</v>
      </c>
      <c r="E73" s="1" t="s">
        <v>912</v>
      </c>
      <c r="H73" s="1" t="s">
        <v>302</v>
      </c>
      <c r="J73" s="45" t="s">
        <v>913</v>
      </c>
    </row>
    <row r="74" customFormat="false" ht="13.5" hidden="false" customHeight="true" outlineLevel="0" collapsed="false">
      <c r="A74" s="1" t="n">
        <v>-119.951305</v>
      </c>
      <c r="B74" s="1" t="n">
        <v>37.85882</v>
      </c>
      <c r="C74" s="1" t="n">
        <v>1238</v>
      </c>
      <c r="E74" s="1" t="s">
        <v>914</v>
      </c>
      <c r="H74" s="1" t="s">
        <v>411</v>
      </c>
      <c r="J74" s="1" t="s">
        <v>915</v>
      </c>
    </row>
    <row r="75" customFormat="false" ht="13.5" hidden="false" customHeight="true" outlineLevel="0" collapsed="false">
      <c r="A75" s="1" t="n">
        <v>-119.521415</v>
      </c>
      <c r="B75" s="1" t="n">
        <v>37.257397</v>
      </c>
      <c r="C75" s="1" t="n">
        <v>875</v>
      </c>
      <c r="E75" s="1" t="s">
        <v>916</v>
      </c>
      <c r="H75" s="1" t="s">
        <v>449</v>
      </c>
    </row>
    <row r="76" customFormat="false" ht="13.5" hidden="false" customHeight="true" outlineLevel="0" collapsed="false">
      <c r="A76" s="1" t="n">
        <v>-119.647878</v>
      </c>
      <c r="B76" s="1" t="n">
        <v>37.543343</v>
      </c>
      <c r="C76" s="1" t="n">
        <v>1235</v>
      </c>
      <c r="E76" s="1" t="s">
        <v>917</v>
      </c>
      <c r="H76" s="1" t="s">
        <v>635</v>
      </c>
      <c r="J76" s="1" t="s">
        <v>918</v>
      </c>
    </row>
    <row r="77" customFormat="false" ht="13.5" hidden="false" customHeight="true" outlineLevel="0" collapsed="false">
      <c r="A77" s="1" t="n">
        <v>-119.99792</v>
      </c>
      <c r="B77" s="1" t="n">
        <v>37.486337</v>
      </c>
      <c r="C77" s="1" t="n">
        <v>666</v>
      </c>
      <c r="E77" s="1" t="s">
        <v>919</v>
      </c>
      <c r="H77" s="1" t="s">
        <v>429</v>
      </c>
      <c r="J77" s="45" t="s">
        <v>920</v>
      </c>
    </row>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O6:V1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29" activeCellId="0" sqref="B29"/>
    </sheetView>
  </sheetViews>
  <sheetFormatPr defaultColWidth="10.4921875" defaultRowHeight="12.8" customHeight="true" zeroHeight="false" outlineLevelRow="0" outlineLevelCol="0"/>
  <cols>
    <col collapsed="false" customWidth="true" hidden="false" outlineLevel="0" max="7" min="7" style="1" width="18.73"/>
  </cols>
  <sheetData>
    <row r="1" customFormat="false" ht="13.8" hidden="false" customHeight="false" outlineLevel="0" collapsed="false">
      <c r="A1" s="29" t="s">
        <v>766</v>
      </c>
      <c r="B1" s="29" t="s">
        <v>767</v>
      </c>
      <c r="C1" s="30" t="s">
        <v>7</v>
      </c>
      <c r="D1" s="30" t="s">
        <v>14</v>
      </c>
      <c r="E1" s="30" t="s">
        <v>768</v>
      </c>
      <c r="F1" s="30" t="s">
        <v>10</v>
      </c>
      <c r="G1" s="30" t="s">
        <v>11</v>
      </c>
      <c r="H1" s="30" t="s">
        <v>12</v>
      </c>
      <c r="I1" s="30" t="s">
        <v>921</v>
      </c>
      <c r="J1" s="30" t="s">
        <v>922</v>
      </c>
      <c r="K1" s="30" t="s">
        <v>923</v>
      </c>
      <c r="L1" s="30" t="s">
        <v>924</v>
      </c>
      <c r="M1" s="30" t="s">
        <v>925</v>
      </c>
      <c r="N1" s="31" t="s">
        <v>25</v>
      </c>
    </row>
    <row r="2" customFormat="false" ht="13.8" hidden="false" customHeight="false" outlineLevel="0" collapsed="false">
      <c r="A2" s="33" t="s">
        <v>774</v>
      </c>
      <c r="B2" s="33" t="s">
        <v>775</v>
      </c>
      <c r="C2" s="34" t="s">
        <v>49</v>
      </c>
      <c r="D2" s="34" t="s">
        <v>776</v>
      </c>
      <c r="E2" s="34" t="n">
        <v>5643</v>
      </c>
      <c r="F2" s="34" t="n">
        <f aca="false">INDEX(FieldSites!C$34:C$100, MATCH(FieldSites!C2, FieldSites!H$34:H$100,0))</f>
        <v>1730</v>
      </c>
      <c r="G2" s="34" t="n">
        <f aca="false">INDEX(FieldSites!A$34:A$100, MATCH(FieldSites!C2, FieldSites!H$34:H$100,0))</f>
        <v>-119.314015</v>
      </c>
      <c r="H2" s="34" t="n">
        <f aca="false">INDEX(FieldSites!B$34:B$100, MATCH(FieldSites!C2, FieldSites!H$34:H$100,0))</f>
        <v>37.090625</v>
      </c>
      <c r="I2" s="34" t="n">
        <v>5</v>
      </c>
      <c r="J2" s="34" t="n">
        <v>5</v>
      </c>
      <c r="K2" s="34" t="n">
        <v>0</v>
      </c>
      <c r="L2" s="34" t="n">
        <v>0</v>
      </c>
      <c r="M2" s="34" t="s">
        <v>88</v>
      </c>
      <c r="N2" s="34" t="s">
        <v>777</v>
      </c>
    </row>
    <row r="3" customFormat="false" ht="13.8" hidden="false" customHeight="false" outlineLevel="0" collapsed="false">
      <c r="A3" s="33" t="s">
        <v>778</v>
      </c>
      <c r="B3" s="33" t="s">
        <v>775</v>
      </c>
      <c r="C3" s="34" t="s">
        <v>71</v>
      </c>
      <c r="D3" s="34" t="s">
        <v>779</v>
      </c>
      <c r="E3" s="34" t="n">
        <v>5233</v>
      </c>
      <c r="F3" s="34" t="n">
        <f aca="false">INDEX(FieldSites!C$34:C$100, MATCH(FieldSites!C3, FieldSites!H$34:H$100,0))</f>
        <v>1595</v>
      </c>
      <c r="G3" s="34" t="n">
        <f aca="false">INDEX(FieldSites!A$34:A$100, MATCH(FieldSites!C3, FieldSites!H$34:H$100,0))</f>
        <v>-119.307426</v>
      </c>
      <c r="H3" s="34" t="n">
        <f aca="false">INDEX(FieldSites!B$34:B$100, MATCH(FieldSites!C3, FieldSites!H$34:H$100,0))</f>
        <v>37.145131</v>
      </c>
      <c r="I3" s="34" t="n">
        <v>5</v>
      </c>
      <c r="J3" s="34" t="n">
        <v>5</v>
      </c>
      <c r="K3" s="34" t="n">
        <v>0</v>
      </c>
      <c r="L3" s="34" t="n">
        <v>0</v>
      </c>
      <c r="M3" s="34" t="s">
        <v>88</v>
      </c>
      <c r="N3" s="34" t="s">
        <v>780</v>
      </c>
    </row>
    <row r="4" customFormat="false" ht="13.8" hidden="false" customHeight="false" outlineLevel="0" collapsed="false">
      <c r="A4" s="33"/>
      <c r="B4" s="33" t="s">
        <v>781</v>
      </c>
      <c r="C4" s="34" t="s">
        <v>39</v>
      </c>
      <c r="D4" s="34" t="s">
        <v>39</v>
      </c>
      <c r="E4" s="34" t="n">
        <v>5766</v>
      </c>
      <c r="F4" s="34" t="n">
        <f aca="false">INDEX(FieldSites!C$34:C$100, MATCH(FieldSites!C4, FieldSites!H$34:H$100,0))</f>
        <v>1757</v>
      </c>
      <c r="G4" s="34" t="n">
        <f aca="false">INDEX(FieldSites!A$34:A$100, MATCH(FieldSites!C4, FieldSites!H$34:H$100,0))</f>
        <v>-119.702719</v>
      </c>
      <c r="H4" s="34" t="n">
        <f aca="false">INDEX(FieldSites!B$34:B$100, MATCH(FieldSites!C4, FieldSites!H$34:H$100,0))</f>
        <v>37.698587</v>
      </c>
      <c r="I4" s="34" t="n">
        <v>1</v>
      </c>
      <c r="J4" s="34" t="n">
        <v>1</v>
      </c>
      <c r="K4" s="34" t="n">
        <v>0</v>
      </c>
      <c r="L4" s="34" t="n">
        <v>0</v>
      </c>
      <c r="M4" s="34" t="s">
        <v>782</v>
      </c>
      <c r="N4" s="34"/>
    </row>
    <row r="5" customFormat="false" ht="13.8" hidden="false" customHeight="false" outlineLevel="0" collapsed="false">
      <c r="A5" s="33" t="s">
        <v>783</v>
      </c>
      <c r="B5" s="33" t="s">
        <v>781</v>
      </c>
      <c r="C5" s="34" t="s">
        <v>133</v>
      </c>
      <c r="D5" s="34" t="s">
        <v>133</v>
      </c>
      <c r="E5" s="34" t="n">
        <v>5203</v>
      </c>
      <c r="F5" s="34" t="n">
        <f aca="false">INDEX(FieldSites!C$34:C$100, MATCH(FieldSites!C5, FieldSites!H$34:H$100,0))</f>
        <v>1565</v>
      </c>
      <c r="G5" s="34" t="n">
        <f aca="false">INDEX(FieldSites!A$34:A$100, MATCH(FieldSites!C5, FieldSites!H$34:H$100,0))</f>
        <v>-119.601395</v>
      </c>
      <c r="H5" s="34" t="n">
        <f aca="false">INDEX(FieldSites!B$34:B$100, MATCH(FieldSites!C5, FieldSites!H$34:H$100,0))</f>
        <v>37.748823</v>
      </c>
      <c r="I5" s="34" t="n">
        <v>0</v>
      </c>
      <c r="J5" s="34" t="n">
        <v>5</v>
      </c>
      <c r="K5" s="34" t="n">
        <v>0</v>
      </c>
      <c r="L5" s="34" t="n">
        <v>0</v>
      </c>
      <c r="M5" s="34" t="s">
        <v>782</v>
      </c>
      <c r="N5" s="34"/>
    </row>
    <row r="6" customFormat="false" ht="13.8" hidden="false" customHeight="false" outlineLevel="0" collapsed="false">
      <c r="A6" s="33" t="s">
        <v>784</v>
      </c>
      <c r="B6" s="33" t="s">
        <v>775</v>
      </c>
      <c r="C6" s="34" t="s">
        <v>148</v>
      </c>
      <c r="D6" s="34" t="s">
        <v>148</v>
      </c>
      <c r="E6" s="34" t="n">
        <v>6033</v>
      </c>
      <c r="F6" s="34" t="n">
        <f aca="false">INDEX(FieldSites!C$34:C$100, MATCH(FieldSites!C6, FieldSites!H$34:H$100,0))</f>
        <v>1851</v>
      </c>
      <c r="G6" s="34" t="n">
        <f aca="false">INDEX(FieldSites!A$34:A$100, MATCH(FieldSites!C6, FieldSites!H$34:H$100,0))</f>
        <v>-119.273507</v>
      </c>
      <c r="H6" s="34" t="n">
        <f aca="false">INDEX(FieldSites!B$34:B$100, MATCH(FieldSites!C6, FieldSites!H$34:H$100,0))</f>
        <v>37.150723</v>
      </c>
      <c r="I6" s="34" t="n">
        <v>0</v>
      </c>
      <c r="J6" s="34" t="n">
        <v>17</v>
      </c>
      <c r="K6" s="34" t="n">
        <v>5</v>
      </c>
      <c r="L6" s="34" t="n">
        <v>0</v>
      </c>
      <c r="M6" s="34" t="s">
        <v>88</v>
      </c>
      <c r="N6" s="34"/>
    </row>
    <row r="7" customFormat="false" ht="13.8" hidden="false" customHeight="false" outlineLevel="0" collapsed="false">
      <c r="A7" s="33" t="s">
        <v>787</v>
      </c>
      <c r="B7" s="33" t="s">
        <v>775</v>
      </c>
      <c r="C7" s="34" t="s">
        <v>167</v>
      </c>
      <c r="D7" s="34" t="s">
        <v>167</v>
      </c>
      <c r="E7" s="34" t="n">
        <v>7126</v>
      </c>
      <c r="F7" s="34" t="n">
        <f aca="false">INDEX(FieldSites!C$34:C$100, MATCH(FieldSites!C7, FieldSites!H$34:H$100,0))</f>
        <v>2178</v>
      </c>
      <c r="G7" s="34" t="n">
        <f aca="false">INDEX(FieldSites!A$34:A$100, MATCH(FieldSites!C7, FieldSites!H$34:H$100,0))</f>
        <v>-119.14962</v>
      </c>
      <c r="H7" s="34" t="n">
        <f aca="false">INDEX(FieldSites!B$34:B$100, MATCH(FieldSites!C7, FieldSites!H$34:H$100,0))</f>
        <v>37.23553</v>
      </c>
      <c r="I7" s="34" t="n">
        <v>5</v>
      </c>
      <c r="J7" s="34" t="n">
        <v>5</v>
      </c>
      <c r="K7" s="34" t="n">
        <v>0</v>
      </c>
      <c r="L7" s="34" t="n">
        <v>0</v>
      </c>
      <c r="M7" s="34" t="s">
        <v>88</v>
      </c>
      <c r="N7" s="34"/>
    </row>
    <row r="8" customFormat="false" ht="13.8" hidden="false" customHeight="false" outlineLevel="0" collapsed="false">
      <c r="A8" s="33" t="s">
        <v>789</v>
      </c>
      <c r="B8" s="33" t="s">
        <v>781</v>
      </c>
      <c r="C8" s="34" t="s">
        <v>200</v>
      </c>
      <c r="D8" s="34" t="s">
        <v>790</v>
      </c>
      <c r="E8" s="34" t="n">
        <v>6250</v>
      </c>
      <c r="F8" s="34" t="n">
        <f aca="false">INDEX(FieldSites!C$34:C$100, MATCH(FieldSites!C8, FieldSites!H$34:H$100,0))</f>
        <v>2157</v>
      </c>
      <c r="G8" s="34" t="n">
        <f aca="false">INDEX(FieldSites!A$34:A$100, MATCH(FieldSites!C8, FieldSites!H$34:H$100,0))</f>
        <v>-119.772719</v>
      </c>
      <c r="H8" s="34" t="n">
        <f aca="false">INDEX(FieldSites!B$34:B$100, MATCH(FieldSites!C8, FieldSites!H$34:H$100,0))</f>
        <v>37.767781</v>
      </c>
      <c r="I8" s="34" t="n">
        <v>0</v>
      </c>
      <c r="J8" s="34" t="n">
        <v>10</v>
      </c>
      <c r="K8" s="34" t="n">
        <v>0</v>
      </c>
      <c r="L8" s="34" t="n">
        <v>0</v>
      </c>
      <c r="M8" s="34" t="s">
        <v>782</v>
      </c>
      <c r="N8" s="34"/>
    </row>
    <row r="9" customFormat="false" ht="13.8" hidden="false" customHeight="false" outlineLevel="0" collapsed="false">
      <c r="A9" s="33" t="s">
        <v>792</v>
      </c>
      <c r="B9" s="33" t="s">
        <v>781</v>
      </c>
      <c r="C9" s="34" t="s">
        <v>228</v>
      </c>
      <c r="D9" s="34" t="s">
        <v>793</v>
      </c>
      <c r="E9" s="34" t="n">
        <v>6237</v>
      </c>
      <c r="F9" s="34" t="n">
        <f aca="false">INDEX(FieldSites!C$34:C$100, MATCH(FieldSites!C9, FieldSites!H$34:H$100,0))</f>
        <v>1901</v>
      </c>
      <c r="G9" s="34" t="n">
        <f aca="false">INDEX(FieldSites!A$34:A$100, MATCH(FieldSites!C9, FieldSites!H$34:H$100,0))</f>
        <v>-119.802952</v>
      </c>
      <c r="H9" s="34" t="n">
        <f aca="false">INDEX(FieldSites!B$34:B$100, MATCH(FieldSites!C9, FieldSites!H$34:H$100,0))</f>
        <v>37.755986</v>
      </c>
      <c r="I9" s="34" t="n">
        <v>0</v>
      </c>
      <c r="J9" s="34" t="n">
        <v>10</v>
      </c>
      <c r="K9" s="34" t="n">
        <v>0</v>
      </c>
      <c r="L9" s="34" t="n">
        <v>0</v>
      </c>
      <c r="M9" s="34" t="s">
        <v>782</v>
      </c>
      <c r="N9" s="34"/>
    </row>
    <row r="10" customFormat="false" ht="13.8" hidden="false" customHeight="false" outlineLevel="0" collapsed="false">
      <c r="A10" s="33" t="s">
        <v>796</v>
      </c>
      <c r="B10" s="33" t="s">
        <v>775</v>
      </c>
      <c r="C10" s="34" t="s">
        <v>342</v>
      </c>
      <c r="D10" s="34" t="s">
        <v>342</v>
      </c>
      <c r="E10" s="34" t="n">
        <v>3688</v>
      </c>
      <c r="F10" s="34" t="n">
        <f aca="false">INDEX(FieldSites!C$34:C$100, MATCH(FieldSites!C10, FieldSites!H$34:H$100,0))</f>
        <v>1124</v>
      </c>
      <c r="G10" s="34" t="n">
        <f aca="false">INDEX(FieldSites!A$34:A$100, MATCH(FieldSites!C10, FieldSites!H$34:H$100,0))</f>
        <v>-119.570677</v>
      </c>
      <c r="H10" s="34" t="n">
        <f aca="false">INDEX(FieldSites!B$34:B$100, MATCH(FieldSites!C10, FieldSites!H$34:H$100,0))</f>
        <v>37.33823</v>
      </c>
      <c r="I10" s="34" t="n">
        <v>10</v>
      </c>
      <c r="J10" s="34" t="n">
        <v>0</v>
      </c>
      <c r="K10" s="34" t="n">
        <v>10</v>
      </c>
      <c r="L10" s="34" t="n">
        <v>0</v>
      </c>
      <c r="M10" s="34" t="s">
        <v>88</v>
      </c>
      <c r="N10" s="34"/>
    </row>
    <row r="11" customFormat="false" ht="13.8" hidden="false" customHeight="false" outlineLevel="0" collapsed="false">
      <c r="A11" s="33"/>
      <c r="B11" s="33"/>
      <c r="C11" s="34" t="s">
        <v>302</v>
      </c>
      <c r="D11" s="34" t="s">
        <v>302</v>
      </c>
      <c r="E11" s="34" t="n">
        <v>3967</v>
      </c>
      <c r="F11" s="34" t="n">
        <f aca="false">INDEX(FieldSites!C$34:C$100, MATCH(FieldSites!C11, FieldSites!H$34:H$100,0))</f>
        <v>1209</v>
      </c>
      <c r="G11" s="34" t="n">
        <f aca="false">INDEX(FieldSites!A$34:A$100, MATCH(FieldSites!C11, FieldSites!H$34:H$100,0))</f>
        <v>-119.393233</v>
      </c>
      <c r="H11" s="34" t="n">
        <f aca="false">INDEX(FieldSites!B$34:B$100, MATCH(FieldSites!C11, FieldSites!H$34:H$100,0))</f>
        <v>37.053544</v>
      </c>
      <c r="I11" s="34" t="n">
        <v>0</v>
      </c>
      <c r="J11" s="34" t="n">
        <v>10</v>
      </c>
      <c r="K11" s="34" t="n">
        <v>10</v>
      </c>
      <c r="L11" s="34" t="n">
        <v>0</v>
      </c>
      <c r="M11" s="34" t="s">
        <v>88</v>
      </c>
      <c r="N11" s="34"/>
    </row>
    <row r="12" customFormat="false" ht="13.8" hidden="false" customHeight="false" outlineLevel="0" collapsed="false">
      <c r="A12" s="33" t="s">
        <v>800</v>
      </c>
      <c r="B12" s="33" t="s">
        <v>781</v>
      </c>
      <c r="C12" s="34" t="s">
        <v>259</v>
      </c>
      <c r="D12" s="34" t="s">
        <v>259</v>
      </c>
      <c r="E12" s="34" t="n">
        <v>3934</v>
      </c>
      <c r="F12" s="34" t="n">
        <f aca="false">INDEX(FieldSites!C$34:C$100, MATCH(FieldSites!C12, FieldSites!H$34:H$100,0))</f>
        <v>1199</v>
      </c>
      <c r="G12" s="34" t="n">
        <f aca="false">INDEX(FieldSites!A$34:A$100, MATCH(FieldSites!C12, FieldSites!H$34:H$100,0))</f>
        <v>-119.778553</v>
      </c>
      <c r="H12" s="34" t="n">
        <f aca="false">INDEX(FieldSites!B$34:B$100, MATCH(FieldSites!C12, FieldSites!H$34:H$100,0))</f>
        <v>37.959056</v>
      </c>
      <c r="I12" s="34" t="n">
        <v>10</v>
      </c>
      <c r="J12" s="34" t="n">
        <v>10</v>
      </c>
      <c r="K12" s="34" t="n">
        <v>0</v>
      </c>
      <c r="L12" s="34" t="n">
        <v>0</v>
      </c>
      <c r="M12" s="34" t="s">
        <v>88</v>
      </c>
      <c r="N12" s="34"/>
    </row>
    <row r="13" customFormat="false" ht="13.8" hidden="false" customHeight="false" outlineLevel="0" collapsed="false">
      <c r="A13" s="33" t="s">
        <v>801</v>
      </c>
      <c r="B13" s="33" t="s">
        <v>781</v>
      </c>
      <c r="C13" s="34" t="s">
        <v>30</v>
      </c>
      <c r="D13" s="34" t="s">
        <v>30</v>
      </c>
      <c r="E13" s="34" t="n">
        <v>5158</v>
      </c>
      <c r="F13" s="34" t="n">
        <f aca="false">INDEX(FieldSites!C$34:C$100, MATCH(FieldSites!C13, FieldSites!H$34:H$100,0))</f>
        <v>1572</v>
      </c>
      <c r="G13" s="34" t="n">
        <f aca="false">INDEX(FieldSites!A$34:A$100, MATCH(FieldSites!C13, FieldSites!H$34:H$100,0))</f>
        <v>-119.710152</v>
      </c>
      <c r="H13" s="34" t="n">
        <f aca="false">INDEX(FieldSites!B$34:B$100, MATCH(FieldSites!C13, FieldSites!H$34:H$100,0))</f>
        <v>37.700419</v>
      </c>
      <c r="I13" s="34" t="n">
        <v>1</v>
      </c>
      <c r="J13" s="34" t="n">
        <v>0</v>
      </c>
      <c r="K13" s="34"/>
      <c r="L13" s="34" t="n">
        <v>0</v>
      </c>
      <c r="M13" s="34" t="s">
        <v>782</v>
      </c>
      <c r="N13" s="34"/>
    </row>
    <row r="14" customFormat="false" ht="13.8" hidden="false" customHeight="false" outlineLevel="0" collapsed="false">
      <c r="A14" s="33" t="s">
        <v>802</v>
      </c>
      <c r="B14" s="33" t="s">
        <v>781</v>
      </c>
      <c r="C14" s="34" t="s">
        <v>389</v>
      </c>
      <c r="D14" s="34" t="s">
        <v>803</v>
      </c>
      <c r="E14" s="34" t="n">
        <v>4875</v>
      </c>
      <c r="F14" s="34" t="n">
        <f aca="false">INDEX(FieldSites!C$34:C$100, MATCH(FieldSites!C14, FieldSites!H$34:H$100,0))</f>
        <v>1486</v>
      </c>
      <c r="G14" s="34" t="n">
        <f aca="false">INDEX(FieldSites!A$34:A$100, MATCH(FieldSites!C14, FieldSites!H$34:H$100,0))</f>
        <v>-119.70531698</v>
      </c>
      <c r="H14" s="34" t="n">
        <f aca="false">INDEX(FieldSites!B$34:B$100, MATCH(FieldSites!C14, FieldSites!H$34:H$100,0))</f>
        <v>37.71609798</v>
      </c>
      <c r="I14" s="34" t="n">
        <v>10</v>
      </c>
      <c r="J14" s="34" t="n">
        <v>0</v>
      </c>
      <c r="K14" s="34" t="n">
        <v>0</v>
      </c>
      <c r="L14" s="34" t="n">
        <v>0</v>
      </c>
      <c r="M14" s="34" t="s">
        <v>782</v>
      </c>
      <c r="N14" s="34" t="s">
        <v>804</v>
      </c>
    </row>
    <row r="15" customFormat="false" ht="13.8" hidden="false" customHeight="false" outlineLevel="0" collapsed="false">
      <c r="A15" s="33" t="s">
        <v>805</v>
      </c>
      <c r="B15" s="33" t="s">
        <v>806</v>
      </c>
      <c r="C15" s="34" t="s">
        <v>411</v>
      </c>
      <c r="D15" s="34" t="s">
        <v>411</v>
      </c>
      <c r="E15" s="34" t="n">
        <v>4793</v>
      </c>
      <c r="F15" s="34" t="n">
        <f aca="false">INDEX(FieldSites!C$34:C$100, MATCH(FieldSites!C15, FieldSites!H$34:H$100,0))</f>
        <v>1238</v>
      </c>
      <c r="G15" s="34" t="n">
        <f aca="false">INDEX(FieldSites!A$34:A$100, MATCH(FieldSites!C15, FieldSites!H$34:H$100,0))</f>
        <v>-119.951305</v>
      </c>
      <c r="H15" s="34" t="n">
        <f aca="false">INDEX(FieldSites!B$34:B$100, MATCH(FieldSites!C15, FieldSites!H$34:H$100,0))</f>
        <v>37.85882</v>
      </c>
      <c r="I15" s="34" t="n">
        <v>0</v>
      </c>
      <c r="J15" s="34" t="n">
        <v>10</v>
      </c>
      <c r="K15" s="34" t="n">
        <v>0</v>
      </c>
      <c r="L15" s="34" t="n">
        <v>0</v>
      </c>
      <c r="M15" s="34" t="s">
        <v>782</v>
      </c>
      <c r="N15" s="34"/>
    </row>
    <row r="16" customFormat="false" ht="13.8" hidden="false" customHeight="false" outlineLevel="0" collapsed="false">
      <c r="A16" s="33" t="s">
        <v>807</v>
      </c>
      <c r="B16" s="33" t="s">
        <v>808</v>
      </c>
      <c r="C16" s="34" t="s">
        <v>429</v>
      </c>
      <c r="D16" s="34" t="s">
        <v>429</v>
      </c>
      <c r="E16" s="34" t="n">
        <v>2081</v>
      </c>
      <c r="F16" s="34" t="n">
        <f aca="false">INDEX(FieldSites!C$34:C$100, MATCH(FieldSites!C16, FieldSites!H$34:H$100,0))</f>
        <v>666</v>
      </c>
      <c r="G16" s="34" t="n">
        <f aca="false">INDEX(FieldSites!A$34:A$100, MATCH(FieldSites!C16, FieldSites!H$34:H$100,0))</f>
        <v>-119.99792</v>
      </c>
      <c r="H16" s="34" t="n">
        <f aca="false">INDEX(FieldSites!B$34:B$100, MATCH(FieldSites!C16, FieldSites!H$34:H$100,0))</f>
        <v>37.486337</v>
      </c>
      <c r="I16" s="34" t="n">
        <v>0</v>
      </c>
      <c r="J16" s="34" t="n">
        <v>0</v>
      </c>
      <c r="K16" s="34" t="n">
        <v>10</v>
      </c>
      <c r="L16" s="34" t="n">
        <v>0</v>
      </c>
      <c r="M16" s="34" t="s">
        <v>782</v>
      </c>
      <c r="N16" s="34"/>
    </row>
    <row r="17" customFormat="false" ht="13.8" hidden="false" customHeight="false" outlineLevel="0" collapsed="false">
      <c r="A17" s="33" t="s">
        <v>809</v>
      </c>
      <c r="B17" s="33" t="s">
        <v>775</v>
      </c>
      <c r="C17" s="34" t="s">
        <v>449</v>
      </c>
      <c r="D17" s="34" t="s">
        <v>449</v>
      </c>
      <c r="E17" s="34" t="n">
        <v>2772</v>
      </c>
      <c r="F17" s="34" t="n">
        <f aca="false">INDEX(FieldSites!C$34:C$100, MATCH(FieldSites!C17, FieldSites!H$34:H$100,0))</f>
        <v>875</v>
      </c>
      <c r="G17" s="34" t="n">
        <f aca="false">INDEX(FieldSites!A$34:A$100, MATCH(FieldSites!C17, FieldSites!H$34:H$100,0))</f>
        <v>-119.521415</v>
      </c>
      <c r="H17" s="34" t="n">
        <f aca="false">INDEX(FieldSites!B$34:B$100, MATCH(FieldSites!C17, FieldSites!H$34:H$100,0))</f>
        <v>37.257397</v>
      </c>
      <c r="I17" s="34" t="n">
        <v>7</v>
      </c>
      <c r="J17" s="34" t="n">
        <v>0</v>
      </c>
      <c r="K17" s="34" t="n">
        <v>11</v>
      </c>
      <c r="L17" s="34" t="n">
        <v>0</v>
      </c>
      <c r="M17" s="34" t="s">
        <v>88</v>
      </c>
      <c r="N17" s="34"/>
    </row>
    <row r="18" customFormat="false" ht="13.8" hidden="false" customHeight="false" outlineLevel="0" collapsed="false">
      <c r="A18" s="33" t="s">
        <v>810</v>
      </c>
      <c r="B18" s="33" t="s">
        <v>781</v>
      </c>
      <c r="C18" s="34" t="s">
        <v>512</v>
      </c>
      <c r="D18" s="34" t="s">
        <v>512</v>
      </c>
      <c r="E18" s="34" t="n">
        <v>4528</v>
      </c>
      <c r="F18" s="34" t="n">
        <f aca="false">INDEX(FieldSites!C$34:C$100, MATCH(FieldSites!C18, FieldSites!H$34:H$100,0))</f>
        <v>1380</v>
      </c>
      <c r="G18" s="34" t="n">
        <f aca="false">INDEX(FieldSites!A$34:A$100, MATCH(FieldSites!C18, FieldSites!H$34:H$100,0))</f>
        <v>-119.719077</v>
      </c>
      <c r="H18" s="34" t="n">
        <f aca="false">INDEX(FieldSites!B$34:B$100, MATCH(FieldSites!C18, FieldSites!H$34:H$100,0))</f>
        <v>37.723593</v>
      </c>
      <c r="I18" s="34" t="n">
        <v>11</v>
      </c>
      <c r="J18" s="34" t="n">
        <v>12</v>
      </c>
      <c r="K18" s="34" t="n">
        <v>0</v>
      </c>
      <c r="L18" s="34" t="n">
        <v>0</v>
      </c>
      <c r="M18" s="34" t="s">
        <v>88</v>
      </c>
      <c r="N18" s="34"/>
    </row>
    <row r="19" customFormat="false" ht="39.55" hidden="false" customHeight="false" outlineLevel="0" collapsed="false">
      <c r="A19" s="42" t="s">
        <v>811</v>
      </c>
      <c r="B19" s="42" t="s">
        <v>775</v>
      </c>
      <c r="C19" s="34" t="s">
        <v>489</v>
      </c>
      <c r="D19" s="34" t="s">
        <v>489</v>
      </c>
      <c r="E19" s="34" t="n">
        <v>3284</v>
      </c>
      <c r="F19" s="34" t="n">
        <f aca="false">INDEX(FieldSites!C$34:C$100, MATCH(FieldSites!C19, FieldSites!H$34:H$100,0))</f>
        <v>1037</v>
      </c>
      <c r="G19" s="34" t="n">
        <f aca="false">INDEX(FieldSites!A$34:A$100, MATCH(FieldSites!C19, FieldSites!H$34:H$100,0))</f>
        <v>-119.534709</v>
      </c>
      <c r="H19" s="34" t="n">
        <f aca="false">INDEX(FieldSites!B$34:B$100, MATCH(FieldSites!C19, FieldSites!H$34:H$100,0))</f>
        <v>37.288671</v>
      </c>
      <c r="I19" s="34" t="n">
        <v>0</v>
      </c>
      <c r="J19" s="34" t="n">
        <v>10</v>
      </c>
      <c r="K19" s="34" t="n">
        <v>0</v>
      </c>
      <c r="L19" s="34" t="n">
        <v>0</v>
      </c>
      <c r="M19" s="34" t="s">
        <v>782</v>
      </c>
      <c r="N19" s="34"/>
    </row>
    <row r="20" customFormat="false" ht="13.8" hidden="false" customHeight="false" outlineLevel="0" collapsed="false">
      <c r="A20" s="33" t="s">
        <v>812</v>
      </c>
      <c r="B20" s="33" t="s">
        <v>806</v>
      </c>
      <c r="C20" s="34" t="s">
        <v>559</v>
      </c>
      <c r="D20" s="34" t="s">
        <v>559</v>
      </c>
      <c r="E20" s="34" t="n">
        <v>5511</v>
      </c>
      <c r="F20" s="34" t="n">
        <f aca="false">INDEX(FieldSites!C$34:C$100, MATCH(FieldSites!C20, FieldSites!H$34:H$100,0))</f>
        <v>1679</v>
      </c>
      <c r="G20" s="34" t="n">
        <f aca="false">INDEX(FieldSites!A$34:A$100, MATCH(FieldSites!C20, FieldSites!H$34:H$100,0))</f>
        <v>-120.094614</v>
      </c>
      <c r="H20" s="34" t="n">
        <f aca="false">INDEX(FieldSites!B$34:B$100, MATCH(FieldSites!C20, FieldSites!H$34:H$100,0))</f>
        <v>38.136194</v>
      </c>
      <c r="I20" s="34" t="n">
        <v>0</v>
      </c>
      <c r="J20" s="34" t="n">
        <v>10</v>
      </c>
      <c r="K20" s="34" t="n">
        <v>0</v>
      </c>
      <c r="L20" s="34" t="n">
        <v>10</v>
      </c>
      <c r="M20" s="34" t="s">
        <v>88</v>
      </c>
      <c r="N20" s="34"/>
    </row>
    <row r="21" customFormat="false" ht="13.8" hidden="false" customHeight="false" outlineLevel="0" collapsed="false">
      <c r="A21" s="33" t="s">
        <v>813</v>
      </c>
      <c r="B21" s="33" t="s">
        <v>806</v>
      </c>
      <c r="C21" s="34" t="s">
        <v>586</v>
      </c>
      <c r="D21" s="34" t="s">
        <v>586</v>
      </c>
      <c r="E21" s="34" t="n">
        <v>6554</v>
      </c>
      <c r="F21" s="34" t="n">
        <f aca="false">INDEX(FieldSites!C$34:C$100, MATCH(FieldSites!C21, FieldSites!H$34:H$100,0))</f>
        <v>1997</v>
      </c>
      <c r="G21" s="34" t="n">
        <f aca="false">INDEX(FieldSites!A$34:A$100, MATCH(FieldSites!C21, FieldSites!H$34:H$100,0))</f>
        <v>-119.963252</v>
      </c>
      <c r="H21" s="34" t="n">
        <f aca="false">INDEX(FieldSites!B$34:B$100, MATCH(FieldSites!C21, FieldSites!H$34:H$100,0))</f>
        <v>38.183927</v>
      </c>
      <c r="I21" s="34" t="n">
        <v>0</v>
      </c>
      <c r="J21" s="34" t="n">
        <v>12</v>
      </c>
      <c r="K21" s="34" t="n">
        <v>0</v>
      </c>
      <c r="L21" s="34" t="n">
        <v>4</v>
      </c>
      <c r="M21" s="34" t="s">
        <v>88</v>
      </c>
      <c r="N21" s="34"/>
    </row>
    <row r="22" customFormat="false" ht="13.8" hidden="false" customHeight="false" outlineLevel="0" collapsed="false">
      <c r="A22" s="33" t="s">
        <v>814</v>
      </c>
      <c r="B22" s="33" t="s">
        <v>781</v>
      </c>
      <c r="C22" s="34" t="s">
        <v>635</v>
      </c>
      <c r="D22" s="34" t="s">
        <v>635</v>
      </c>
      <c r="E22" s="34" t="n">
        <v>4055</v>
      </c>
      <c r="F22" s="34" t="n">
        <f aca="false">INDEX(FieldSites!C$34:C$100, MATCH(FieldSites!C22, FieldSites!H$34:H$100,0))</f>
        <v>1235</v>
      </c>
      <c r="G22" s="34" t="n">
        <f aca="false">INDEX(FieldSites!A$34:A$100, MATCH(FieldSites!C22, FieldSites!H$34:H$100,0))</f>
        <v>-119.647878</v>
      </c>
      <c r="H22" s="34" t="n">
        <f aca="false">INDEX(FieldSites!B$34:B$100, MATCH(FieldSites!C22, FieldSites!H$34:H$100,0))</f>
        <v>37.543343</v>
      </c>
      <c r="I22" s="34" t="n">
        <v>0</v>
      </c>
      <c r="J22" s="34" t="n">
        <v>11</v>
      </c>
      <c r="K22" s="34" t="n">
        <v>0</v>
      </c>
      <c r="L22" s="34" t="n">
        <v>0</v>
      </c>
      <c r="M22" s="34" t="s">
        <v>782</v>
      </c>
      <c r="N22" s="34"/>
    </row>
    <row r="23" customFormat="false" ht="13.8" hidden="false" customHeight="false" outlineLevel="0" collapsed="false">
      <c r="A23" s="33" t="s">
        <v>815</v>
      </c>
      <c r="B23" s="33" t="s">
        <v>781</v>
      </c>
      <c r="C23" s="34" t="s">
        <v>654</v>
      </c>
      <c r="D23" s="34" t="s">
        <v>654</v>
      </c>
      <c r="E23" s="34" t="n">
        <v>7808</v>
      </c>
      <c r="F23" s="34" t="n">
        <f aca="false">INDEX(FieldSites!C$34:C$100, MATCH(FieldSites!C23, FieldSites!H$34:H$100,0))</f>
        <v>2399</v>
      </c>
      <c r="G23" s="34" t="n">
        <f aca="false">INDEX(FieldSites!A$34:A$100, MATCH(FieldSites!C23, FieldSites!H$34:H$100,0))</f>
        <v>-119.594572</v>
      </c>
      <c r="H23" s="34" t="n">
        <f aca="false">INDEX(FieldSites!B$34:B$100, MATCH(FieldSites!C23, FieldSites!H$34:H$100,0))</f>
        <v>37.842693</v>
      </c>
      <c r="I23" s="34" t="n">
        <v>7</v>
      </c>
      <c r="J23" s="34" t="n">
        <v>0</v>
      </c>
      <c r="K23" s="34" t="n">
        <v>0</v>
      </c>
      <c r="L23" s="34" t="n">
        <v>0</v>
      </c>
      <c r="M23" s="34" t="s">
        <v>782</v>
      </c>
      <c r="N23" s="34"/>
    </row>
    <row r="24" customFormat="false" ht="13.8" hidden="false" customHeight="false" outlineLevel="0" collapsed="false">
      <c r="A24" s="33" t="s">
        <v>816</v>
      </c>
      <c r="B24" s="33" t="s">
        <v>781</v>
      </c>
      <c r="C24" s="34" t="s">
        <v>674</v>
      </c>
      <c r="D24" s="34" t="s">
        <v>674</v>
      </c>
      <c r="E24" s="34" t="n">
        <v>8281</v>
      </c>
      <c r="F24" s="34" t="n">
        <f aca="false">INDEX(FieldSites!C$34:C$100, MATCH(FieldSites!C24, FieldSites!H$34:H$100,0))</f>
        <v>2348</v>
      </c>
      <c r="G24" s="34" t="n">
        <f aca="false">INDEX(FieldSites!A$34:A$100, MATCH(FieldSites!C24, FieldSites!H$34:H$100,0))</f>
        <v>-119.586129</v>
      </c>
      <c r="H24" s="34" t="n">
        <f aca="false">INDEX(FieldSites!B$34:B$100, MATCH(FieldSites!C24, FieldSites!H$34:H$100,0))</f>
        <v>37.847194</v>
      </c>
      <c r="I24" s="34" t="n">
        <v>9</v>
      </c>
      <c r="J24" s="34" t="n">
        <v>0</v>
      </c>
      <c r="K24" s="34" t="n">
        <v>0</v>
      </c>
      <c r="L24" s="34" t="n">
        <v>0</v>
      </c>
      <c r="M24" s="34" t="s">
        <v>782</v>
      </c>
      <c r="N24" s="34"/>
    </row>
    <row r="25" customFormat="false" ht="13.8" hidden="false" customHeight="false" outlineLevel="0" collapsed="false">
      <c r="A25" s="33" t="s">
        <v>817</v>
      </c>
      <c r="B25" s="33" t="s">
        <v>781</v>
      </c>
      <c r="C25" s="34" t="s">
        <v>688</v>
      </c>
      <c r="D25" s="34" t="s">
        <v>688</v>
      </c>
      <c r="E25" s="34" t="n">
        <v>7736</v>
      </c>
      <c r="F25" s="34" t="n">
        <f aca="false">INDEX(FieldSites!C$34:C$100, MATCH(FieldSites!C25, FieldSites!H$34:H$100,0))</f>
        <v>2357</v>
      </c>
      <c r="G25" s="34" t="n">
        <f aca="false">INDEX(FieldSites!A$34:A$100, MATCH(FieldSites!C25, FieldSites!H$34:H$100,0))</f>
        <v>-119.572754</v>
      </c>
      <c r="H25" s="34" t="n">
        <f aca="false">INDEX(FieldSites!B$34:B$100, MATCH(FieldSites!C25, FieldSites!H$34:H$100,0))</f>
        <v>37.843904</v>
      </c>
      <c r="I25" s="34" t="n">
        <v>10</v>
      </c>
      <c r="J25" s="34" t="n">
        <v>0</v>
      </c>
      <c r="K25" s="34" t="n">
        <v>0</v>
      </c>
      <c r="L25" s="34" t="n">
        <v>0</v>
      </c>
      <c r="M25" s="34" t="s">
        <v>782</v>
      </c>
      <c r="N25" s="34"/>
    </row>
    <row r="26" customFormat="false" ht="13.8" hidden="false" customHeight="false" outlineLevel="0" collapsed="false">
      <c r="A26" s="33" t="s">
        <v>818</v>
      </c>
      <c r="B26" s="33" t="s">
        <v>781</v>
      </c>
      <c r="C26" s="34" t="s">
        <v>705</v>
      </c>
      <c r="D26" s="34" t="s">
        <v>705</v>
      </c>
      <c r="E26" s="43" t="n">
        <v>8442</v>
      </c>
      <c r="F26" s="34" t="n">
        <f aca="false">INDEX(FieldSites!C$34:C$100, MATCH(FieldSites!C26, FieldSites!H$34:H$100,0))</f>
        <v>2572</v>
      </c>
      <c r="G26" s="34" t="n">
        <f aca="false">INDEX(FieldSites!A$34:A$100, MATCH(FieldSites!C26, FieldSites!H$34:H$100,0))</f>
        <v>-119.440369</v>
      </c>
      <c r="H26" s="34" t="n">
        <f aca="false">INDEX(FieldSites!B$34:B$100, MATCH(FieldSites!C26, FieldSites!H$34:H$100,0))</f>
        <v>37.853852</v>
      </c>
      <c r="I26" s="34" t="n">
        <v>10</v>
      </c>
      <c r="J26" s="34" t="n">
        <v>0</v>
      </c>
      <c r="K26" s="34" t="n">
        <v>0</v>
      </c>
      <c r="L26" s="34" t="n">
        <v>0</v>
      </c>
      <c r="M26" s="34" t="s">
        <v>782</v>
      </c>
      <c r="N26" s="34"/>
    </row>
    <row r="27" customFormat="false" ht="13.8" hidden="false" customHeight="false" outlineLevel="0" collapsed="false">
      <c r="A27" s="33" t="s">
        <v>819</v>
      </c>
      <c r="B27" s="33" t="s">
        <v>781</v>
      </c>
      <c r="C27" s="34" t="s">
        <v>721</v>
      </c>
      <c r="D27" s="34" t="s">
        <v>820</v>
      </c>
      <c r="E27" s="43" t="n">
        <v>8225</v>
      </c>
      <c r="F27" s="34" t="n">
        <f aca="false">INDEX(FieldSites!C$34:C$100, MATCH(FieldSites!C27, FieldSites!H$34:H$100,0))</f>
        <v>2506</v>
      </c>
      <c r="G27" s="34" t="n">
        <f aca="false">INDEX(FieldSites!A$34:A$100, MATCH(FieldSites!C27, FieldSites!H$34:H$100,0))</f>
        <v>-119.486313176147</v>
      </c>
      <c r="H27" s="34" t="n">
        <f aca="false">INDEX(FieldSites!B$34:B$100, MATCH(FieldSites!C27, FieldSites!H$34:H$100,0))</f>
        <v>37.8072315532725</v>
      </c>
      <c r="I27" s="34" t="n">
        <v>20</v>
      </c>
      <c r="J27" s="34" t="n">
        <v>0</v>
      </c>
      <c r="K27" s="34" t="n">
        <v>0</v>
      </c>
      <c r="L27" s="34" t="n">
        <v>0</v>
      </c>
      <c r="M27" s="34" t="s">
        <v>782</v>
      </c>
      <c r="N27" s="33"/>
    </row>
    <row r="28" customFormat="false" ht="13.8" hidden="false" customHeight="false" outlineLevel="0" collapsed="false"/>
    <row r="29" customFormat="false" ht="48.5" hidden="false" customHeight="true" outlineLevel="0" collapsed="false">
      <c r="B29" s="46" t="s">
        <v>926</v>
      </c>
      <c r="C29" s="46"/>
      <c r="D29" s="46"/>
      <c r="E29" s="46"/>
      <c r="F29" s="46"/>
      <c r="G29" s="46"/>
      <c r="H29" s="46"/>
      <c r="I29" s="46"/>
    </row>
  </sheetData>
  <mergeCells count="1">
    <mergeCell ref="B29:I2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&amp;C&amp;"Tinos,Regular"&amp;12&amp;Kffffff&amp;A</oddHeader>
    <oddFooter>&amp;C&amp;"Tinos,Regular"&amp;12&amp;KffffffPage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1" colorId="64" zoomScale="75" zoomScaleNormal="75" zoomScalePageLayoutView="100" workbookViewId="0">
      <selection pane="topLeft" activeCell="D98" activeCellId="0" sqref="D98"/>
    </sheetView>
  </sheetViews>
  <sheetFormatPr defaultColWidth="12.6328125" defaultRowHeight="14.25" customHeight="true" zeroHeight="false" outlineLevelRow="0" outlineLevelCol="0"/>
  <cols>
    <col collapsed="false" customWidth="true" hidden="false" outlineLevel="0" max="3" min="1" style="1" width="18.18"/>
    <col collapsed="false" customWidth="true" hidden="false" outlineLevel="0" max="26" min="4" style="1" width="8.63"/>
  </cols>
  <sheetData>
    <row r="1" customFormat="false" ht="14.25" hidden="false" customHeight="true" outlineLevel="0" collapsed="false">
      <c r="A1" s="47" t="s">
        <v>342</v>
      </c>
      <c r="B1" s="18" t="s">
        <v>927</v>
      </c>
      <c r="C1" s="18" t="n">
        <v>10</v>
      </c>
      <c r="D1" s="2" t="n">
        <f aca="false" t="array" ref="D1:D1">INDEX(FieldSites!E:E, MATCH(Sheet1!A1, FieldSites!C:C,0))</f>
        <v>3688</v>
      </c>
    </row>
    <row r="2" customFormat="false" ht="14.25" hidden="false" customHeight="true" outlineLevel="0" collapsed="false">
      <c r="A2" s="47" t="s">
        <v>342</v>
      </c>
      <c r="B2" s="18" t="s">
        <v>927</v>
      </c>
      <c r="C2" s="18" t="n">
        <v>5</v>
      </c>
      <c r="D2" s="2" t="n">
        <f aca="false" t="array" ref="D2:D2">INDEX(FieldSites!E:E, MATCH(Sheet1!A2, FieldSites!C:C,0))</f>
        <v>3688</v>
      </c>
    </row>
    <row r="3" customFormat="false" ht="14.25" hidden="false" customHeight="true" outlineLevel="0" collapsed="false">
      <c r="A3" s="47" t="s">
        <v>342</v>
      </c>
      <c r="B3" s="18" t="s">
        <v>782</v>
      </c>
      <c r="C3" s="18" t="n">
        <v>3</v>
      </c>
      <c r="D3" s="2" t="n">
        <f aca="false" t="array" ref="D3:D3">INDEX(FieldSites!E:E, MATCH(Sheet1!A3, FieldSites!C:C,0))</f>
        <v>3688</v>
      </c>
    </row>
    <row r="4" customFormat="false" ht="14.25" hidden="false" customHeight="true" outlineLevel="0" collapsed="false">
      <c r="A4" s="47" t="s">
        <v>302</v>
      </c>
      <c r="B4" s="18" t="s">
        <v>928</v>
      </c>
      <c r="C4" s="18" t="n">
        <v>2</v>
      </c>
      <c r="D4" s="2" t="n">
        <f aca="false" t="array" ref="D4:D4">INDEX(FieldSites!E:E, MATCH(Sheet1!A4, FieldSites!C:C,0))</f>
        <v>3967</v>
      </c>
    </row>
    <row r="5" customFormat="false" ht="14.25" hidden="false" customHeight="true" outlineLevel="0" collapsed="false">
      <c r="A5" s="48" t="s">
        <v>302</v>
      </c>
      <c r="B5" s="18" t="s">
        <v>928</v>
      </c>
      <c r="C5" s="18" t="n">
        <v>3</v>
      </c>
      <c r="D5" s="2" t="n">
        <f aca="false" t="array" ref="D5:D5">INDEX(FieldSites!E:E, MATCH(Sheet1!A5, FieldSites!C:C,0))</f>
        <v>3967</v>
      </c>
    </row>
    <row r="6" customFormat="false" ht="14.25" hidden="false" customHeight="true" outlineLevel="0" collapsed="false">
      <c r="A6" s="48" t="s">
        <v>302</v>
      </c>
      <c r="B6" s="18" t="s">
        <v>928</v>
      </c>
      <c r="C6" s="18" t="n">
        <v>6</v>
      </c>
      <c r="D6" s="2" t="n">
        <f aca="false" t="array" ref="D6:D6">INDEX(FieldSites!E:E, MATCH(Sheet1!A6, FieldSites!C:C,0))</f>
        <v>3967</v>
      </c>
    </row>
    <row r="7" customFormat="false" ht="14.25" hidden="false" customHeight="true" outlineLevel="0" collapsed="false">
      <c r="A7" s="48" t="s">
        <v>302</v>
      </c>
      <c r="B7" s="18" t="s">
        <v>928</v>
      </c>
      <c r="C7" s="18" t="n">
        <v>7</v>
      </c>
      <c r="D7" s="2" t="n">
        <f aca="false" t="array" ref="D7:D7">INDEX(FieldSites!E:E, MATCH(Sheet1!A7, FieldSites!C:C,0))</f>
        <v>3967</v>
      </c>
    </row>
    <row r="8" customFormat="false" ht="14.25" hidden="false" customHeight="true" outlineLevel="0" collapsed="false">
      <c r="A8" s="49" t="s">
        <v>302</v>
      </c>
      <c r="B8" s="18" t="s">
        <v>928</v>
      </c>
      <c r="C8" s="18" t="n">
        <v>8</v>
      </c>
      <c r="D8" s="2" t="n">
        <f aca="false" t="array" ref="D8:D8">INDEX(FieldSites!E:E, MATCH(Sheet1!A8, FieldSites!C:C,0))</f>
        <v>3967</v>
      </c>
    </row>
    <row r="9" customFormat="false" ht="14.25" hidden="false" customHeight="true" outlineLevel="0" collapsed="false">
      <c r="A9" s="49" t="s">
        <v>302</v>
      </c>
      <c r="B9" s="18" t="s">
        <v>928</v>
      </c>
      <c r="C9" s="18" t="n">
        <v>9</v>
      </c>
      <c r="D9" s="2" t="n">
        <f aca="false" t="array" ref="D9:D9">INDEX(FieldSites!E:E, MATCH(Sheet1!A9, FieldSites!C:C,0))</f>
        <v>3967</v>
      </c>
    </row>
    <row r="10" customFormat="false" ht="14.25" hidden="false" customHeight="true" outlineLevel="0" collapsed="false">
      <c r="A10" s="49" t="s">
        <v>302</v>
      </c>
      <c r="B10" s="18" t="s">
        <v>782</v>
      </c>
      <c r="C10" s="18" t="n">
        <v>2</v>
      </c>
      <c r="D10" s="2" t="n">
        <f aca="false" t="array" ref="D10:D10">INDEX(FieldSites!E:E, MATCH(Sheet1!A10, FieldSites!C:C,0))</f>
        <v>3967</v>
      </c>
    </row>
    <row r="11" customFormat="false" ht="14.25" hidden="false" customHeight="true" outlineLevel="0" collapsed="false">
      <c r="A11" s="49" t="s">
        <v>302</v>
      </c>
      <c r="B11" s="18" t="s">
        <v>782</v>
      </c>
      <c r="C11" s="18" t="n">
        <v>4</v>
      </c>
      <c r="D11" s="2" t="n">
        <f aca="false" t="array" ref="D11:D11">INDEX(FieldSites!E:E, MATCH(Sheet1!A11, FieldSites!C:C,0))</f>
        <v>3967</v>
      </c>
    </row>
    <row r="12" customFormat="false" ht="14.25" hidden="false" customHeight="true" outlineLevel="0" collapsed="false">
      <c r="A12" s="49" t="s">
        <v>302</v>
      </c>
      <c r="B12" s="18" t="s">
        <v>782</v>
      </c>
      <c r="C12" s="18" t="n">
        <v>5</v>
      </c>
      <c r="D12" s="2" t="n">
        <f aca="false" t="array" ref="D12:D12">INDEX(FieldSites!E:E, MATCH(Sheet1!A12, FieldSites!C:C,0))</f>
        <v>3967</v>
      </c>
    </row>
    <row r="13" customFormat="false" ht="14.25" hidden="false" customHeight="true" outlineLevel="0" collapsed="false">
      <c r="A13" s="48" t="s">
        <v>302</v>
      </c>
      <c r="B13" s="18" t="s">
        <v>782</v>
      </c>
      <c r="C13" s="18" t="n">
        <v>6</v>
      </c>
      <c r="D13" s="2" t="n">
        <f aca="false" t="array" ref="D13:D13">INDEX(FieldSites!E:E, MATCH(Sheet1!A13, FieldSites!C:C,0))</f>
        <v>3967</v>
      </c>
    </row>
    <row r="14" customFormat="false" ht="14.25" hidden="false" customHeight="true" outlineLevel="0" collapsed="false">
      <c r="A14" s="48" t="s">
        <v>302</v>
      </c>
      <c r="B14" s="18" t="s">
        <v>782</v>
      </c>
      <c r="C14" s="18" t="n">
        <v>8</v>
      </c>
      <c r="D14" s="2" t="n">
        <f aca="false" t="array" ref="D14:D14">INDEX(FieldSites!E:E, MATCH(Sheet1!A14, FieldSites!C:C,0))</f>
        <v>3967</v>
      </c>
    </row>
    <row r="15" customFormat="false" ht="14.25" hidden="false" customHeight="true" outlineLevel="0" collapsed="false">
      <c r="A15" s="48" t="s">
        <v>929</v>
      </c>
      <c r="B15" s="18"/>
      <c r="C15" s="18"/>
      <c r="D15" s="2" t="e">
        <f aca="false" t="array" ref="D15:D15">INDEX(FieldSites!E:E, MATCH(Sheet1!A15, FieldSites!C:C,0))</f>
        <v>#N/A</v>
      </c>
    </row>
    <row r="16" customFormat="false" ht="14.25" hidden="false" customHeight="true" outlineLevel="0" collapsed="false">
      <c r="A16" s="49" t="s">
        <v>930</v>
      </c>
      <c r="B16" s="18"/>
      <c r="C16" s="18"/>
      <c r="D16" s="2" t="e">
        <f aca="false" t="array" ref="D16:D16">INDEX(FieldSites!E:E, MATCH(Sheet1!A16, FieldSites!C:C,0))</f>
        <v>#N/A</v>
      </c>
    </row>
    <row r="17" customFormat="false" ht="14.25" hidden="false" customHeight="true" outlineLevel="0" collapsed="false">
      <c r="A17" s="50" t="s">
        <v>931</v>
      </c>
      <c r="B17" s="18"/>
      <c r="C17" s="18"/>
      <c r="D17" s="2" t="e">
        <f aca="false" t="array" ref="D17:D17">INDEX(FieldSites!E:E, MATCH(Sheet1!A17, FieldSites!C:C,0))</f>
        <v>#N/A</v>
      </c>
    </row>
    <row r="18" customFormat="false" ht="14.25" hidden="false" customHeight="true" outlineLevel="0" collapsed="false">
      <c r="A18" s="49" t="s">
        <v>932</v>
      </c>
      <c r="B18" s="18"/>
      <c r="C18" s="18"/>
      <c r="D18" s="2" t="e">
        <f aca="false" t="array" ref="D18:D18">INDEX(FieldSites!E:E, MATCH(Sheet1!A18, FieldSites!C:C,0))</f>
        <v>#N/A</v>
      </c>
    </row>
    <row r="19" customFormat="false" ht="14.25" hidden="false" customHeight="true" outlineLevel="0" collapsed="false">
      <c r="A19" s="49" t="s">
        <v>933</v>
      </c>
      <c r="B19" s="18"/>
      <c r="C19" s="18"/>
      <c r="D19" s="2" t="e">
        <f aca="false" t="array" ref="D19:D19">INDEX(FieldSites!E:E, MATCH(Sheet1!A19, FieldSites!C:C,0))</f>
        <v>#N/A</v>
      </c>
    </row>
    <row r="20" customFormat="false" ht="14.25" hidden="false" customHeight="true" outlineLevel="0" collapsed="false">
      <c r="A20" s="49" t="s">
        <v>586</v>
      </c>
      <c r="B20" s="18" t="s">
        <v>928</v>
      </c>
      <c r="C20" s="18" t="n">
        <v>4</v>
      </c>
      <c r="D20" s="2" t="n">
        <f aca="false" t="array" ref="D20:D20">INDEX(FieldSites!E:E, MATCH(Sheet1!A20, FieldSites!C:C,0))</f>
        <v>6554</v>
      </c>
    </row>
    <row r="21" customFormat="false" ht="14.25" hidden="false" customHeight="true" outlineLevel="0" collapsed="false">
      <c r="A21" s="48" t="s">
        <v>429</v>
      </c>
      <c r="B21" s="18" t="s">
        <v>782</v>
      </c>
      <c r="C21" s="18" t="n">
        <v>1</v>
      </c>
      <c r="D21" s="2" t="n">
        <f aca="false" t="array" ref="D21:D21">INDEX(FieldSites!E:E, MATCH(Sheet1!A21, FieldSites!C:C,0))</f>
        <v>2081</v>
      </c>
    </row>
    <row r="22" customFormat="false" ht="14.25" hidden="false" customHeight="true" outlineLevel="0" collapsed="false">
      <c r="A22" s="48" t="s">
        <v>429</v>
      </c>
      <c r="B22" s="18" t="s">
        <v>782</v>
      </c>
      <c r="C22" s="18" t="n">
        <v>1</v>
      </c>
      <c r="D22" s="2" t="n">
        <f aca="false" t="array" ref="D22:D22">INDEX(FieldSites!E:E, MATCH(Sheet1!A22, FieldSites!C:C,0))</f>
        <v>2081</v>
      </c>
    </row>
    <row r="23" customFormat="false" ht="14.25" hidden="false" customHeight="true" outlineLevel="0" collapsed="false">
      <c r="A23" s="48" t="s">
        <v>429</v>
      </c>
      <c r="B23" s="18" t="s">
        <v>782</v>
      </c>
      <c r="C23" s="18" t="n">
        <v>2</v>
      </c>
      <c r="D23" s="2" t="n">
        <f aca="false" t="array" ref="D23:D23">INDEX(FieldSites!E:E, MATCH(Sheet1!A23, FieldSites!C:C,0))</f>
        <v>2081</v>
      </c>
    </row>
    <row r="24" customFormat="false" ht="14.25" hidden="false" customHeight="true" outlineLevel="0" collapsed="false">
      <c r="A24" s="49" t="s">
        <v>429</v>
      </c>
      <c r="B24" s="18" t="s">
        <v>782</v>
      </c>
      <c r="C24" s="18" t="n">
        <v>3</v>
      </c>
      <c r="D24" s="2" t="n">
        <f aca="false" t="array" ref="D24:D24">INDEX(FieldSites!E:E, MATCH(Sheet1!A24, FieldSites!C:C,0))</f>
        <v>2081</v>
      </c>
    </row>
    <row r="25" customFormat="false" ht="14.25" hidden="false" customHeight="true" outlineLevel="0" collapsed="false">
      <c r="A25" s="48" t="s">
        <v>429</v>
      </c>
      <c r="B25" s="18" t="s">
        <v>782</v>
      </c>
      <c r="C25" s="18" t="n">
        <v>6</v>
      </c>
      <c r="D25" s="2" t="n">
        <f aca="false" t="array" ref="D25:D25">INDEX(FieldSites!E:E, MATCH(Sheet1!A25, FieldSites!C:C,0))</f>
        <v>2081</v>
      </c>
    </row>
    <row r="26" customFormat="false" ht="14.25" hidden="false" customHeight="true" outlineLevel="0" collapsed="false">
      <c r="A26" s="49" t="s">
        <v>429</v>
      </c>
      <c r="B26" s="18" t="s">
        <v>782</v>
      </c>
      <c r="C26" s="18" t="n">
        <v>7</v>
      </c>
      <c r="D26" s="2" t="n">
        <f aca="false" t="array" ref="D26:D26">INDEX(FieldSites!E:E, MATCH(Sheet1!A26, FieldSites!C:C,0))</f>
        <v>2081</v>
      </c>
    </row>
    <row r="27" customFormat="false" ht="14.25" hidden="false" customHeight="true" outlineLevel="0" collapsed="false">
      <c r="A27" s="49" t="s">
        <v>489</v>
      </c>
      <c r="B27" s="18" t="s">
        <v>928</v>
      </c>
      <c r="C27" s="18" t="n">
        <v>1</v>
      </c>
      <c r="D27" s="2" t="n">
        <f aca="false" t="array" ref="D27:D27">INDEX(FieldSites!E:E, MATCH(Sheet1!A27, FieldSites!C:C,0))</f>
        <v>3284</v>
      </c>
    </row>
    <row r="28" customFormat="false" ht="14.25" hidden="false" customHeight="true" outlineLevel="0" collapsed="false">
      <c r="A28" s="49" t="s">
        <v>489</v>
      </c>
      <c r="B28" s="18" t="s">
        <v>928</v>
      </c>
      <c r="C28" s="18" t="n">
        <v>10</v>
      </c>
      <c r="D28" s="2" t="n">
        <f aca="false" t="array" ref="D28:D28">INDEX(FieldSites!E:E, MATCH(Sheet1!A28, FieldSites!C:C,0))</f>
        <v>3284</v>
      </c>
    </row>
    <row r="29" customFormat="false" ht="14.25" hidden="false" customHeight="true" outlineLevel="0" collapsed="false">
      <c r="A29" s="48" t="s">
        <v>489</v>
      </c>
      <c r="B29" s="18" t="s">
        <v>928</v>
      </c>
      <c r="C29" s="18" t="n">
        <v>2</v>
      </c>
      <c r="D29" s="2" t="n">
        <f aca="false" t="array" ref="D29:D29">INDEX(FieldSites!E:E, MATCH(Sheet1!A29, FieldSites!C:C,0))</f>
        <v>3284</v>
      </c>
    </row>
    <row r="30" customFormat="false" ht="14.25" hidden="false" customHeight="true" outlineLevel="0" collapsed="false">
      <c r="A30" s="48" t="s">
        <v>489</v>
      </c>
      <c r="B30" s="18" t="s">
        <v>928</v>
      </c>
      <c r="C30" s="18" t="n">
        <v>2</v>
      </c>
      <c r="D30" s="2" t="n">
        <f aca="false" t="array" ref="D30:D30">INDEX(FieldSites!E:E, MATCH(Sheet1!A30, FieldSites!C:C,0))</f>
        <v>3284</v>
      </c>
    </row>
    <row r="31" customFormat="false" ht="14.25" hidden="false" customHeight="true" outlineLevel="0" collapsed="false">
      <c r="A31" s="48" t="s">
        <v>489</v>
      </c>
      <c r="B31" s="18" t="s">
        <v>928</v>
      </c>
      <c r="C31" s="18" t="n">
        <v>5</v>
      </c>
      <c r="D31" s="2" t="n">
        <f aca="false" t="array" ref="D31:D31">INDEX(FieldSites!E:E, MATCH(Sheet1!A31, FieldSites!C:C,0))</f>
        <v>3284</v>
      </c>
    </row>
    <row r="32" customFormat="false" ht="14.25" hidden="false" customHeight="true" outlineLevel="0" collapsed="false">
      <c r="A32" s="49" t="s">
        <v>489</v>
      </c>
      <c r="B32" s="18" t="s">
        <v>928</v>
      </c>
      <c r="C32" s="18" t="n">
        <v>6</v>
      </c>
      <c r="D32" s="2" t="n">
        <f aca="false" t="array" ref="D32:D32">INDEX(FieldSites!E:E, MATCH(Sheet1!A32, FieldSites!C:C,0))</f>
        <v>3284</v>
      </c>
    </row>
    <row r="33" customFormat="false" ht="14.25" hidden="false" customHeight="true" outlineLevel="0" collapsed="false">
      <c r="A33" s="49" t="s">
        <v>489</v>
      </c>
      <c r="B33" s="18" t="s">
        <v>928</v>
      </c>
      <c r="C33" s="18" t="n">
        <v>7</v>
      </c>
      <c r="D33" s="2" t="n">
        <f aca="false" t="array" ref="D33:D33">INDEX(FieldSites!E:E, MATCH(Sheet1!A33, FieldSites!C:C,0))</f>
        <v>3284</v>
      </c>
    </row>
    <row r="34" customFormat="false" ht="14.25" hidden="false" customHeight="true" outlineLevel="0" collapsed="false">
      <c r="A34" s="49" t="s">
        <v>259</v>
      </c>
      <c r="B34" s="18" t="s">
        <v>928</v>
      </c>
      <c r="C34" s="18" t="n">
        <v>10</v>
      </c>
      <c r="D34" s="2" t="n">
        <f aca="false" t="array" ref="D34:D34">INDEX(FieldSites!E:E, MATCH(Sheet1!A34, FieldSites!C:C,0))</f>
        <v>3934</v>
      </c>
    </row>
    <row r="35" customFormat="false" ht="14.25" hidden="false" customHeight="true" outlineLevel="0" collapsed="false">
      <c r="A35" s="49" t="s">
        <v>259</v>
      </c>
      <c r="B35" s="18" t="s">
        <v>928</v>
      </c>
      <c r="C35" s="18" t="n">
        <v>2</v>
      </c>
      <c r="D35" s="2" t="n">
        <f aca="false" t="array" ref="D35:D35">INDEX(FieldSites!E:E, MATCH(Sheet1!A35, FieldSites!C:C,0))</f>
        <v>3934</v>
      </c>
    </row>
    <row r="36" customFormat="false" ht="14.25" hidden="false" customHeight="true" outlineLevel="0" collapsed="false">
      <c r="A36" s="49" t="s">
        <v>259</v>
      </c>
      <c r="B36" s="18" t="s">
        <v>927</v>
      </c>
      <c r="C36" s="18" t="n">
        <v>10</v>
      </c>
      <c r="D36" s="2" t="n">
        <f aca="false" t="array" ref="D36:D36">INDEX(FieldSites!E:E, MATCH(Sheet1!A36, FieldSites!C:C,0))</f>
        <v>3934</v>
      </c>
    </row>
    <row r="37" customFormat="false" ht="14.25" hidden="false" customHeight="true" outlineLevel="0" collapsed="false">
      <c r="A37" s="49" t="s">
        <v>259</v>
      </c>
      <c r="B37" s="18" t="s">
        <v>927</v>
      </c>
      <c r="C37" s="18" t="n">
        <v>8</v>
      </c>
      <c r="D37" s="2" t="n">
        <f aca="false" t="array" ref="D37:D37">INDEX(FieldSites!E:E, MATCH(Sheet1!A37, FieldSites!C:C,0))</f>
        <v>3934</v>
      </c>
    </row>
    <row r="38" customFormat="false" ht="14.25" hidden="false" customHeight="true" outlineLevel="0" collapsed="false">
      <c r="A38" s="49" t="s">
        <v>148</v>
      </c>
      <c r="B38" s="18" t="s">
        <v>928</v>
      </c>
      <c r="C38" s="18" t="n">
        <v>112</v>
      </c>
      <c r="D38" s="2" t="n">
        <f aca="false" t="array" ref="D38:D38">INDEX(FieldSites!E:E, MATCH(Sheet1!A38, FieldSites!C:C,0))</f>
        <v>6033</v>
      </c>
    </row>
    <row r="39" customFormat="false" ht="14.25" hidden="false" customHeight="true" outlineLevel="0" collapsed="false">
      <c r="A39" s="49" t="s">
        <v>148</v>
      </c>
      <c r="B39" s="18" t="s">
        <v>928</v>
      </c>
      <c r="C39" s="18" t="n">
        <v>12</v>
      </c>
      <c r="D39" s="2" t="n">
        <f aca="false" t="array" ref="D39:D39">INDEX(FieldSites!E:E, MATCH(Sheet1!A39, FieldSites!C:C,0))</f>
        <v>6033</v>
      </c>
    </row>
    <row r="40" customFormat="false" ht="14.25" hidden="false" customHeight="true" outlineLevel="0" collapsed="false">
      <c r="A40" s="49" t="s">
        <v>148</v>
      </c>
      <c r="B40" s="18" t="s">
        <v>928</v>
      </c>
      <c r="C40" s="18" t="n">
        <v>22</v>
      </c>
      <c r="D40" s="2" t="n">
        <f aca="false" t="array" ref="D40:D40">INDEX(FieldSites!E:E, MATCH(Sheet1!A40, FieldSites!C:C,0))</f>
        <v>6033</v>
      </c>
    </row>
    <row r="41" customFormat="false" ht="14.25" hidden="false" customHeight="true" outlineLevel="0" collapsed="false">
      <c r="A41" s="49" t="s">
        <v>148</v>
      </c>
      <c r="B41" s="18" t="s">
        <v>928</v>
      </c>
      <c r="C41" s="18" t="n">
        <v>62</v>
      </c>
      <c r="D41" s="2" t="n">
        <f aca="false" t="array" ref="D41:D41">INDEX(FieldSites!E:E, MATCH(Sheet1!A41, FieldSites!C:C,0))</f>
        <v>6033</v>
      </c>
    </row>
    <row r="42" customFormat="false" ht="14.25" hidden="false" customHeight="true" outlineLevel="0" collapsed="false">
      <c r="A42" s="49" t="s">
        <v>148</v>
      </c>
      <c r="B42" s="18" t="s">
        <v>928</v>
      </c>
      <c r="C42" s="18" t="n">
        <v>92</v>
      </c>
      <c r="D42" s="2" t="n">
        <f aca="false" t="array" ref="D42:D42">INDEX(FieldSites!E:E, MATCH(Sheet1!A42, FieldSites!C:C,0))</f>
        <v>6033</v>
      </c>
    </row>
    <row r="43" customFormat="false" ht="14.25" hidden="false" customHeight="true" outlineLevel="0" collapsed="false">
      <c r="A43" s="49" t="s">
        <v>705</v>
      </c>
      <c r="B43" s="18" t="s">
        <v>927</v>
      </c>
      <c r="C43" s="18" t="n">
        <v>10</v>
      </c>
      <c r="D43" s="51" t="n">
        <f aca="false" t="array" ref="D43:D43">INDEX(FieldSites!E:E, MATCH(Sheet1!A43, FieldSites!C:C,0))</f>
        <v>8442</v>
      </c>
    </row>
    <row r="44" customFormat="false" ht="14.25" hidden="false" customHeight="true" outlineLevel="0" collapsed="false">
      <c r="A44" s="49" t="s">
        <v>705</v>
      </c>
      <c r="B44" s="18" t="s">
        <v>927</v>
      </c>
      <c r="C44" s="18" t="n">
        <v>5</v>
      </c>
      <c r="D44" s="51" t="n">
        <f aca="false" t="array" ref="D44:D44">INDEX(FieldSites!E:E, MATCH(Sheet1!A44, FieldSites!C:C,0))</f>
        <v>8442</v>
      </c>
    </row>
    <row r="45" customFormat="false" ht="14.25" hidden="false" customHeight="true" outlineLevel="0" collapsed="false">
      <c r="A45" s="49" t="s">
        <v>705</v>
      </c>
      <c r="B45" s="18" t="s">
        <v>927</v>
      </c>
      <c r="C45" s="18" t="n">
        <v>9</v>
      </c>
      <c r="D45" s="51" t="n">
        <f aca="false" t="array" ref="D45:D45">INDEX(FieldSites!E:E, MATCH(Sheet1!A45, FieldSites!C:C,0))</f>
        <v>8442</v>
      </c>
    </row>
    <row r="46" customFormat="false" ht="14.25" hidden="false" customHeight="true" outlineLevel="0" collapsed="false">
      <c r="A46" s="49" t="s">
        <v>449</v>
      </c>
      <c r="B46" s="18" t="s">
        <v>927</v>
      </c>
      <c r="C46" s="18" t="n">
        <v>10</v>
      </c>
      <c r="D46" s="2" t="n">
        <f aca="false" t="array" ref="D46:D46">INDEX(FieldSites!E:E, MATCH(Sheet1!A46, FieldSites!C:C,0))</f>
        <v>2772</v>
      </c>
    </row>
    <row r="47" customFormat="false" ht="14.25" hidden="false" customHeight="true" outlineLevel="0" collapsed="false">
      <c r="A47" s="49" t="s">
        <v>449</v>
      </c>
      <c r="B47" s="18" t="s">
        <v>927</v>
      </c>
      <c r="C47" s="18" t="n">
        <v>6</v>
      </c>
      <c r="D47" s="2" t="n">
        <f aca="false" t="array" ref="D47:D47">INDEX(FieldSites!E:E, MATCH(Sheet1!A47, FieldSites!C:C,0))</f>
        <v>2772</v>
      </c>
    </row>
    <row r="48" customFormat="false" ht="14.25" hidden="false" customHeight="true" outlineLevel="0" collapsed="false">
      <c r="A48" s="49" t="s">
        <v>449</v>
      </c>
      <c r="B48" s="18" t="s">
        <v>782</v>
      </c>
      <c r="C48" s="18" t="n">
        <v>10</v>
      </c>
      <c r="D48" s="2" t="n">
        <f aca="false" t="array" ref="D48:D48">INDEX(FieldSites!E:E, MATCH(Sheet1!A48, FieldSites!C:C,0))</f>
        <v>2772</v>
      </c>
    </row>
    <row r="49" customFormat="false" ht="14.25" hidden="false" customHeight="true" outlineLevel="0" collapsed="false">
      <c r="A49" s="49" t="s">
        <v>449</v>
      </c>
      <c r="B49" s="18" t="s">
        <v>782</v>
      </c>
      <c r="C49" s="18" t="n">
        <v>2</v>
      </c>
      <c r="D49" s="2" t="n">
        <f aca="false" t="array" ref="D49:D49">INDEX(FieldSites!E:E, MATCH(Sheet1!A49, FieldSites!C:C,0))</f>
        <v>2772</v>
      </c>
    </row>
    <row r="50" customFormat="false" ht="14.25" hidden="false" customHeight="true" outlineLevel="0" collapsed="false">
      <c r="A50" s="52" t="s">
        <v>449</v>
      </c>
      <c r="B50" s="24" t="s">
        <v>782</v>
      </c>
      <c r="C50" s="24" t="n">
        <v>3</v>
      </c>
      <c r="D50" s="2" t="n">
        <f aca="false" t="array" ref="D50:D50">INDEX(FieldSites!E:E, MATCH(Sheet1!A50, FieldSites!C:C,0))</f>
        <v>2772</v>
      </c>
    </row>
    <row r="51" customFormat="false" ht="14.25" hidden="false" customHeight="true" outlineLevel="0" collapsed="false">
      <c r="A51" s="49" t="s">
        <v>449</v>
      </c>
      <c r="B51" s="18" t="s">
        <v>782</v>
      </c>
      <c r="C51" s="18" t="n">
        <v>6</v>
      </c>
      <c r="D51" s="2" t="n">
        <f aca="false" t="array" ref="D51:D51">INDEX(FieldSites!E:E, MATCH(Sheet1!A51, FieldSites!C:C,0))</f>
        <v>2772</v>
      </c>
    </row>
    <row r="52" customFormat="false" ht="14.25" hidden="false" customHeight="true" outlineLevel="0" collapsed="false">
      <c r="A52" s="49" t="s">
        <v>449</v>
      </c>
      <c r="B52" s="18" t="s">
        <v>782</v>
      </c>
      <c r="C52" s="18" t="n">
        <v>8</v>
      </c>
      <c r="D52" s="2" t="n">
        <f aca="false" t="array" ref="D52:D52">INDEX(FieldSites!E:E, MATCH(Sheet1!A52, FieldSites!C:C,0))</f>
        <v>2772</v>
      </c>
    </row>
    <row r="53" customFormat="false" ht="14.25" hidden="false" customHeight="true" outlineLevel="0" collapsed="false">
      <c r="A53" s="49" t="s">
        <v>721</v>
      </c>
      <c r="B53" s="18" t="s">
        <v>927</v>
      </c>
      <c r="C53" s="18" t="n">
        <v>103</v>
      </c>
      <c r="D53" s="51" t="n">
        <f aca="false" t="array" ref="D53:D53">INDEX(FieldSites!E:E, MATCH(Sheet1!A53, FieldSites!C:C,0))</f>
        <v>8225</v>
      </c>
    </row>
    <row r="54" customFormat="false" ht="14.25" hidden="false" customHeight="true" outlineLevel="0" collapsed="false">
      <c r="A54" s="49" t="s">
        <v>721</v>
      </c>
      <c r="B54" s="18" t="s">
        <v>927</v>
      </c>
      <c r="C54" s="18" t="n">
        <v>104</v>
      </c>
      <c r="D54" s="51" t="n">
        <f aca="false" t="array" ref="D54:D54">INDEX(FieldSites!E:E, MATCH(Sheet1!A54, FieldSites!C:C,0))</f>
        <v>8225</v>
      </c>
    </row>
    <row r="55" customFormat="false" ht="14.25" hidden="false" customHeight="true" outlineLevel="0" collapsed="false">
      <c r="A55" s="49" t="s">
        <v>721</v>
      </c>
      <c r="B55" s="18" t="s">
        <v>927</v>
      </c>
      <c r="C55" s="18" t="n">
        <v>105</v>
      </c>
      <c r="D55" s="51" t="n">
        <f aca="false" t="array" ref="D55:D55">INDEX(FieldSites!E:E, MATCH(Sheet1!A55, FieldSites!C:C,0))</f>
        <v>8225</v>
      </c>
    </row>
    <row r="56" customFormat="false" ht="14.25" hidden="false" customHeight="true" outlineLevel="0" collapsed="false">
      <c r="A56" s="49" t="s">
        <v>654</v>
      </c>
      <c r="B56" s="18" t="s">
        <v>927</v>
      </c>
      <c r="C56" s="18" t="n">
        <v>1</v>
      </c>
      <c r="D56" s="2" t="n">
        <f aca="false" t="array" ref="D56:D56">INDEX(FieldSites!E:E, MATCH(Sheet1!A56, FieldSites!C:C,0))</f>
        <v>7808</v>
      </c>
    </row>
    <row r="57" customFormat="false" ht="14.25" hidden="false" customHeight="true" outlineLevel="0" collapsed="false">
      <c r="A57" s="49" t="s">
        <v>934</v>
      </c>
      <c r="B57" s="18"/>
      <c r="C57" s="18"/>
      <c r="D57" s="2" t="e">
        <f aca="false" t="array" ref="D57:D57">INDEX(FieldSites!E:E, MATCH(Sheet1!A57, FieldSites!C:C,0))</f>
        <v>#N/A</v>
      </c>
    </row>
    <row r="58" customFormat="false" ht="14.25" hidden="false" customHeight="true" outlineLevel="0" collapsed="false">
      <c r="A58" s="49" t="s">
        <v>935</v>
      </c>
      <c r="B58" s="18"/>
      <c r="C58" s="18"/>
      <c r="D58" s="2" t="e">
        <f aca="false" t="array" ref="D58:D58">INDEX(FieldSites!E:E, MATCH(Sheet1!A58, FieldSites!C:C,0))</f>
        <v>#N/A</v>
      </c>
    </row>
    <row r="59" customFormat="false" ht="14.25" hidden="false" customHeight="true" outlineLevel="0" collapsed="false">
      <c r="A59" s="49" t="s">
        <v>559</v>
      </c>
      <c r="B59" s="18" t="s">
        <v>928</v>
      </c>
      <c r="C59" s="18" t="n">
        <v>10</v>
      </c>
      <c r="D59" s="2" t="n">
        <f aca="false" t="array" ref="D59:D59">INDEX(FieldSites!E:E, MATCH(Sheet1!A59, FieldSites!C:C,0))</f>
        <v>5511</v>
      </c>
    </row>
    <row r="60" customFormat="false" ht="14.25" hidden="false" customHeight="true" outlineLevel="0" collapsed="false">
      <c r="A60" s="49" t="s">
        <v>559</v>
      </c>
      <c r="B60" s="18" t="s">
        <v>928</v>
      </c>
      <c r="C60" s="18" t="n">
        <v>2</v>
      </c>
      <c r="D60" s="2" t="n">
        <f aca="false" t="array" ref="D60:D60">INDEX(FieldSites!E:E, MATCH(Sheet1!A60, FieldSites!C:C,0))</f>
        <v>5511</v>
      </c>
    </row>
    <row r="61" customFormat="false" ht="14.25" hidden="false" customHeight="true" outlineLevel="0" collapsed="false">
      <c r="A61" s="49" t="s">
        <v>559</v>
      </c>
      <c r="B61" s="18" t="s">
        <v>928</v>
      </c>
      <c r="C61" s="18" t="n">
        <v>3</v>
      </c>
      <c r="D61" s="2" t="n">
        <f aca="false" t="array" ref="D61:D61">INDEX(FieldSites!E:E, MATCH(Sheet1!A61, FieldSites!C:C,0))</f>
        <v>5511</v>
      </c>
    </row>
    <row r="62" customFormat="false" ht="14.25" hidden="false" customHeight="true" outlineLevel="0" collapsed="false">
      <c r="A62" s="49" t="s">
        <v>559</v>
      </c>
      <c r="B62" s="18" t="s">
        <v>928</v>
      </c>
      <c r="C62" s="18" t="n">
        <v>5</v>
      </c>
      <c r="D62" s="2" t="n">
        <f aca="false" t="array" ref="D62:D62">INDEX(FieldSites!E:E, MATCH(Sheet1!A62, FieldSites!C:C,0))</f>
        <v>5511</v>
      </c>
    </row>
    <row r="63" customFormat="false" ht="14.25" hidden="false" customHeight="true" outlineLevel="0" collapsed="false">
      <c r="A63" s="49" t="s">
        <v>559</v>
      </c>
      <c r="B63" s="2" t="s">
        <v>928</v>
      </c>
      <c r="C63" s="2" t="n">
        <v>8</v>
      </c>
      <c r="D63" s="2" t="n">
        <f aca="false" t="array" ref="D63:D63">INDEX(FieldSites!E:E, MATCH(Sheet1!A63, FieldSites!C:C,0))</f>
        <v>5511</v>
      </c>
    </row>
    <row r="64" customFormat="false" ht="14.25" hidden="false" customHeight="true" outlineLevel="0" collapsed="false">
      <c r="A64" s="49" t="s">
        <v>559</v>
      </c>
      <c r="B64" s="18" t="s">
        <v>928</v>
      </c>
      <c r="C64" s="18" t="n">
        <v>9</v>
      </c>
      <c r="D64" s="2" t="n">
        <f aca="false" t="array" ref="D64:D64">INDEX(FieldSites!E:E, MATCH(Sheet1!A64, FieldSites!C:C,0))</f>
        <v>5511</v>
      </c>
    </row>
    <row r="65" customFormat="false" ht="14.25" hidden="false" customHeight="true" outlineLevel="0" collapsed="false">
      <c r="A65" s="49" t="s">
        <v>674</v>
      </c>
      <c r="B65" s="18" t="s">
        <v>927</v>
      </c>
      <c r="C65" s="18" t="n">
        <v>1</v>
      </c>
      <c r="D65" s="2" t="n">
        <f aca="false" t="array" ref="D65:D65">INDEX(FieldSites!E:E, MATCH(Sheet1!A65, FieldSites!C:C,0))</f>
        <v>8281</v>
      </c>
    </row>
    <row r="66" customFormat="false" ht="14.25" hidden="false" customHeight="true" outlineLevel="0" collapsed="false">
      <c r="A66" s="49" t="s">
        <v>674</v>
      </c>
      <c r="B66" s="18" t="s">
        <v>927</v>
      </c>
      <c r="C66" s="18" t="n">
        <v>2</v>
      </c>
      <c r="D66" s="2" t="n">
        <f aca="false" t="array" ref="D66:D66">INDEX(FieldSites!E:E, MATCH(Sheet1!A66, FieldSites!C:C,0))</f>
        <v>8281</v>
      </c>
    </row>
    <row r="67" customFormat="false" ht="14.25" hidden="false" customHeight="true" outlineLevel="0" collapsed="false">
      <c r="A67" s="49" t="s">
        <v>674</v>
      </c>
      <c r="B67" s="18" t="s">
        <v>927</v>
      </c>
      <c r="C67" s="18" t="n">
        <v>3</v>
      </c>
      <c r="D67" s="2" t="n">
        <f aca="false" t="array" ref="D67:D67">INDEX(FieldSites!E:E, MATCH(Sheet1!A67, FieldSites!C:C,0))</f>
        <v>8281</v>
      </c>
    </row>
    <row r="68" customFormat="false" ht="14.25" hidden="false" customHeight="true" outlineLevel="0" collapsed="false">
      <c r="A68" s="49" t="s">
        <v>674</v>
      </c>
      <c r="B68" s="18" t="s">
        <v>927</v>
      </c>
      <c r="C68" s="18" t="n">
        <v>5</v>
      </c>
      <c r="D68" s="2" t="n">
        <f aca="false" t="array" ref="D68:D68">INDEX(FieldSites!E:E, MATCH(Sheet1!A68, FieldSites!C:C,0))</f>
        <v>8281</v>
      </c>
    </row>
    <row r="69" customFormat="false" ht="14.25" hidden="false" customHeight="true" outlineLevel="0" collapsed="false">
      <c r="A69" s="49" t="s">
        <v>674</v>
      </c>
      <c r="B69" s="18" t="s">
        <v>927</v>
      </c>
      <c r="C69" s="18" t="n">
        <v>6</v>
      </c>
      <c r="D69" s="2" t="n">
        <f aca="false" t="array" ref="D69:D69">INDEX(FieldSites!E:E, MATCH(Sheet1!A69, FieldSites!C:C,0))</f>
        <v>8281</v>
      </c>
    </row>
    <row r="70" customFormat="false" ht="14.25" hidden="false" customHeight="true" outlineLevel="0" collapsed="false">
      <c r="A70" s="49" t="s">
        <v>674</v>
      </c>
      <c r="B70" s="18" t="s">
        <v>927</v>
      </c>
      <c r="C70" s="18" t="n">
        <v>7</v>
      </c>
      <c r="D70" s="2" t="n">
        <f aca="false" t="array" ref="D70:D70">INDEX(FieldSites!E:E, MATCH(Sheet1!A70, FieldSites!C:C,0))</f>
        <v>8281</v>
      </c>
    </row>
    <row r="71" customFormat="false" ht="14.25" hidden="false" customHeight="true" outlineLevel="0" collapsed="false">
      <c r="A71" s="49" t="s">
        <v>674</v>
      </c>
      <c r="B71" s="18" t="s">
        <v>927</v>
      </c>
      <c r="C71" s="18" t="n">
        <v>9</v>
      </c>
      <c r="D71" s="2" t="n">
        <f aca="false" t="array" ref="D71:D71">INDEX(FieldSites!E:E, MATCH(Sheet1!A71, FieldSites!C:C,0))</f>
        <v>8281</v>
      </c>
    </row>
    <row r="72" customFormat="false" ht="14.25" hidden="false" customHeight="true" outlineLevel="0" collapsed="false">
      <c r="A72" s="49" t="s">
        <v>389</v>
      </c>
      <c r="B72" s="18" t="s">
        <v>927</v>
      </c>
      <c r="C72" s="18" t="n">
        <v>1</v>
      </c>
      <c r="D72" s="2" t="n">
        <f aca="false" t="array" ref="D72:D72">INDEX(FieldSites!E:E, MATCH(Sheet1!A72, FieldSites!C:C,0))</f>
        <v>4875</v>
      </c>
    </row>
    <row r="73" customFormat="false" ht="14.25" hidden="false" customHeight="true" outlineLevel="0" collapsed="false">
      <c r="A73" s="49" t="s">
        <v>389</v>
      </c>
      <c r="B73" s="18" t="s">
        <v>927</v>
      </c>
      <c r="C73" s="18" t="n">
        <v>3</v>
      </c>
      <c r="D73" s="2" t="n">
        <f aca="false" t="array" ref="D73:D73">INDEX(FieldSites!E:E, MATCH(Sheet1!A73, FieldSites!C:C,0))</f>
        <v>4875</v>
      </c>
    </row>
    <row r="74" customFormat="false" ht="14.25" hidden="false" customHeight="true" outlineLevel="0" collapsed="false">
      <c r="A74" s="49" t="s">
        <v>389</v>
      </c>
      <c r="B74" s="18" t="s">
        <v>927</v>
      </c>
      <c r="C74" s="18" t="n">
        <v>4</v>
      </c>
      <c r="D74" s="2" t="n">
        <f aca="false" t="array" ref="D74:D74">INDEX(FieldSites!E:E, MATCH(Sheet1!A74, FieldSites!C:C,0))</f>
        <v>4875</v>
      </c>
    </row>
    <row r="75" customFormat="false" ht="14.25" hidden="false" customHeight="true" outlineLevel="0" collapsed="false">
      <c r="A75" s="49" t="s">
        <v>389</v>
      </c>
      <c r="B75" s="18" t="s">
        <v>927</v>
      </c>
      <c r="C75" s="18" t="n">
        <v>5</v>
      </c>
      <c r="D75" s="2" t="n">
        <f aca="false" t="array" ref="D75:D75">INDEX(FieldSites!E:E, MATCH(Sheet1!A75, FieldSites!C:C,0))</f>
        <v>4875</v>
      </c>
    </row>
    <row r="76" customFormat="false" ht="14.25" hidden="false" customHeight="true" outlineLevel="0" collapsed="false">
      <c r="A76" s="49" t="s">
        <v>389</v>
      </c>
      <c r="B76" s="18" t="s">
        <v>927</v>
      </c>
      <c r="C76" s="18" t="n">
        <v>6</v>
      </c>
      <c r="D76" s="2" t="n">
        <f aca="false" t="array" ref="D76:D76">INDEX(FieldSites!E:E, MATCH(Sheet1!A76, FieldSites!C:C,0))</f>
        <v>4875</v>
      </c>
    </row>
    <row r="77" customFormat="false" ht="14.25" hidden="false" customHeight="true" outlineLevel="0" collapsed="false">
      <c r="A77" s="49" t="s">
        <v>411</v>
      </c>
      <c r="B77" s="18" t="s">
        <v>928</v>
      </c>
      <c r="C77" s="18" t="n">
        <v>1</v>
      </c>
      <c r="D77" s="2" t="n">
        <f aca="false" t="array" ref="D77:D77">INDEX(FieldSites!E:E, MATCH(Sheet1!A77, FieldSites!C:C,0))</f>
        <v>4793</v>
      </c>
    </row>
    <row r="78" customFormat="false" ht="14.25" hidden="false" customHeight="true" outlineLevel="0" collapsed="false">
      <c r="A78" s="49" t="s">
        <v>411</v>
      </c>
      <c r="B78" s="18" t="s">
        <v>928</v>
      </c>
      <c r="C78" s="18" t="n">
        <v>2</v>
      </c>
      <c r="D78" s="2" t="n">
        <f aca="false" t="array" ref="D78:D78">INDEX(FieldSites!E:E, MATCH(Sheet1!A78, FieldSites!C:C,0))</f>
        <v>4793</v>
      </c>
    </row>
    <row r="79" customFormat="false" ht="14.25" hidden="false" customHeight="true" outlineLevel="0" collapsed="false">
      <c r="A79" s="49" t="s">
        <v>411</v>
      </c>
      <c r="B79" s="18" t="s">
        <v>928</v>
      </c>
      <c r="C79" s="18" t="n">
        <v>6</v>
      </c>
      <c r="D79" s="2" t="n">
        <f aca="false" t="array" ref="D79:D79">INDEX(FieldSites!E:E, MATCH(Sheet1!A79, FieldSites!C:C,0))</f>
        <v>4793</v>
      </c>
    </row>
    <row r="80" customFormat="false" ht="14.25" hidden="false" customHeight="true" outlineLevel="0" collapsed="false">
      <c r="A80" s="49" t="s">
        <v>411</v>
      </c>
      <c r="B80" s="18" t="s">
        <v>928</v>
      </c>
      <c r="C80" s="18" t="n">
        <v>9</v>
      </c>
      <c r="D80" s="2" t="n">
        <f aca="false" t="array" ref="D80:D80">INDEX(FieldSites!E:E, MATCH(Sheet1!A80, FieldSites!C:C,0))</f>
        <v>4793</v>
      </c>
    </row>
    <row r="81" customFormat="false" ht="14.25" hidden="false" customHeight="true" outlineLevel="0" collapsed="false">
      <c r="A81" s="49" t="s">
        <v>512</v>
      </c>
      <c r="B81" s="18" t="s">
        <v>928</v>
      </c>
      <c r="C81" s="18" t="n">
        <v>12</v>
      </c>
      <c r="D81" s="2" t="n">
        <f aca="false" t="array" ref="D81:D81">INDEX(FieldSites!E:E, MATCH(Sheet1!A81, FieldSites!C:C,0))</f>
        <v>4528</v>
      </c>
    </row>
    <row r="82" customFormat="false" ht="14.25" hidden="false" customHeight="true" outlineLevel="0" collapsed="false">
      <c r="A82" s="49" t="s">
        <v>512</v>
      </c>
      <c r="B82" s="18" t="s">
        <v>928</v>
      </c>
      <c r="C82" s="18" t="n">
        <v>4</v>
      </c>
      <c r="D82" s="2" t="n">
        <f aca="false" t="array" ref="D82:D82">INDEX(FieldSites!E:E, MATCH(Sheet1!A82, FieldSites!C:C,0))</f>
        <v>4528</v>
      </c>
    </row>
    <row r="83" customFormat="false" ht="14.25" hidden="false" customHeight="true" outlineLevel="0" collapsed="false">
      <c r="A83" s="49" t="s">
        <v>512</v>
      </c>
      <c r="B83" s="18" t="s">
        <v>928</v>
      </c>
      <c r="C83" s="18" t="n">
        <v>6</v>
      </c>
      <c r="D83" s="2" t="n">
        <f aca="false" t="array" ref="D83:D83">INDEX(FieldSites!E:E, MATCH(Sheet1!A83, FieldSites!C:C,0))</f>
        <v>4528</v>
      </c>
    </row>
    <row r="84" customFormat="false" ht="14.25" hidden="false" customHeight="true" outlineLevel="0" collapsed="false">
      <c r="A84" s="49" t="s">
        <v>512</v>
      </c>
      <c r="B84" s="18" t="s">
        <v>928</v>
      </c>
      <c r="C84" s="18" t="n">
        <v>8</v>
      </c>
      <c r="D84" s="2" t="n">
        <f aca="false" t="array" ref="D84:D84">INDEX(FieldSites!E:E, MATCH(Sheet1!A84, FieldSites!C:C,0))</f>
        <v>4528</v>
      </c>
    </row>
    <row r="85" customFormat="false" ht="14.25" hidden="false" customHeight="true" outlineLevel="0" collapsed="false">
      <c r="A85" s="49" t="s">
        <v>512</v>
      </c>
      <c r="B85" s="18" t="s">
        <v>928</v>
      </c>
      <c r="C85" s="18" t="n">
        <v>9</v>
      </c>
      <c r="D85" s="2" t="n">
        <f aca="false" t="array" ref="D85:D85">INDEX(FieldSites!E:E, MATCH(Sheet1!A85, FieldSites!C:C,0))</f>
        <v>4528</v>
      </c>
    </row>
    <row r="86" customFormat="false" ht="14.25" hidden="false" customHeight="true" outlineLevel="0" collapsed="false">
      <c r="A86" s="49" t="s">
        <v>512</v>
      </c>
      <c r="B86" s="18" t="s">
        <v>927</v>
      </c>
      <c r="C86" s="18" t="n">
        <v>1</v>
      </c>
      <c r="D86" s="2" t="n">
        <f aca="false" t="array" ref="D86:D86">INDEX(FieldSites!E:E, MATCH(Sheet1!A86, FieldSites!C:C,0))</f>
        <v>4528</v>
      </c>
    </row>
    <row r="87" customFormat="false" ht="14.25" hidden="false" customHeight="true" outlineLevel="0" collapsed="false">
      <c r="A87" s="49" t="s">
        <v>512</v>
      </c>
      <c r="B87" s="18" t="s">
        <v>927</v>
      </c>
      <c r="C87" s="18" t="n">
        <v>7</v>
      </c>
      <c r="D87" s="2" t="n">
        <f aca="false" t="array" ref="D87:D87">INDEX(FieldSites!E:E, MATCH(Sheet1!A87, FieldSites!C:C,0))</f>
        <v>4528</v>
      </c>
    </row>
    <row r="88" customFormat="false" ht="14.25" hidden="false" customHeight="true" outlineLevel="0" collapsed="false">
      <c r="A88" s="49" t="s">
        <v>512</v>
      </c>
      <c r="B88" s="18" t="s">
        <v>927</v>
      </c>
      <c r="C88" s="18" t="n">
        <v>9</v>
      </c>
      <c r="D88" s="2" t="n">
        <f aca="false" t="array" ref="D88:D88">INDEX(FieldSites!E:E, MATCH(Sheet1!A88, FieldSites!C:C,0))</f>
        <v>4528</v>
      </c>
    </row>
    <row r="89" customFormat="false" ht="14.25" hidden="false" customHeight="true" outlineLevel="0" collapsed="false">
      <c r="A89" s="48" t="s">
        <v>635</v>
      </c>
      <c r="B89" s="18" t="s">
        <v>928</v>
      </c>
      <c r="C89" s="18" t="n">
        <v>10</v>
      </c>
      <c r="D89" s="2" t="n">
        <f aca="false" t="array" ref="D89:D89">INDEX(FieldSites!E:E, MATCH(Sheet1!A89, FieldSites!C:C,0))</f>
        <v>4055</v>
      </c>
    </row>
    <row r="90" customFormat="false" ht="14.25" hidden="false" customHeight="true" outlineLevel="0" collapsed="false">
      <c r="A90" s="48" t="s">
        <v>635</v>
      </c>
      <c r="B90" s="18" t="s">
        <v>928</v>
      </c>
      <c r="C90" s="18" t="n">
        <v>2</v>
      </c>
      <c r="D90" s="2" t="n">
        <f aca="false" t="array" ref="D90:D90">INDEX(FieldSites!E:E, MATCH(Sheet1!A90, FieldSites!C:C,0))</f>
        <v>4055</v>
      </c>
    </row>
    <row r="91" customFormat="false" ht="14.25" hidden="false" customHeight="true" outlineLevel="0" collapsed="false">
      <c r="A91" s="48" t="s">
        <v>635</v>
      </c>
      <c r="B91" s="18" t="s">
        <v>928</v>
      </c>
      <c r="C91" s="18" t="n">
        <v>3</v>
      </c>
      <c r="D91" s="2" t="n">
        <f aca="false" t="array" ref="D91:D91">INDEX(FieldSites!E:E, MATCH(Sheet1!A91, FieldSites!C:C,0))</f>
        <v>4055</v>
      </c>
    </row>
    <row r="92" customFormat="false" ht="14.25" hidden="false" customHeight="true" outlineLevel="0" collapsed="false">
      <c r="A92" s="48" t="s">
        <v>635</v>
      </c>
      <c r="B92" s="18" t="s">
        <v>928</v>
      </c>
      <c r="C92" s="18" t="n">
        <v>4</v>
      </c>
      <c r="D92" s="2" t="n">
        <f aca="false" t="array" ref="D92:D92">INDEX(FieldSites!E:E, MATCH(Sheet1!A92, FieldSites!C:C,0))</f>
        <v>4055</v>
      </c>
    </row>
    <row r="93" customFormat="false" ht="14.25" hidden="false" customHeight="true" outlineLevel="0" collapsed="false">
      <c r="A93" s="48" t="s">
        <v>635</v>
      </c>
      <c r="B93" s="18" t="s">
        <v>928</v>
      </c>
      <c r="C93" s="18" t="n">
        <v>5</v>
      </c>
      <c r="D93" s="2" t="n">
        <f aca="false" t="array" ref="D93:D93">INDEX(FieldSites!E:E, MATCH(Sheet1!A93, FieldSites!C:C,0))</f>
        <v>4055</v>
      </c>
    </row>
    <row r="94" customFormat="false" ht="14.25" hidden="false" customHeight="true" outlineLevel="0" collapsed="false">
      <c r="A94" s="49" t="s">
        <v>635</v>
      </c>
      <c r="B94" s="18" t="s">
        <v>928</v>
      </c>
      <c r="C94" s="18" t="n">
        <v>5</v>
      </c>
      <c r="D94" s="2" t="n">
        <f aca="false" t="array" ref="D94:D94">INDEX(FieldSites!E:E, MATCH(Sheet1!A94, FieldSites!C:C,0))</f>
        <v>4055</v>
      </c>
    </row>
    <row r="95" customFormat="false" ht="14.25" hidden="false" customHeight="true" outlineLevel="0" collapsed="false">
      <c r="A95" s="49" t="s">
        <v>635</v>
      </c>
      <c r="B95" s="18" t="s">
        <v>928</v>
      </c>
      <c r="C95" s="18" t="n">
        <v>7</v>
      </c>
      <c r="D95" s="2" t="n">
        <f aca="false" t="array" ref="D95:D95">INDEX(FieldSites!E:E, MATCH(Sheet1!A95, FieldSites!C:C,0))</f>
        <v>4055</v>
      </c>
    </row>
    <row r="96" customFormat="false" ht="14.25" hidden="false" customHeight="true" outlineLevel="0" collapsed="false">
      <c r="A96" s="49" t="s">
        <v>635</v>
      </c>
      <c r="B96" s="18" t="s">
        <v>928</v>
      </c>
      <c r="C96" s="18" t="n">
        <v>8</v>
      </c>
      <c r="D96" s="2" t="n">
        <f aca="false" t="array" ref="D96:D96">INDEX(FieldSites!E:E, MATCH(Sheet1!A96, FieldSites!C:C,0))</f>
        <v>4055</v>
      </c>
    </row>
    <row r="97" customFormat="false" ht="14.25" hidden="false" customHeight="true" outlineLevel="0" collapsed="false">
      <c r="A97" s="18"/>
    </row>
    <row r="98" customFormat="false" ht="14.25" hidden="false" customHeight="true" outlineLevel="0" collapsed="false">
      <c r="A98" s="2" t="s">
        <v>342</v>
      </c>
      <c r="D98" s="2" t="n">
        <f aca="false" t="array" ref="D98:D98">INDEX(FieldSites!E:E, MATCH(Sheet1!A98, FieldSites!C:C,0))</f>
        <v>3688</v>
      </c>
      <c r="G98" s="53" t="s">
        <v>429</v>
      </c>
      <c r="H98" s="53" t="n">
        <v>2081</v>
      </c>
    </row>
    <row r="99" customFormat="false" ht="14.25" hidden="false" customHeight="true" outlineLevel="0" collapsed="false">
      <c r="A99" s="2" t="s">
        <v>302</v>
      </c>
      <c r="D99" s="2" t="n">
        <f aca="false" t="array" ref="D99:D99">INDEX(FieldSites!E:E, MATCH(Sheet1!A99, FieldSites!C:C,0))</f>
        <v>3967</v>
      </c>
      <c r="G99" s="53" t="s">
        <v>449</v>
      </c>
      <c r="H99" s="53" t="n">
        <v>2772</v>
      </c>
    </row>
    <row r="100" customFormat="false" ht="14.25" hidden="false" customHeight="true" outlineLevel="0" collapsed="false">
      <c r="A100" s="2" t="s">
        <v>586</v>
      </c>
      <c r="D100" s="2" t="n">
        <f aca="false" t="array" ref="D100:D100">INDEX(FieldSites!E:E, MATCH(Sheet1!A100, FieldSites!C:C,0))</f>
        <v>6554</v>
      </c>
      <c r="G100" s="53" t="s">
        <v>489</v>
      </c>
      <c r="H100" s="53" t="n">
        <v>3284</v>
      </c>
    </row>
    <row r="101" customFormat="false" ht="14.25" hidden="false" customHeight="true" outlineLevel="0" collapsed="false">
      <c r="A101" s="2" t="s">
        <v>429</v>
      </c>
      <c r="D101" s="2" t="n">
        <f aca="false" t="array" ref="D101:D101">INDEX(FieldSites!E:E, MATCH(Sheet1!A101, FieldSites!C:C,0))</f>
        <v>2081</v>
      </c>
      <c r="G101" s="53" t="s">
        <v>342</v>
      </c>
      <c r="H101" s="53" t="n">
        <v>3688</v>
      </c>
    </row>
    <row r="102" customFormat="false" ht="14.25" hidden="false" customHeight="true" outlineLevel="0" collapsed="false">
      <c r="A102" s="2" t="s">
        <v>489</v>
      </c>
      <c r="D102" s="2" t="n">
        <f aca="false" t="array" ref="D102:D102">INDEX(FieldSites!E:E, MATCH(Sheet1!A102, FieldSites!C:C,0))</f>
        <v>3284</v>
      </c>
      <c r="G102" s="53" t="s">
        <v>259</v>
      </c>
      <c r="H102" s="53" t="n">
        <v>3934</v>
      </c>
    </row>
    <row r="103" customFormat="false" ht="14.25" hidden="false" customHeight="true" outlineLevel="0" collapsed="false">
      <c r="A103" s="2" t="s">
        <v>259</v>
      </c>
      <c r="D103" s="2" t="n">
        <f aca="false" t="array" ref="D103:D103">INDEX(FieldSites!E:E, MATCH(Sheet1!A103, FieldSites!C:C,0))</f>
        <v>3934</v>
      </c>
      <c r="G103" s="53" t="s">
        <v>302</v>
      </c>
      <c r="H103" s="53" t="n">
        <v>3967</v>
      </c>
    </row>
    <row r="104" customFormat="false" ht="14.25" hidden="false" customHeight="true" outlineLevel="0" collapsed="false">
      <c r="A104" s="2" t="s">
        <v>148</v>
      </c>
      <c r="D104" s="2" t="n">
        <f aca="false" t="array" ref="D104:D104">INDEX(FieldSites!E:E, MATCH(Sheet1!A104, FieldSites!C:C,0))</f>
        <v>6033</v>
      </c>
      <c r="G104" s="53" t="s">
        <v>635</v>
      </c>
      <c r="H104" s="53" t="n">
        <v>4055</v>
      </c>
    </row>
    <row r="105" customFormat="false" ht="14.25" hidden="false" customHeight="true" outlineLevel="0" collapsed="false">
      <c r="A105" s="2" t="s">
        <v>705</v>
      </c>
      <c r="D105" s="51" t="n">
        <f aca="false" t="array" ref="D105:D105">INDEX(FieldSites!E:E, MATCH(Sheet1!A105, FieldSites!C:C,0))</f>
        <v>8442</v>
      </c>
      <c r="G105" s="53" t="s">
        <v>512</v>
      </c>
      <c r="H105" s="53" t="n">
        <v>4528</v>
      </c>
    </row>
    <row r="106" customFormat="false" ht="14.25" hidden="false" customHeight="true" outlineLevel="0" collapsed="false">
      <c r="A106" s="2" t="s">
        <v>449</v>
      </c>
      <c r="D106" s="2" t="n">
        <f aca="false" t="array" ref="D106:D106">INDEX(FieldSites!E:E, MATCH(Sheet1!A106, FieldSites!C:C,0))</f>
        <v>2772</v>
      </c>
      <c r="G106" s="53" t="s">
        <v>411</v>
      </c>
      <c r="H106" s="53" t="n">
        <v>4793</v>
      </c>
    </row>
    <row r="107" customFormat="false" ht="14.25" hidden="false" customHeight="true" outlineLevel="0" collapsed="false">
      <c r="A107" s="2" t="s">
        <v>721</v>
      </c>
      <c r="D107" s="51" t="n">
        <f aca="false" t="array" ref="D107:D107">INDEX(FieldSites!E:E, MATCH(Sheet1!A107, FieldSites!C:C,0))</f>
        <v>8225</v>
      </c>
      <c r="G107" s="53" t="s">
        <v>389</v>
      </c>
      <c r="H107" s="53" t="n">
        <v>4875</v>
      </c>
    </row>
    <row r="108" customFormat="false" ht="14.25" hidden="false" customHeight="true" outlineLevel="0" collapsed="false">
      <c r="A108" s="2" t="s">
        <v>654</v>
      </c>
      <c r="D108" s="2" t="n">
        <f aca="false" t="array" ref="D108:D108">INDEX(FieldSites!E:E, MATCH(Sheet1!A108, FieldSites!C:C,0))</f>
        <v>7808</v>
      </c>
      <c r="G108" s="53" t="s">
        <v>559</v>
      </c>
      <c r="H108" s="53" t="n">
        <v>5511</v>
      </c>
    </row>
    <row r="109" customFormat="false" ht="14.25" hidden="false" customHeight="true" outlineLevel="0" collapsed="false">
      <c r="A109" s="2" t="s">
        <v>559</v>
      </c>
      <c r="D109" s="2" t="n">
        <f aca="false" t="array" ref="D109:D109">INDEX(FieldSites!E:E, MATCH(Sheet1!A109, FieldSites!C:C,0))</f>
        <v>5511</v>
      </c>
      <c r="G109" s="53" t="s">
        <v>148</v>
      </c>
      <c r="H109" s="53" t="n">
        <v>6033</v>
      </c>
    </row>
    <row r="110" customFormat="false" ht="14.25" hidden="false" customHeight="true" outlineLevel="0" collapsed="false">
      <c r="A110" s="18" t="s">
        <v>674</v>
      </c>
      <c r="D110" s="2" t="n">
        <f aca="false" t="array" ref="D110:D110">INDEX(FieldSites!E:E, MATCH(Sheet1!A110, FieldSites!C:C,0))</f>
        <v>8281</v>
      </c>
      <c r="G110" s="53" t="s">
        <v>586</v>
      </c>
      <c r="H110" s="53" t="n">
        <v>6554</v>
      </c>
    </row>
    <row r="111" customFormat="false" ht="14.25" hidden="false" customHeight="true" outlineLevel="0" collapsed="false">
      <c r="A111" s="18" t="s">
        <v>389</v>
      </c>
      <c r="D111" s="2" t="n">
        <f aca="false" t="array" ref="D111:D111">INDEX(FieldSites!E:E, MATCH(Sheet1!A111, FieldSites!C:C,0))</f>
        <v>4875</v>
      </c>
      <c r="G111" s="53" t="s">
        <v>654</v>
      </c>
      <c r="H111" s="53" t="n">
        <v>7808</v>
      </c>
    </row>
    <row r="112" customFormat="false" ht="14.25" hidden="false" customHeight="true" outlineLevel="0" collapsed="false">
      <c r="A112" s="18" t="s">
        <v>411</v>
      </c>
      <c r="D112" s="2" t="n">
        <f aca="false" t="array" ref="D112:D112">INDEX(FieldSites!E:E, MATCH(Sheet1!A112, FieldSites!C:C,0))</f>
        <v>4793</v>
      </c>
      <c r="G112" s="53" t="s">
        <v>721</v>
      </c>
      <c r="H112" s="53" t="n">
        <v>8225</v>
      </c>
    </row>
    <row r="113" customFormat="false" ht="14.25" hidden="false" customHeight="true" outlineLevel="0" collapsed="false">
      <c r="A113" s="18" t="s">
        <v>512</v>
      </c>
      <c r="D113" s="2" t="n">
        <f aca="false" t="array" ref="D113:D113">INDEX(FieldSites!E:E, MATCH(Sheet1!A113, FieldSites!C:C,0))</f>
        <v>4528</v>
      </c>
      <c r="G113" s="53" t="s">
        <v>674</v>
      </c>
      <c r="H113" s="53" t="n">
        <v>8281</v>
      </c>
    </row>
    <row r="114" customFormat="false" ht="14.25" hidden="false" customHeight="true" outlineLevel="0" collapsed="false">
      <c r="A114" s="18" t="s">
        <v>635</v>
      </c>
      <c r="D114" s="2" t="n">
        <f aca="false" t="array" ref="D114:D114">INDEX(FieldSites!E:E, MATCH(Sheet1!A114, FieldSites!C:C,0))</f>
        <v>4055</v>
      </c>
      <c r="G114" s="53" t="s">
        <v>705</v>
      </c>
      <c r="H114" s="53" t="n">
        <v>8442</v>
      </c>
    </row>
    <row r="115" customFormat="false" ht="14.25" hidden="false" customHeight="true" outlineLevel="0" collapsed="false">
      <c r="A115" s="18"/>
    </row>
    <row r="116" customFormat="false" ht="14.25" hidden="false" customHeight="true" outlineLevel="0" collapsed="false">
      <c r="A116" s="18"/>
    </row>
    <row r="117" customFormat="false" ht="14.25" hidden="false" customHeight="true" outlineLevel="0" collapsed="false">
      <c r="A117" s="18"/>
    </row>
    <row r="118" customFormat="false" ht="14.25" hidden="false" customHeight="true" outlineLevel="0" collapsed="false">
      <c r="A118" s="18"/>
    </row>
    <row r="119" customFormat="false" ht="14.25" hidden="false" customHeight="true" outlineLevel="0" collapsed="false">
      <c r="A119" s="18"/>
    </row>
    <row r="120" customFormat="false" ht="14.25" hidden="false" customHeight="true" outlineLevel="0" collapsed="false">
      <c r="A120" s="18"/>
    </row>
    <row r="121" customFormat="false" ht="14.25" hidden="false" customHeight="true" outlineLevel="0" collapsed="false">
      <c r="A121" s="18"/>
    </row>
    <row r="122" customFormat="false" ht="14.25" hidden="false" customHeight="true" outlineLevel="0" collapsed="false">
      <c r="A122" s="18"/>
    </row>
    <row r="123" customFormat="false" ht="14.25" hidden="false" customHeight="true" outlineLevel="0" collapsed="false">
      <c r="A123" s="18"/>
    </row>
    <row r="124" customFormat="false" ht="14.25" hidden="false" customHeight="true" outlineLevel="0" collapsed="false">
      <c r="A124" s="18"/>
    </row>
    <row r="125" customFormat="false" ht="14.25" hidden="false" customHeight="true" outlineLevel="0" collapsed="false">
      <c r="A125" s="18"/>
    </row>
    <row r="126" customFormat="false" ht="14.25" hidden="false" customHeight="true" outlineLevel="0" collapsed="false">
      <c r="A126" s="18"/>
    </row>
    <row r="127" customFormat="false" ht="14.25" hidden="false" customHeight="true" outlineLevel="0" collapsed="false">
      <c r="A127" s="18"/>
    </row>
    <row r="128" customFormat="false" ht="14.25" hidden="false" customHeight="true" outlineLevel="0" collapsed="false">
      <c r="A128" s="18"/>
    </row>
    <row r="129" customFormat="false" ht="14.25" hidden="false" customHeight="true" outlineLevel="0" collapsed="false">
      <c r="A129" s="18"/>
    </row>
    <row r="130" customFormat="false" ht="14.25" hidden="false" customHeight="true" outlineLevel="0" collapsed="false">
      <c r="A130" s="18"/>
    </row>
    <row r="131" customFormat="false" ht="14.25" hidden="false" customHeight="true" outlineLevel="0" collapsed="false">
      <c r="A131" s="18"/>
    </row>
    <row r="132" customFormat="false" ht="14.25" hidden="false" customHeight="true" outlineLevel="0" collapsed="false">
      <c r="A132" s="18"/>
    </row>
    <row r="133" customFormat="false" ht="14.25" hidden="false" customHeight="true" outlineLevel="0" collapsed="false">
      <c r="A133" s="18"/>
    </row>
    <row r="134" customFormat="false" ht="14.25" hidden="false" customHeight="true" outlineLevel="0" collapsed="false">
      <c r="A134" s="18"/>
    </row>
    <row r="135" customFormat="false" ht="14.25" hidden="false" customHeight="true" outlineLevel="0" collapsed="false">
      <c r="A135" s="18"/>
    </row>
    <row r="136" customFormat="false" ht="14.25" hidden="false" customHeight="true" outlineLevel="0" collapsed="false">
      <c r="A136" s="18"/>
    </row>
    <row r="137" customFormat="false" ht="14.25" hidden="false" customHeight="true" outlineLevel="0" collapsed="false">
      <c r="A137" s="18"/>
    </row>
    <row r="138" customFormat="false" ht="14.25" hidden="false" customHeight="true" outlineLevel="0" collapsed="false">
      <c r="A138" s="18"/>
    </row>
    <row r="139" customFormat="false" ht="14.25" hidden="false" customHeight="true" outlineLevel="0" collapsed="false">
      <c r="A139" s="18"/>
    </row>
    <row r="140" customFormat="false" ht="14.25" hidden="false" customHeight="true" outlineLevel="0" collapsed="false">
      <c r="A140" s="18"/>
    </row>
    <row r="141" customFormat="false" ht="14.25" hidden="false" customHeight="true" outlineLevel="0" collapsed="false">
      <c r="A141" s="18"/>
    </row>
    <row r="142" customFormat="false" ht="14.25" hidden="false" customHeight="true" outlineLevel="0" collapsed="false">
      <c r="A142" s="18"/>
    </row>
    <row r="143" customFormat="false" ht="14.25" hidden="false" customHeight="true" outlineLevel="0" collapsed="false">
      <c r="A143" s="18"/>
    </row>
    <row r="144" customFormat="false" ht="14.25" hidden="false" customHeight="true" outlineLevel="0" collapsed="false">
      <c r="A144" s="18"/>
    </row>
    <row r="145" customFormat="false" ht="14.25" hidden="false" customHeight="true" outlineLevel="0" collapsed="false">
      <c r="A145" s="18"/>
    </row>
    <row r="146" customFormat="false" ht="14.25" hidden="false" customHeight="true" outlineLevel="0" collapsed="false">
      <c r="A146" s="18"/>
    </row>
    <row r="147" customFormat="false" ht="14.25" hidden="false" customHeight="true" outlineLevel="0" collapsed="false">
      <c r="A147" s="18"/>
    </row>
    <row r="148" customFormat="false" ht="14.25" hidden="false" customHeight="true" outlineLevel="0" collapsed="false">
      <c r="A148" s="18"/>
    </row>
    <row r="149" customFormat="false" ht="14.25" hidden="false" customHeight="true" outlineLevel="0" collapsed="false">
      <c r="A149" s="18"/>
    </row>
    <row r="150" customFormat="false" ht="14.25" hidden="false" customHeight="true" outlineLevel="0" collapsed="false">
      <c r="A150" s="18"/>
    </row>
    <row r="151" customFormat="false" ht="14.25" hidden="false" customHeight="true" outlineLevel="0" collapsed="false">
      <c r="A151" s="18"/>
    </row>
    <row r="152" customFormat="false" ht="14.25" hidden="false" customHeight="true" outlineLevel="0" collapsed="false">
      <c r="A152" s="18"/>
    </row>
    <row r="153" customFormat="false" ht="14.25" hidden="false" customHeight="true" outlineLevel="0" collapsed="false">
      <c r="A153" s="18"/>
    </row>
    <row r="154" customFormat="false" ht="14.25" hidden="false" customHeight="true" outlineLevel="0" collapsed="false">
      <c r="A154" s="18"/>
    </row>
    <row r="155" customFormat="false" ht="14.25" hidden="false" customHeight="true" outlineLevel="0" collapsed="false">
      <c r="A155" s="18"/>
    </row>
    <row r="156" customFormat="false" ht="14.25" hidden="false" customHeight="true" outlineLevel="0" collapsed="false">
      <c r="A156" s="18"/>
    </row>
    <row r="157" customFormat="false" ht="14.25" hidden="false" customHeight="true" outlineLevel="0" collapsed="false">
      <c r="A157" s="18"/>
    </row>
    <row r="158" customFormat="false" ht="14.25" hidden="false" customHeight="true" outlineLevel="0" collapsed="false">
      <c r="A158" s="18"/>
    </row>
    <row r="159" customFormat="false" ht="14.25" hidden="false" customHeight="true" outlineLevel="0" collapsed="false">
      <c r="A159" s="18"/>
    </row>
    <row r="160" customFormat="false" ht="14.25" hidden="false" customHeight="true" outlineLevel="0" collapsed="false">
      <c r="A160" s="18"/>
    </row>
    <row r="161" customFormat="false" ht="14.25" hidden="false" customHeight="true" outlineLevel="0" collapsed="false">
      <c r="A161" s="18"/>
    </row>
    <row r="162" customFormat="false" ht="14.25" hidden="false" customHeight="true" outlineLevel="0" collapsed="false">
      <c r="A162" s="18"/>
    </row>
    <row r="163" customFormat="false" ht="14.25" hidden="false" customHeight="true" outlineLevel="0" collapsed="false">
      <c r="A163" s="18"/>
    </row>
    <row r="164" customFormat="false" ht="14.25" hidden="false" customHeight="true" outlineLevel="0" collapsed="false">
      <c r="A164" s="18"/>
    </row>
    <row r="165" customFormat="false" ht="14.25" hidden="false" customHeight="true" outlineLevel="0" collapsed="false">
      <c r="A165" s="18"/>
    </row>
    <row r="166" customFormat="false" ht="14.25" hidden="false" customHeight="true" outlineLevel="0" collapsed="false">
      <c r="A166" s="18"/>
    </row>
    <row r="167" customFormat="false" ht="14.25" hidden="false" customHeight="true" outlineLevel="0" collapsed="false">
      <c r="A167" s="18"/>
    </row>
    <row r="168" customFormat="false" ht="14.25" hidden="false" customHeight="true" outlineLevel="0" collapsed="false">
      <c r="A168" s="18"/>
    </row>
    <row r="169" customFormat="false" ht="14.25" hidden="false" customHeight="true" outlineLevel="0" collapsed="false">
      <c r="A169" s="18"/>
    </row>
    <row r="170" customFormat="false" ht="14.25" hidden="false" customHeight="true" outlineLevel="0" collapsed="false">
      <c r="A170" s="18"/>
    </row>
    <row r="171" customFormat="false" ht="14.25" hidden="false" customHeight="true" outlineLevel="0" collapsed="false">
      <c r="A171" s="18"/>
    </row>
    <row r="172" customFormat="false" ht="14.25" hidden="false" customHeight="true" outlineLevel="0" collapsed="false">
      <c r="A172" s="18"/>
    </row>
    <row r="173" customFormat="false" ht="14.25" hidden="false" customHeight="true" outlineLevel="0" collapsed="false">
      <c r="A173" s="18"/>
    </row>
    <row r="174" customFormat="false" ht="14.25" hidden="false" customHeight="true" outlineLevel="0" collapsed="false">
      <c r="A174" s="18"/>
    </row>
    <row r="175" customFormat="false" ht="14.25" hidden="false" customHeight="true" outlineLevel="0" collapsed="false">
      <c r="A175" s="18"/>
    </row>
    <row r="176" customFormat="false" ht="14.25" hidden="false" customHeight="true" outlineLevel="0" collapsed="false">
      <c r="A176" s="18"/>
    </row>
    <row r="177" customFormat="false" ht="14.25" hidden="false" customHeight="true" outlineLevel="0" collapsed="false">
      <c r="A177" s="18"/>
    </row>
    <row r="178" customFormat="false" ht="14.25" hidden="false" customHeight="true" outlineLevel="0" collapsed="false">
      <c r="A178" s="18"/>
    </row>
    <row r="179" customFormat="false" ht="14.25" hidden="false" customHeight="true" outlineLevel="0" collapsed="false">
      <c r="A179" s="18"/>
    </row>
    <row r="180" customFormat="false" ht="14.25" hidden="false" customHeight="true" outlineLevel="0" collapsed="false">
      <c r="A180" s="18"/>
    </row>
    <row r="181" customFormat="false" ht="14.25" hidden="false" customHeight="true" outlineLevel="0" collapsed="false">
      <c r="A181" s="18"/>
    </row>
    <row r="182" customFormat="false" ht="14.25" hidden="false" customHeight="true" outlineLevel="0" collapsed="false">
      <c r="A182" s="18"/>
    </row>
    <row r="183" customFormat="false" ht="14.25" hidden="false" customHeight="true" outlineLevel="0" collapsed="false">
      <c r="A183" s="18"/>
    </row>
    <row r="184" customFormat="false" ht="14.25" hidden="false" customHeight="true" outlineLevel="0" collapsed="false">
      <c r="A184" s="18"/>
    </row>
    <row r="185" customFormat="false" ht="14.25" hidden="false" customHeight="true" outlineLevel="0" collapsed="false">
      <c r="A185" s="18"/>
    </row>
    <row r="186" customFormat="false" ht="14.25" hidden="false" customHeight="true" outlineLevel="0" collapsed="false">
      <c r="A186" s="18"/>
    </row>
    <row r="187" customFormat="false" ht="14.25" hidden="false" customHeight="true" outlineLevel="0" collapsed="false">
      <c r="A187" s="18"/>
    </row>
    <row r="188" customFormat="false" ht="14.25" hidden="false" customHeight="true" outlineLevel="0" collapsed="false">
      <c r="A188" s="18"/>
    </row>
    <row r="189" customFormat="false" ht="14.25" hidden="false" customHeight="true" outlineLevel="0" collapsed="false">
      <c r="A189" s="18"/>
    </row>
    <row r="190" customFormat="false" ht="14.25" hidden="false" customHeight="true" outlineLevel="0" collapsed="false">
      <c r="A190" s="18"/>
    </row>
    <row r="191" customFormat="false" ht="14.25" hidden="false" customHeight="true" outlineLevel="0" collapsed="false">
      <c r="A191" s="18"/>
    </row>
    <row r="192" customFormat="false" ht="14.25" hidden="false" customHeight="true" outlineLevel="0" collapsed="false">
      <c r="A192" s="18"/>
    </row>
    <row r="193" customFormat="false" ht="14.25" hidden="false" customHeight="true" outlineLevel="0" collapsed="false">
      <c r="A193" s="18"/>
    </row>
    <row r="194" customFormat="false" ht="14.25" hidden="false" customHeight="true" outlineLevel="0" collapsed="false">
      <c r="A194" s="18"/>
    </row>
    <row r="195" customFormat="false" ht="14.25" hidden="false" customHeight="true" outlineLevel="0" collapsed="false">
      <c r="A195" s="18"/>
    </row>
    <row r="196" customFormat="false" ht="14.25" hidden="false" customHeight="true" outlineLevel="0" collapsed="false">
      <c r="A196" s="18"/>
    </row>
    <row r="197" customFormat="false" ht="14.25" hidden="false" customHeight="true" outlineLevel="0" collapsed="false">
      <c r="A197" s="18"/>
    </row>
    <row r="198" customFormat="false" ht="14.25" hidden="false" customHeight="true" outlineLevel="0" collapsed="false">
      <c r="A198" s="18"/>
    </row>
    <row r="199" customFormat="false" ht="14.25" hidden="false" customHeight="true" outlineLevel="0" collapsed="false">
      <c r="A199" s="18"/>
    </row>
    <row r="200" customFormat="false" ht="14.25" hidden="false" customHeight="true" outlineLevel="0" collapsed="false">
      <c r="A200" s="18"/>
    </row>
    <row r="201" customFormat="false" ht="14.25" hidden="false" customHeight="true" outlineLevel="0" collapsed="false">
      <c r="A201" s="18"/>
    </row>
    <row r="202" customFormat="false" ht="14.25" hidden="false" customHeight="true" outlineLevel="0" collapsed="false">
      <c r="A202" s="18"/>
    </row>
    <row r="203" customFormat="false" ht="14.25" hidden="false" customHeight="true" outlineLevel="0" collapsed="false">
      <c r="A203" s="18"/>
    </row>
    <row r="204" customFormat="false" ht="14.25" hidden="false" customHeight="true" outlineLevel="0" collapsed="false">
      <c r="A204" s="18"/>
    </row>
    <row r="205" customFormat="false" ht="14.25" hidden="false" customHeight="true" outlineLevel="0" collapsed="false">
      <c r="A205" s="18"/>
    </row>
    <row r="206" customFormat="false" ht="14.25" hidden="false" customHeight="true" outlineLevel="0" collapsed="false">
      <c r="A206" s="18"/>
    </row>
    <row r="207" customFormat="false" ht="14.25" hidden="false" customHeight="true" outlineLevel="0" collapsed="false">
      <c r="A207" s="18"/>
    </row>
    <row r="208" customFormat="false" ht="14.25" hidden="false" customHeight="true" outlineLevel="0" collapsed="false">
      <c r="A208" s="18"/>
    </row>
    <row r="209" customFormat="false" ht="14.25" hidden="false" customHeight="true" outlineLevel="0" collapsed="false">
      <c r="A209" s="18"/>
    </row>
    <row r="210" customFormat="false" ht="14.25" hidden="false" customHeight="true" outlineLevel="0" collapsed="false">
      <c r="A210" s="18"/>
    </row>
    <row r="211" customFormat="false" ht="14.25" hidden="false" customHeight="true" outlineLevel="0" collapsed="false">
      <c r="A211" s="18"/>
    </row>
    <row r="212" customFormat="false" ht="14.25" hidden="false" customHeight="true" outlineLevel="0" collapsed="false">
      <c r="A212" s="18"/>
    </row>
    <row r="213" customFormat="false" ht="14.25" hidden="false" customHeight="true" outlineLevel="0" collapsed="false">
      <c r="A213" s="18"/>
    </row>
    <row r="214" customFormat="false" ht="14.25" hidden="false" customHeight="true" outlineLevel="0" collapsed="false">
      <c r="A214" s="18"/>
    </row>
    <row r="215" customFormat="false" ht="14.25" hidden="false" customHeight="true" outlineLevel="0" collapsed="false">
      <c r="A215" s="18"/>
    </row>
    <row r="216" customFormat="false" ht="14.25" hidden="false" customHeight="true" outlineLevel="0" collapsed="false">
      <c r="A216" s="18"/>
    </row>
    <row r="217" customFormat="false" ht="14.25" hidden="false" customHeight="true" outlineLevel="0" collapsed="false">
      <c r="A217" s="18"/>
    </row>
    <row r="218" customFormat="false" ht="14.25" hidden="false" customHeight="true" outlineLevel="0" collapsed="false">
      <c r="A218" s="18"/>
    </row>
    <row r="219" customFormat="false" ht="14.25" hidden="false" customHeight="true" outlineLevel="0" collapsed="false">
      <c r="A219" s="18"/>
    </row>
    <row r="220" customFormat="false" ht="14.25" hidden="false" customHeight="true" outlineLevel="0" collapsed="false">
      <c r="A220" s="18"/>
    </row>
    <row r="221" customFormat="false" ht="14.25" hidden="false" customHeight="true" outlineLevel="0" collapsed="false">
      <c r="A221" s="18"/>
    </row>
    <row r="222" customFormat="false" ht="14.25" hidden="false" customHeight="true" outlineLevel="0" collapsed="false">
      <c r="A222" s="18"/>
    </row>
    <row r="223" customFormat="false" ht="14.25" hidden="false" customHeight="true" outlineLevel="0" collapsed="false">
      <c r="A223" s="18"/>
    </row>
    <row r="224" customFormat="false" ht="14.25" hidden="false" customHeight="true" outlineLevel="0" collapsed="false">
      <c r="A224" s="18"/>
    </row>
    <row r="225" customFormat="false" ht="14.25" hidden="false" customHeight="true" outlineLevel="0" collapsed="false">
      <c r="A225" s="18"/>
    </row>
    <row r="226" customFormat="false" ht="14.25" hidden="false" customHeight="true" outlineLevel="0" collapsed="false">
      <c r="A226" s="18"/>
    </row>
    <row r="227" customFormat="false" ht="14.25" hidden="false" customHeight="true" outlineLevel="0" collapsed="false">
      <c r="A227" s="18"/>
    </row>
    <row r="228" customFormat="false" ht="14.25" hidden="false" customHeight="true" outlineLevel="0" collapsed="false">
      <c r="A228" s="18"/>
    </row>
    <row r="229" customFormat="false" ht="14.25" hidden="false" customHeight="true" outlineLevel="0" collapsed="false">
      <c r="A229" s="18"/>
    </row>
    <row r="230" customFormat="false" ht="14.25" hidden="false" customHeight="true" outlineLevel="0" collapsed="false">
      <c r="A230" s="18"/>
    </row>
    <row r="231" customFormat="false" ht="14.25" hidden="false" customHeight="true" outlineLevel="0" collapsed="false">
      <c r="A231" s="18"/>
    </row>
    <row r="232" customFormat="false" ht="14.25" hidden="false" customHeight="true" outlineLevel="0" collapsed="false">
      <c r="A232" s="18"/>
    </row>
    <row r="233" customFormat="false" ht="14.25" hidden="false" customHeight="true" outlineLevel="0" collapsed="false">
      <c r="A233" s="18"/>
    </row>
    <row r="234" customFormat="false" ht="14.25" hidden="false" customHeight="true" outlineLevel="0" collapsed="false">
      <c r="A234" s="18"/>
    </row>
    <row r="235" customFormat="false" ht="14.25" hidden="false" customHeight="true" outlineLevel="0" collapsed="false">
      <c r="A235" s="18"/>
    </row>
    <row r="236" customFormat="false" ht="14.25" hidden="false" customHeight="true" outlineLevel="0" collapsed="false">
      <c r="A236" s="18"/>
    </row>
    <row r="237" customFormat="false" ht="14.25" hidden="false" customHeight="true" outlineLevel="0" collapsed="false">
      <c r="A237" s="18"/>
    </row>
    <row r="238" customFormat="false" ht="14.25" hidden="false" customHeight="true" outlineLevel="0" collapsed="false">
      <c r="A238" s="18"/>
    </row>
    <row r="239" customFormat="false" ht="14.25" hidden="false" customHeight="true" outlineLevel="0" collapsed="false">
      <c r="A239" s="18"/>
    </row>
    <row r="240" customFormat="false" ht="14.25" hidden="false" customHeight="true" outlineLevel="0" collapsed="false">
      <c r="A240" s="18"/>
    </row>
    <row r="241" customFormat="false" ht="14.25" hidden="false" customHeight="true" outlineLevel="0" collapsed="false">
      <c r="A241" s="18"/>
    </row>
    <row r="242" customFormat="false" ht="14.25" hidden="false" customHeight="true" outlineLevel="0" collapsed="false">
      <c r="A242" s="18"/>
    </row>
    <row r="243" customFormat="false" ht="14.25" hidden="false" customHeight="true" outlineLevel="0" collapsed="false">
      <c r="A243" s="18"/>
    </row>
    <row r="244" customFormat="false" ht="14.25" hidden="false" customHeight="true" outlineLevel="0" collapsed="false">
      <c r="A244" s="18"/>
    </row>
    <row r="245" customFormat="false" ht="14.25" hidden="false" customHeight="true" outlineLevel="0" collapsed="false">
      <c r="A245" s="18"/>
    </row>
    <row r="246" customFormat="false" ht="14.25" hidden="false" customHeight="true" outlineLevel="0" collapsed="false">
      <c r="A246" s="18"/>
    </row>
    <row r="247" customFormat="false" ht="14.25" hidden="false" customHeight="true" outlineLevel="0" collapsed="false">
      <c r="A247" s="18"/>
    </row>
    <row r="248" customFormat="false" ht="14.25" hidden="false" customHeight="true" outlineLevel="0" collapsed="false">
      <c r="A248" s="18"/>
    </row>
    <row r="249" customFormat="false" ht="14.25" hidden="false" customHeight="true" outlineLevel="0" collapsed="false">
      <c r="A249" s="18"/>
    </row>
    <row r="250" customFormat="false" ht="14.25" hidden="false" customHeight="true" outlineLevel="0" collapsed="false">
      <c r="A250" s="18"/>
    </row>
    <row r="251" customFormat="false" ht="14.25" hidden="false" customHeight="true" outlineLevel="0" collapsed="false">
      <c r="A251" s="18"/>
    </row>
    <row r="252" customFormat="false" ht="14.25" hidden="false" customHeight="true" outlineLevel="0" collapsed="false">
      <c r="A252" s="18"/>
    </row>
    <row r="253" customFormat="false" ht="14.25" hidden="false" customHeight="true" outlineLevel="0" collapsed="false">
      <c r="A253" s="18"/>
    </row>
    <row r="254" customFormat="false" ht="14.25" hidden="false" customHeight="true" outlineLevel="0" collapsed="false">
      <c r="A254" s="18"/>
    </row>
    <row r="255" customFormat="false" ht="14.25" hidden="false" customHeight="true" outlineLevel="0" collapsed="false">
      <c r="A255" s="18"/>
    </row>
    <row r="256" customFormat="false" ht="14.25" hidden="false" customHeight="true" outlineLevel="0" collapsed="false">
      <c r="A256" s="18"/>
    </row>
    <row r="257" customFormat="false" ht="14.25" hidden="false" customHeight="true" outlineLevel="0" collapsed="false">
      <c r="A257" s="18"/>
    </row>
    <row r="258" customFormat="false" ht="14.25" hidden="false" customHeight="true" outlineLevel="0" collapsed="false">
      <c r="A258" s="18"/>
    </row>
    <row r="259" customFormat="false" ht="14.25" hidden="false" customHeight="true" outlineLevel="0" collapsed="false">
      <c r="A259" s="18"/>
    </row>
    <row r="260" customFormat="false" ht="14.25" hidden="false" customHeight="true" outlineLevel="0" collapsed="false">
      <c r="A260" s="18"/>
    </row>
    <row r="261" customFormat="false" ht="14.25" hidden="false" customHeight="true" outlineLevel="0" collapsed="false">
      <c r="A261" s="18"/>
    </row>
    <row r="262" customFormat="false" ht="14.25" hidden="false" customHeight="true" outlineLevel="0" collapsed="false">
      <c r="A262" s="18"/>
    </row>
    <row r="263" customFormat="false" ht="14.25" hidden="false" customHeight="true" outlineLevel="0" collapsed="false">
      <c r="A263" s="18"/>
    </row>
    <row r="264" customFormat="false" ht="14.25" hidden="false" customHeight="true" outlineLevel="0" collapsed="false">
      <c r="A264" s="18"/>
    </row>
    <row r="265" customFormat="false" ht="14.25" hidden="false" customHeight="true" outlineLevel="0" collapsed="false">
      <c r="A265" s="18"/>
    </row>
    <row r="266" customFormat="false" ht="14.25" hidden="false" customHeight="true" outlineLevel="0" collapsed="false">
      <c r="A266" s="18"/>
    </row>
    <row r="267" customFormat="false" ht="14.25" hidden="false" customHeight="true" outlineLevel="0" collapsed="false">
      <c r="A267" s="18"/>
    </row>
    <row r="268" customFormat="false" ht="14.25" hidden="false" customHeight="true" outlineLevel="0" collapsed="false">
      <c r="A268" s="18"/>
    </row>
    <row r="269" customFormat="false" ht="14.25" hidden="false" customHeight="true" outlineLevel="0" collapsed="false">
      <c r="A269" s="18"/>
    </row>
    <row r="270" customFormat="false" ht="14.25" hidden="false" customHeight="true" outlineLevel="0" collapsed="false">
      <c r="A270" s="18"/>
    </row>
    <row r="271" customFormat="false" ht="14.25" hidden="false" customHeight="true" outlineLevel="0" collapsed="false">
      <c r="A271" s="18"/>
    </row>
    <row r="272" customFormat="false" ht="14.25" hidden="false" customHeight="true" outlineLevel="0" collapsed="false">
      <c r="A272" s="18"/>
    </row>
    <row r="273" customFormat="false" ht="14.25" hidden="false" customHeight="true" outlineLevel="0" collapsed="false">
      <c r="A273" s="18"/>
    </row>
    <row r="274" customFormat="false" ht="14.25" hidden="false" customHeight="true" outlineLevel="0" collapsed="false">
      <c r="A274" s="18"/>
    </row>
    <row r="275" customFormat="false" ht="14.25" hidden="false" customHeight="true" outlineLevel="0" collapsed="false">
      <c r="A275" s="18"/>
    </row>
    <row r="276" customFormat="false" ht="14.25" hidden="false" customHeight="true" outlineLevel="0" collapsed="false">
      <c r="A276" s="18"/>
    </row>
    <row r="277" customFormat="false" ht="14.25" hidden="false" customHeight="true" outlineLevel="0" collapsed="false">
      <c r="A277" s="18"/>
    </row>
    <row r="278" customFormat="false" ht="14.25" hidden="false" customHeight="true" outlineLevel="0" collapsed="false">
      <c r="A278" s="18"/>
    </row>
    <row r="279" customFormat="false" ht="14.25" hidden="false" customHeight="true" outlineLevel="0" collapsed="false">
      <c r="A279" s="18"/>
    </row>
    <row r="280" customFormat="false" ht="14.25" hidden="false" customHeight="true" outlineLevel="0" collapsed="false">
      <c r="A280" s="18"/>
    </row>
    <row r="281" customFormat="false" ht="14.25" hidden="false" customHeight="true" outlineLevel="0" collapsed="false">
      <c r="A281" s="18"/>
    </row>
    <row r="282" customFormat="false" ht="14.25" hidden="false" customHeight="true" outlineLevel="0" collapsed="false">
      <c r="A282" s="18"/>
    </row>
    <row r="283" customFormat="false" ht="14.25" hidden="false" customHeight="true" outlineLevel="0" collapsed="false">
      <c r="A283" s="18"/>
    </row>
    <row r="284" customFormat="false" ht="14.25" hidden="false" customHeight="true" outlineLevel="0" collapsed="false">
      <c r="A284" s="18"/>
    </row>
    <row r="285" customFormat="false" ht="14.25" hidden="false" customHeight="true" outlineLevel="0" collapsed="false">
      <c r="A285" s="18"/>
    </row>
    <row r="286" customFormat="false" ht="14.25" hidden="false" customHeight="true" outlineLevel="0" collapsed="false">
      <c r="A286" s="18"/>
    </row>
    <row r="287" customFormat="false" ht="14.25" hidden="false" customHeight="true" outlineLevel="0" collapsed="false">
      <c r="A287" s="18"/>
    </row>
    <row r="288" customFormat="false" ht="14.25" hidden="false" customHeight="true" outlineLevel="0" collapsed="false">
      <c r="A288" s="18"/>
    </row>
    <row r="289" customFormat="false" ht="14.25" hidden="false" customHeight="true" outlineLevel="0" collapsed="false">
      <c r="A289" s="18"/>
    </row>
    <row r="290" customFormat="false" ht="14.25" hidden="false" customHeight="true" outlineLevel="0" collapsed="false">
      <c r="A290" s="18"/>
    </row>
    <row r="291" customFormat="false" ht="14.25" hidden="false" customHeight="true" outlineLevel="0" collapsed="false">
      <c r="A291" s="18"/>
    </row>
    <row r="292" customFormat="false" ht="14.25" hidden="false" customHeight="true" outlineLevel="0" collapsed="false">
      <c r="A292" s="18"/>
    </row>
    <row r="293" customFormat="false" ht="14.25" hidden="false" customHeight="true" outlineLevel="0" collapsed="false">
      <c r="A293" s="18"/>
    </row>
    <row r="294" customFormat="false" ht="14.25" hidden="false" customHeight="true" outlineLevel="0" collapsed="false">
      <c r="A294" s="18"/>
    </row>
    <row r="295" customFormat="false" ht="14.25" hidden="false" customHeight="true" outlineLevel="0" collapsed="false">
      <c r="A295" s="18"/>
    </row>
    <row r="296" customFormat="false" ht="14.25" hidden="false" customHeight="true" outlineLevel="0" collapsed="false">
      <c r="A296" s="18"/>
    </row>
    <row r="297" customFormat="false" ht="14.25" hidden="false" customHeight="true" outlineLevel="0" collapsed="false">
      <c r="A297" s="18"/>
    </row>
    <row r="298" customFormat="false" ht="14.25" hidden="false" customHeight="true" outlineLevel="0" collapsed="false">
      <c r="A298" s="18"/>
    </row>
    <row r="299" customFormat="false" ht="14.25" hidden="false" customHeight="true" outlineLevel="0" collapsed="false">
      <c r="A299" s="18"/>
    </row>
    <row r="300" customFormat="false" ht="14.25" hidden="false" customHeight="true" outlineLevel="0" collapsed="false">
      <c r="A300" s="18"/>
    </row>
    <row r="301" customFormat="false" ht="14.25" hidden="false" customHeight="true" outlineLevel="0" collapsed="false">
      <c r="A301" s="18"/>
    </row>
    <row r="302" customFormat="false" ht="14.25" hidden="false" customHeight="true" outlineLevel="0" collapsed="false">
      <c r="A302" s="18"/>
    </row>
    <row r="303" customFormat="false" ht="14.25" hidden="false" customHeight="true" outlineLevel="0" collapsed="false">
      <c r="A303" s="18"/>
    </row>
    <row r="304" customFormat="false" ht="14.25" hidden="false" customHeight="true" outlineLevel="0" collapsed="false">
      <c r="A304" s="18"/>
    </row>
    <row r="305" customFormat="false" ht="14.25" hidden="false" customHeight="true" outlineLevel="0" collapsed="false">
      <c r="A305" s="18"/>
    </row>
    <row r="306" customFormat="false" ht="14.25" hidden="false" customHeight="true" outlineLevel="0" collapsed="false">
      <c r="A306" s="18"/>
    </row>
    <row r="307" customFormat="false" ht="14.25" hidden="false" customHeight="true" outlineLevel="0" collapsed="false">
      <c r="A307" s="18"/>
    </row>
    <row r="308" customFormat="false" ht="14.25" hidden="false" customHeight="true" outlineLevel="0" collapsed="false">
      <c r="A308" s="18"/>
    </row>
    <row r="309" customFormat="false" ht="14.25" hidden="false" customHeight="true" outlineLevel="0" collapsed="false">
      <c r="A309" s="18"/>
    </row>
    <row r="310" customFormat="false" ht="14.25" hidden="false" customHeight="true" outlineLevel="0" collapsed="false">
      <c r="A310" s="18"/>
    </row>
    <row r="311" customFormat="false" ht="14.25" hidden="false" customHeight="true" outlineLevel="0" collapsed="false">
      <c r="A311" s="18"/>
    </row>
    <row r="312" customFormat="false" ht="14.25" hidden="false" customHeight="true" outlineLevel="0" collapsed="false">
      <c r="A312" s="18"/>
    </row>
    <row r="313" customFormat="false" ht="14.25" hidden="false" customHeight="true" outlineLevel="0" collapsed="false">
      <c r="A313" s="18"/>
    </row>
    <row r="314" customFormat="false" ht="14.25" hidden="false" customHeight="true" outlineLevel="0" collapsed="false">
      <c r="A314" s="18"/>
    </row>
    <row r="315" customFormat="false" ht="14.25" hidden="false" customHeight="true" outlineLevel="0" collapsed="false">
      <c r="A315" s="18"/>
    </row>
    <row r="316" customFormat="false" ht="14.25" hidden="false" customHeight="true" outlineLevel="0" collapsed="false">
      <c r="A316" s="18"/>
    </row>
    <row r="317" customFormat="false" ht="14.25" hidden="false" customHeight="true" outlineLevel="0" collapsed="false">
      <c r="A317" s="18"/>
    </row>
    <row r="318" customFormat="false" ht="14.25" hidden="false" customHeight="true" outlineLevel="0" collapsed="false">
      <c r="A318" s="18"/>
    </row>
    <row r="319" customFormat="false" ht="14.25" hidden="false" customHeight="true" outlineLevel="0" collapsed="false">
      <c r="A319" s="18"/>
    </row>
    <row r="320" customFormat="false" ht="14.25" hidden="false" customHeight="true" outlineLevel="0" collapsed="false">
      <c r="A320" s="18"/>
    </row>
    <row r="321" customFormat="false" ht="14.25" hidden="false" customHeight="true" outlineLevel="0" collapsed="false">
      <c r="A321" s="18"/>
    </row>
    <row r="322" customFormat="false" ht="14.25" hidden="false" customHeight="true" outlineLevel="0" collapsed="false">
      <c r="A322" s="18"/>
    </row>
    <row r="323" customFormat="false" ht="14.25" hidden="false" customHeight="true" outlineLevel="0" collapsed="false">
      <c r="A323" s="18"/>
    </row>
    <row r="324" customFormat="false" ht="14.25" hidden="false" customHeight="true" outlineLevel="0" collapsed="false">
      <c r="A324" s="18"/>
    </row>
    <row r="325" customFormat="false" ht="14.25" hidden="false" customHeight="true" outlineLevel="0" collapsed="false">
      <c r="A325" s="18"/>
    </row>
    <row r="326" customFormat="false" ht="14.25" hidden="false" customHeight="true" outlineLevel="0" collapsed="false">
      <c r="A326" s="18"/>
    </row>
    <row r="327" customFormat="false" ht="14.25" hidden="false" customHeight="true" outlineLevel="0" collapsed="false">
      <c r="A327" s="18"/>
    </row>
    <row r="328" customFormat="false" ht="14.25" hidden="false" customHeight="true" outlineLevel="0" collapsed="false">
      <c r="A328" s="18"/>
    </row>
    <row r="329" customFormat="false" ht="14.25" hidden="false" customHeight="true" outlineLevel="0" collapsed="false">
      <c r="A329" s="18"/>
    </row>
    <row r="330" customFormat="false" ht="14.25" hidden="false" customHeight="true" outlineLevel="0" collapsed="false">
      <c r="A330" s="18"/>
    </row>
    <row r="331" customFormat="false" ht="14.25" hidden="false" customHeight="true" outlineLevel="0" collapsed="false">
      <c r="A331" s="18"/>
    </row>
    <row r="332" customFormat="false" ht="14.25" hidden="false" customHeight="true" outlineLevel="0" collapsed="false">
      <c r="A332" s="18"/>
    </row>
    <row r="333" customFormat="false" ht="14.25" hidden="false" customHeight="true" outlineLevel="0" collapsed="false">
      <c r="A333" s="18"/>
    </row>
    <row r="334" customFormat="false" ht="14.25" hidden="false" customHeight="true" outlineLevel="0" collapsed="false">
      <c r="A334" s="18"/>
    </row>
    <row r="335" customFormat="false" ht="14.25" hidden="false" customHeight="true" outlineLevel="0" collapsed="false">
      <c r="A335" s="18"/>
    </row>
    <row r="336" customFormat="false" ht="14.25" hidden="false" customHeight="true" outlineLevel="0" collapsed="false">
      <c r="A336" s="18"/>
    </row>
    <row r="337" customFormat="false" ht="14.25" hidden="false" customHeight="true" outlineLevel="0" collapsed="false">
      <c r="A337" s="18"/>
    </row>
    <row r="338" customFormat="false" ht="14.25" hidden="false" customHeight="true" outlineLevel="0" collapsed="false">
      <c r="A338" s="18"/>
    </row>
    <row r="339" customFormat="false" ht="14.25" hidden="false" customHeight="true" outlineLevel="0" collapsed="false">
      <c r="A339" s="18"/>
    </row>
    <row r="340" customFormat="false" ht="14.25" hidden="false" customHeight="true" outlineLevel="0" collapsed="false">
      <c r="A340" s="18"/>
    </row>
    <row r="341" customFormat="false" ht="14.25" hidden="false" customHeight="true" outlineLevel="0" collapsed="false">
      <c r="A341" s="18"/>
    </row>
    <row r="342" customFormat="false" ht="14.25" hidden="false" customHeight="true" outlineLevel="0" collapsed="false">
      <c r="A342" s="18"/>
    </row>
    <row r="343" customFormat="false" ht="14.25" hidden="false" customHeight="true" outlineLevel="0" collapsed="false">
      <c r="A343" s="18"/>
    </row>
    <row r="344" customFormat="false" ht="14.25" hidden="false" customHeight="true" outlineLevel="0" collapsed="false">
      <c r="A344" s="18"/>
    </row>
    <row r="345" customFormat="false" ht="14.25" hidden="false" customHeight="true" outlineLevel="0" collapsed="false">
      <c r="A345" s="18"/>
    </row>
    <row r="346" customFormat="false" ht="14.25" hidden="false" customHeight="true" outlineLevel="0" collapsed="false">
      <c r="A346" s="18"/>
    </row>
    <row r="347" customFormat="false" ht="14.25" hidden="false" customHeight="true" outlineLevel="0" collapsed="false">
      <c r="A347" s="18"/>
    </row>
    <row r="348" customFormat="false" ht="14.25" hidden="false" customHeight="true" outlineLevel="0" collapsed="false">
      <c r="A348" s="18"/>
    </row>
    <row r="349" customFormat="false" ht="14.25" hidden="false" customHeight="true" outlineLevel="0" collapsed="false">
      <c r="A349" s="18"/>
    </row>
    <row r="350" customFormat="false" ht="14.25" hidden="false" customHeight="true" outlineLevel="0" collapsed="false">
      <c r="A350" s="18"/>
    </row>
    <row r="351" customFormat="false" ht="14.25" hidden="false" customHeight="true" outlineLevel="0" collapsed="false">
      <c r="A351" s="18"/>
    </row>
    <row r="352" customFormat="false" ht="14.25" hidden="false" customHeight="true" outlineLevel="0" collapsed="false">
      <c r="A352" s="18"/>
    </row>
    <row r="353" customFormat="false" ht="14.25" hidden="false" customHeight="true" outlineLevel="0" collapsed="false">
      <c r="A353" s="18"/>
    </row>
    <row r="354" customFormat="false" ht="14.25" hidden="false" customHeight="true" outlineLevel="0" collapsed="false">
      <c r="A354" s="18"/>
    </row>
    <row r="355" customFormat="false" ht="14.25" hidden="false" customHeight="true" outlineLevel="0" collapsed="false">
      <c r="A355" s="18"/>
    </row>
    <row r="356" customFormat="false" ht="14.25" hidden="false" customHeight="true" outlineLevel="0" collapsed="false">
      <c r="A356" s="18"/>
    </row>
    <row r="357" customFormat="false" ht="14.25" hidden="false" customHeight="true" outlineLevel="0" collapsed="false">
      <c r="A357" s="18"/>
    </row>
    <row r="358" customFormat="false" ht="14.25" hidden="false" customHeight="true" outlineLevel="0" collapsed="false">
      <c r="A358" s="18"/>
    </row>
    <row r="359" customFormat="false" ht="14.25" hidden="false" customHeight="true" outlineLevel="0" collapsed="false">
      <c r="A359" s="18"/>
    </row>
    <row r="360" customFormat="false" ht="14.25" hidden="false" customHeight="true" outlineLevel="0" collapsed="false">
      <c r="A360" s="18"/>
    </row>
    <row r="361" customFormat="false" ht="14.25" hidden="false" customHeight="true" outlineLevel="0" collapsed="false">
      <c r="A361" s="18"/>
    </row>
    <row r="362" customFormat="false" ht="14.25" hidden="false" customHeight="true" outlineLevel="0" collapsed="false">
      <c r="A362" s="18"/>
    </row>
    <row r="363" customFormat="false" ht="14.25" hidden="false" customHeight="true" outlineLevel="0" collapsed="false">
      <c r="A363" s="18"/>
    </row>
    <row r="364" customFormat="false" ht="14.25" hidden="false" customHeight="true" outlineLevel="0" collapsed="false">
      <c r="A364" s="18"/>
    </row>
    <row r="365" customFormat="false" ht="14.25" hidden="false" customHeight="true" outlineLevel="0" collapsed="false">
      <c r="A365" s="18"/>
    </row>
    <row r="366" customFormat="false" ht="14.25" hidden="false" customHeight="true" outlineLevel="0" collapsed="false">
      <c r="A366" s="18"/>
    </row>
    <row r="367" customFormat="false" ht="14.25" hidden="false" customHeight="true" outlineLevel="0" collapsed="false">
      <c r="A367" s="18"/>
    </row>
    <row r="368" customFormat="false" ht="14.25" hidden="false" customHeight="true" outlineLevel="0" collapsed="false">
      <c r="A368" s="18"/>
    </row>
    <row r="369" customFormat="false" ht="14.25" hidden="false" customHeight="true" outlineLevel="0" collapsed="false">
      <c r="A369" s="18"/>
    </row>
    <row r="370" customFormat="false" ht="14.25" hidden="false" customHeight="true" outlineLevel="0" collapsed="false">
      <c r="A370" s="18"/>
    </row>
    <row r="371" customFormat="false" ht="14.25" hidden="false" customHeight="true" outlineLevel="0" collapsed="false">
      <c r="A371" s="18"/>
    </row>
    <row r="372" customFormat="false" ht="14.25" hidden="false" customHeight="true" outlineLevel="0" collapsed="false">
      <c r="A372" s="18"/>
    </row>
    <row r="373" customFormat="false" ht="14.25" hidden="false" customHeight="true" outlineLevel="0" collapsed="false">
      <c r="A373" s="18"/>
    </row>
    <row r="374" customFormat="false" ht="14.25" hidden="false" customHeight="true" outlineLevel="0" collapsed="false">
      <c r="A374" s="18"/>
    </row>
    <row r="375" customFormat="false" ht="14.25" hidden="false" customHeight="true" outlineLevel="0" collapsed="false">
      <c r="A375" s="18"/>
    </row>
    <row r="376" customFormat="false" ht="14.25" hidden="false" customHeight="true" outlineLevel="0" collapsed="false">
      <c r="A376" s="18"/>
    </row>
    <row r="377" customFormat="false" ht="14.25" hidden="false" customHeight="true" outlineLevel="0" collapsed="false">
      <c r="A377" s="18"/>
    </row>
    <row r="378" customFormat="false" ht="14.25" hidden="false" customHeight="true" outlineLevel="0" collapsed="false">
      <c r="A378" s="18"/>
    </row>
    <row r="379" customFormat="false" ht="14.25" hidden="false" customHeight="true" outlineLevel="0" collapsed="false">
      <c r="A379" s="18"/>
    </row>
    <row r="380" customFormat="false" ht="14.25" hidden="false" customHeight="true" outlineLevel="0" collapsed="false">
      <c r="A380" s="18"/>
    </row>
    <row r="381" customFormat="false" ht="14.25" hidden="false" customHeight="true" outlineLevel="0" collapsed="false">
      <c r="A381" s="18"/>
    </row>
    <row r="382" customFormat="false" ht="14.25" hidden="false" customHeight="true" outlineLevel="0" collapsed="false">
      <c r="A382" s="18"/>
    </row>
    <row r="383" customFormat="false" ht="14.25" hidden="false" customHeight="true" outlineLevel="0" collapsed="false">
      <c r="A383" s="18"/>
    </row>
    <row r="384" customFormat="false" ht="14.25" hidden="false" customHeight="true" outlineLevel="0" collapsed="false">
      <c r="A384" s="18"/>
    </row>
    <row r="385" customFormat="false" ht="14.25" hidden="false" customHeight="true" outlineLevel="0" collapsed="false">
      <c r="A385" s="18"/>
    </row>
    <row r="386" customFormat="false" ht="14.25" hidden="false" customHeight="true" outlineLevel="0" collapsed="false">
      <c r="A386" s="18"/>
    </row>
    <row r="387" customFormat="false" ht="14.25" hidden="false" customHeight="true" outlineLevel="0" collapsed="false">
      <c r="A387" s="18"/>
    </row>
    <row r="388" customFormat="false" ht="14.25" hidden="false" customHeight="true" outlineLevel="0" collapsed="false">
      <c r="A388" s="18"/>
    </row>
    <row r="389" customFormat="false" ht="14.25" hidden="false" customHeight="true" outlineLevel="0" collapsed="false">
      <c r="A389" s="18"/>
    </row>
    <row r="390" customFormat="false" ht="14.25" hidden="false" customHeight="true" outlineLevel="0" collapsed="false">
      <c r="A390" s="18"/>
    </row>
    <row r="391" customFormat="false" ht="14.25" hidden="false" customHeight="true" outlineLevel="0" collapsed="false">
      <c r="A391" s="18"/>
    </row>
    <row r="392" customFormat="false" ht="14.25" hidden="false" customHeight="true" outlineLevel="0" collapsed="false">
      <c r="A392" s="18"/>
    </row>
    <row r="393" customFormat="false" ht="14.25" hidden="false" customHeight="true" outlineLevel="0" collapsed="false">
      <c r="A393" s="18"/>
    </row>
    <row r="394" customFormat="false" ht="14.25" hidden="false" customHeight="true" outlineLevel="0" collapsed="false">
      <c r="A394" s="18"/>
    </row>
    <row r="395" customFormat="false" ht="14.25" hidden="false" customHeight="true" outlineLevel="0" collapsed="false">
      <c r="A395" s="18"/>
    </row>
    <row r="396" customFormat="false" ht="14.25" hidden="false" customHeight="true" outlineLevel="0" collapsed="false">
      <c r="A396" s="18"/>
    </row>
    <row r="397" customFormat="false" ht="14.25" hidden="false" customHeight="true" outlineLevel="0" collapsed="false">
      <c r="A397" s="18"/>
    </row>
    <row r="398" customFormat="false" ht="14.25" hidden="false" customHeight="true" outlineLevel="0" collapsed="false">
      <c r="A398" s="18"/>
    </row>
    <row r="399" customFormat="false" ht="14.25" hidden="false" customHeight="true" outlineLevel="0" collapsed="false">
      <c r="A399" s="18"/>
    </row>
    <row r="400" customFormat="false" ht="14.25" hidden="false" customHeight="true" outlineLevel="0" collapsed="false">
      <c r="A400" s="18"/>
    </row>
    <row r="401" customFormat="false" ht="14.25" hidden="false" customHeight="true" outlineLevel="0" collapsed="false">
      <c r="A401" s="18"/>
    </row>
    <row r="402" customFormat="false" ht="14.25" hidden="false" customHeight="true" outlineLevel="0" collapsed="false">
      <c r="A402" s="18"/>
    </row>
    <row r="403" customFormat="false" ht="14.25" hidden="false" customHeight="true" outlineLevel="0" collapsed="false">
      <c r="A403" s="18"/>
    </row>
    <row r="404" customFormat="false" ht="14.25" hidden="false" customHeight="true" outlineLevel="0" collapsed="false">
      <c r="A404" s="18"/>
    </row>
    <row r="405" customFormat="false" ht="14.25" hidden="false" customHeight="true" outlineLevel="0" collapsed="false">
      <c r="A405" s="18"/>
    </row>
    <row r="406" customFormat="false" ht="14.25" hidden="false" customHeight="true" outlineLevel="0" collapsed="false">
      <c r="A406" s="18"/>
    </row>
    <row r="407" customFormat="false" ht="14.25" hidden="false" customHeight="true" outlineLevel="0" collapsed="false">
      <c r="A407" s="18"/>
    </row>
    <row r="408" customFormat="false" ht="14.25" hidden="false" customHeight="true" outlineLevel="0" collapsed="false">
      <c r="A408" s="18"/>
    </row>
    <row r="409" customFormat="false" ht="14.25" hidden="false" customHeight="true" outlineLevel="0" collapsed="false">
      <c r="A409" s="18"/>
    </row>
    <row r="410" customFormat="false" ht="14.25" hidden="false" customHeight="true" outlineLevel="0" collapsed="false">
      <c r="A410" s="18"/>
    </row>
    <row r="411" customFormat="false" ht="14.25" hidden="false" customHeight="true" outlineLevel="0" collapsed="false">
      <c r="A411" s="18"/>
    </row>
    <row r="412" customFormat="false" ht="14.25" hidden="false" customHeight="true" outlineLevel="0" collapsed="false">
      <c r="A412" s="18"/>
    </row>
    <row r="413" customFormat="false" ht="14.25" hidden="false" customHeight="true" outlineLevel="0" collapsed="false">
      <c r="A413" s="18"/>
    </row>
    <row r="414" customFormat="false" ht="14.25" hidden="false" customHeight="true" outlineLevel="0" collapsed="false">
      <c r="A414" s="18"/>
    </row>
    <row r="415" customFormat="false" ht="14.25" hidden="false" customHeight="true" outlineLevel="0" collapsed="false">
      <c r="A415" s="18"/>
    </row>
    <row r="416" customFormat="false" ht="14.25" hidden="false" customHeight="true" outlineLevel="0" collapsed="false">
      <c r="A416" s="18"/>
    </row>
    <row r="417" customFormat="false" ht="14.25" hidden="false" customHeight="true" outlineLevel="0" collapsed="false">
      <c r="A417" s="18"/>
    </row>
    <row r="418" customFormat="false" ht="14.25" hidden="false" customHeight="true" outlineLevel="0" collapsed="false">
      <c r="A418" s="18"/>
    </row>
    <row r="419" customFormat="false" ht="14.25" hidden="false" customHeight="true" outlineLevel="0" collapsed="false">
      <c r="A419" s="18"/>
    </row>
    <row r="420" customFormat="false" ht="14.25" hidden="false" customHeight="true" outlineLevel="0" collapsed="false">
      <c r="A420" s="18"/>
    </row>
    <row r="421" customFormat="false" ht="14.25" hidden="false" customHeight="true" outlineLevel="0" collapsed="false">
      <c r="A421" s="18"/>
    </row>
    <row r="422" customFormat="false" ht="14.25" hidden="false" customHeight="true" outlineLevel="0" collapsed="false">
      <c r="A422" s="18"/>
    </row>
    <row r="423" customFormat="false" ht="14.25" hidden="false" customHeight="true" outlineLevel="0" collapsed="false">
      <c r="A423" s="18"/>
    </row>
    <row r="424" customFormat="false" ht="14.25" hidden="false" customHeight="true" outlineLevel="0" collapsed="false">
      <c r="A424" s="18"/>
    </row>
    <row r="425" customFormat="false" ht="14.25" hidden="false" customHeight="true" outlineLevel="0" collapsed="false">
      <c r="A425" s="18"/>
    </row>
    <row r="426" customFormat="false" ht="14.25" hidden="false" customHeight="true" outlineLevel="0" collapsed="false">
      <c r="A426" s="18"/>
    </row>
    <row r="427" customFormat="false" ht="14.25" hidden="false" customHeight="true" outlineLevel="0" collapsed="false">
      <c r="A427" s="18"/>
    </row>
    <row r="428" customFormat="false" ht="14.25" hidden="false" customHeight="true" outlineLevel="0" collapsed="false">
      <c r="A428" s="18"/>
    </row>
    <row r="429" customFormat="false" ht="14.25" hidden="false" customHeight="true" outlineLevel="0" collapsed="false">
      <c r="A429" s="18"/>
    </row>
    <row r="430" customFormat="false" ht="14.25" hidden="false" customHeight="true" outlineLevel="0" collapsed="false">
      <c r="A430" s="18"/>
    </row>
    <row r="431" customFormat="false" ht="14.25" hidden="false" customHeight="true" outlineLevel="0" collapsed="false">
      <c r="A431" s="18"/>
    </row>
    <row r="432" customFormat="false" ht="14.25" hidden="false" customHeight="true" outlineLevel="0" collapsed="false">
      <c r="A432" s="18"/>
    </row>
    <row r="433" customFormat="false" ht="14.25" hidden="false" customHeight="true" outlineLevel="0" collapsed="false">
      <c r="A433" s="18"/>
    </row>
    <row r="434" customFormat="false" ht="14.25" hidden="false" customHeight="true" outlineLevel="0" collapsed="false">
      <c r="A434" s="18"/>
    </row>
    <row r="435" customFormat="false" ht="14.25" hidden="false" customHeight="true" outlineLevel="0" collapsed="false">
      <c r="A435" s="18"/>
    </row>
    <row r="436" customFormat="false" ht="14.25" hidden="false" customHeight="true" outlineLevel="0" collapsed="false">
      <c r="A436" s="18"/>
    </row>
    <row r="437" customFormat="false" ht="14.25" hidden="false" customHeight="true" outlineLevel="0" collapsed="false">
      <c r="A437" s="18"/>
    </row>
    <row r="438" customFormat="false" ht="14.25" hidden="false" customHeight="true" outlineLevel="0" collapsed="false">
      <c r="A438" s="18"/>
    </row>
    <row r="439" customFormat="false" ht="14.25" hidden="false" customHeight="true" outlineLevel="0" collapsed="false">
      <c r="A439" s="18"/>
    </row>
    <row r="440" customFormat="false" ht="14.25" hidden="false" customHeight="true" outlineLevel="0" collapsed="false">
      <c r="A440" s="18"/>
    </row>
    <row r="441" customFormat="false" ht="14.25" hidden="false" customHeight="true" outlineLevel="0" collapsed="false">
      <c r="A441" s="18"/>
    </row>
    <row r="442" customFormat="false" ht="14.25" hidden="false" customHeight="true" outlineLevel="0" collapsed="false">
      <c r="A442" s="18"/>
    </row>
    <row r="443" customFormat="false" ht="14.25" hidden="false" customHeight="true" outlineLevel="0" collapsed="false">
      <c r="A443" s="18"/>
    </row>
    <row r="444" customFormat="false" ht="14.25" hidden="false" customHeight="true" outlineLevel="0" collapsed="false">
      <c r="A444" s="18"/>
    </row>
    <row r="445" customFormat="false" ht="14.25" hidden="false" customHeight="true" outlineLevel="0" collapsed="false">
      <c r="A445" s="18"/>
    </row>
    <row r="446" customFormat="false" ht="14.25" hidden="false" customHeight="true" outlineLevel="0" collapsed="false">
      <c r="A446" s="18"/>
    </row>
    <row r="447" customFormat="false" ht="14.25" hidden="false" customHeight="true" outlineLevel="0" collapsed="false">
      <c r="A447" s="18"/>
    </row>
    <row r="448" customFormat="false" ht="14.25" hidden="false" customHeight="true" outlineLevel="0" collapsed="false">
      <c r="A448" s="18"/>
    </row>
    <row r="449" customFormat="false" ht="14.25" hidden="false" customHeight="true" outlineLevel="0" collapsed="false">
      <c r="A449" s="18"/>
    </row>
    <row r="450" customFormat="false" ht="14.25" hidden="false" customHeight="true" outlineLevel="0" collapsed="false">
      <c r="A450" s="18"/>
    </row>
    <row r="451" customFormat="false" ht="14.25" hidden="false" customHeight="true" outlineLevel="0" collapsed="false">
      <c r="A451" s="18"/>
    </row>
    <row r="452" customFormat="false" ht="14.25" hidden="false" customHeight="true" outlineLevel="0" collapsed="false">
      <c r="A452" s="18"/>
    </row>
    <row r="453" customFormat="false" ht="14.25" hidden="false" customHeight="true" outlineLevel="0" collapsed="false">
      <c r="A453" s="18"/>
    </row>
    <row r="454" customFormat="false" ht="14.25" hidden="false" customHeight="true" outlineLevel="0" collapsed="false">
      <c r="A454" s="18"/>
    </row>
    <row r="455" customFormat="false" ht="14.25" hidden="false" customHeight="true" outlineLevel="0" collapsed="false">
      <c r="A455" s="18"/>
    </row>
    <row r="456" customFormat="false" ht="14.25" hidden="false" customHeight="true" outlineLevel="0" collapsed="false">
      <c r="A456" s="18"/>
    </row>
    <row r="457" customFormat="false" ht="14.25" hidden="false" customHeight="true" outlineLevel="0" collapsed="false">
      <c r="A457" s="18"/>
    </row>
    <row r="458" customFormat="false" ht="14.25" hidden="false" customHeight="true" outlineLevel="0" collapsed="false">
      <c r="A458" s="18"/>
    </row>
    <row r="459" customFormat="false" ht="14.25" hidden="false" customHeight="true" outlineLevel="0" collapsed="false">
      <c r="A459" s="18"/>
    </row>
    <row r="460" customFormat="false" ht="14.25" hidden="false" customHeight="true" outlineLevel="0" collapsed="false">
      <c r="A460" s="18"/>
    </row>
    <row r="461" customFormat="false" ht="14.25" hidden="false" customHeight="true" outlineLevel="0" collapsed="false">
      <c r="A461" s="18"/>
    </row>
    <row r="462" customFormat="false" ht="14.25" hidden="false" customHeight="true" outlineLevel="0" collapsed="false">
      <c r="A462" s="18"/>
    </row>
    <row r="463" customFormat="false" ht="14.25" hidden="false" customHeight="true" outlineLevel="0" collapsed="false">
      <c r="A463" s="18"/>
    </row>
    <row r="464" customFormat="false" ht="14.25" hidden="false" customHeight="true" outlineLevel="0" collapsed="false">
      <c r="A464" s="18"/>
    </row>
    <row r="465" customFormat="false" ht="14.25" hidden="false" customHeight="true" outlineLevel="0" collapsed="false">
      <c r="A465" s="18"/>
    </row>
    <row r="466" customFormat="false" ht="14.25" hidden="false" customHeight="true" outlineLevel="0" collapsed="false">
      <c r="A466" s="18"/>
    </row>
    <row r="467" customFormat="false" ht="14.25" hidden="false" customHeight="true" outlineLevel="0" collapsed="false">
      <c r="A467" s="18"/>
    </row>
    <row r="468" customFormat="false" ht="14.25" hidden="false" customHeight="true" outlineLevel="0" collapsed="false">
      <c r="A468" s="18"/>
    </row>
    <row r="469" customFormat="false" ht="14.25" hidden="false" customHeight="true" outlineLevel="0" collapsed="false">
      <c r="A469" s="18"/>
    </row>
    <row r="470" customFormat="false" ht="14.25" hidden="false" customHeight="true" outlineLevel="0" collapsed="false">
      <c r="A470" s="18"/>
    </row>
    <row r="471" customFormat="false" ht="14.25" hidden="false" customHeight="true" outlineLevel="0" collapsed="false">
      <c r="A471" s="18"/>
    </row>
    <row r="472" customFormat="false" ht="14.25" hidden="false" customHeight="true" outlineLevel="0" collapsed="false">
      <c r="A472" s="18"/>
    </row>
    <row r="473" customFormat="false" ht="14.25" hidden="false" customHeight="true" outlineLevel="0" collapsed="false">
      <c r="A473" s="18"/>
    </row>
    <row r="474" customFormat="false" ht="14.25" hidden="false" customHeight="true" outlineLevel="0" collapsed="false">
      <c r="A474" s="18"/>
    </row>
    <row r="475" customFormat="false" ht="14.25" hidden="false" customHeight="true" outlineLevel="0" collapsed="false">
      <c r="A475" s="18"/>
    </row>
    <row r="476" customFormat="false" ht="14.25" hidden="false" customHeight="true" outlineLevel="0" collapsed="false">
      <c r="A476" s="18"/>
    </row>
    <row r="477" customFormat="false" ht="14.25" hidden="false" customHeight="true" outlineLevel="0" collapsed="false">
      <c r="A477" s="18"/>
    </row>
    <row r="478" customFormat="false" ht="14.25" hidden="false" customHeight="true" outlineLevel="0" collapsed="false">
      <c r="A478" s="18"/>
    </row>
    <row r="479" customFormat="false" ht="14.25" hidden="false" customHeight="true" outlineLevel="0" collapsed="false">
      <c r="A479" s="18"/>
    </row>
    <row r="480" customFormat="false" ht="14.25" hidden="false" customHeight="true" outlineLevel="0" collapsed="false">
      <c r="A480" s="18"/>
    </row>
    <row r="481" customFormat="false" ht="14.25" hidden="false" customHeight="true" outlineLevel="0" collapsed="false">
      <c r="A481" s="18"/>
    </row>
    <row r="482" customFormat="false" ht="14.25" hidden="false" customHeight="true" outlineLevel="0" collapsed="false">
      <c r="A482" s="18"/>
    </row>
    <row r="483" customFormat="false" ht="14.25" hidden="false" customHeight="true" outlineLevel="0" collapsed="false">
      <c r="A483" s="18"/>
    </row>
    <row r="484" customFormat="false" ht="14.25" hidden="false" customHeight="true" outlineLevel="0" collapsed="false">
      <c r="A484" s="18"/>
    </row>
    <row r="485" customFormat="false" ht="14.25" hidden="false" customHeight="true" outlineLevel="0" collapsed="false">
      <c r="A485" s="18"/>
    </row>
    <row r="486" customFormat="false" ht="14.25" hidden="false" customHeight="true" outlineLevel="0" collapsed="false">
      <c r="A486" s="18"/>
    </row>
    <row r="487" customFormat="false" ht="14.25" hidden="false" customHeight="true" outlineLevel="0" collapsed="false">
      <c r="A487" s="18"/>
    </row>
    <row r="488" customFormat="false" ht="14.25" hidden="false" customHeight="true" outlineLevel="0" collapsed="false">
      <c r="A488" s="18"/>
    </row>
    <row r="489" customFormat="false" ht="14.25" hidden="false" customHeight="true" outlineLevel="0" collapsed="false">
      <c r="A489" s="18"/>
    </row>
    <row r="490" customFormat="false" ht="14.25" hidden="false" customHeight="true" outlineLevel="0" collapsed="false">
      <c r="A490" s="18"/>
    </row>
    <row r="491" customFormat="false" ht="14.25" hidden="false" customHeight="true" outlineLevel="0" collapsed="false">
      <c r="A491" s="18"/>
    </row>
    <row r="492" customFormat="false" ht="14.25" hidden="false" customHeight="true" outlineLevel="0" collapsed="false">
      <c r="A492" s="18"/>
    </row>
    <row r="493" customFormat="false" ht="14.25" hidden="false" customHeight="true" outlineLevel="0" collapsed="false">
      <c r="A493" s="18"/>
    </row>
    <row r="494" customFormat="false" ht="14.25" hidden="false" customHeight="true" outlineLevel="0" collapsed="false">
      <c r="A494" s="18"/>
    </row>
    <row r="495" customFormat="false" ht="14.25" hidden="false" customHeight="true" outlineLevel="0" collapsed="false">
      <c r="A495" s="18"/>
    </row>
    <row r="496" customFormat="false" ht="14.25" hidden="false" customHeight="true" outlineLevel="0" collapsed="false">
      <c r="A496" s="18"/>
    </row>
    <row r="497" customFormat="false" ht="14.25" hidden="false" customHeight="true" outlineLevel="0" collapsed="false">
      <c r="A497" s="18"/>
    </row>
    <row r="498" customFormat="false" ht="14.25" hidden="false" customHeight="true" outlineLevel="0" collapsed="false">
      <c r="A498" s="18"/>
    </row>
    <row r="499" customFormat="false" ht="14.25" hidden="false" customHeight="true" outlineLevel="0" collapsed="false">
      <c r="A499" s="18"/>
    </row>
    <row r="500" customFormat="false" ht="14.25" hidden="false" customHeight="true" outlineLevel="0" collapsed="false">
      <c r="A500" s="18"/>
    </row>
    <row r="501" customFormat="false" ht="14.25" hidden="false" customHeight="true" outlineLevel="0" collapsed="false">
      <c r="A501" s="18"/>
    </row>
    <row r="502" customFormat="false" ht="14.25" hidden="false" customHeight="true" outlineLevel="0" collapsed="false">
      <c r="A502" s="18"/>
    </row>
    <row r="503" customFormat="false" ht="14.25" hidden="false" customHeight="true" outlineLevel="0" collapsed="false">
      <c r="A503" s="18"/>
    </row>
    <row r="504" customFormat="false" ht="14.25" hidden="false" customHeight="true" outlineLevel="0" collapsed="false">
      <c r="A504" s="18"/>
    </row>
    <row r="505" customFormat="false" ht="14.25" hidden="false" customHeight="true" outlineLevel="0" collapsed="false">
      <c r="A505" s="18"/>
    </row>
    <row r="506" customFormat="false" ht="14.25" hidden="false" customHeight="true" outlineLevel="0" collapsed="false">
      <c r="A506" s="18"/>
    </row>
    <row r="507" customFormat="false" ht="14.25" hidden="false" customHeight="true" outlineLevel="0" collapsed="false">
      <c r="A507" s="18"/>
    </row>
    <row r="508" customFormat="false" ht="14.25" hidden="false" customHeight="true" outlineLevel="0" collapsed="false">
      <c r="A508" s="18"/>
    </row>
    <row r="509" customFormat="false" ht="14.25" hidden="false" customHeight="true" outlineLevel="0" collapsed="false">
      <c r="A509" s="18"/>
    </row>
    <row r="510" customFormat="false" ht="14.25" hidden="false" customHeight="true" outlineLevel="0" collapsed="false">
      <c r="A510" s="18"/>
    </row>
    <row r="511" customFormat="false" ht="14.25" hidden="false" customHeight="true" outlineLevel="0" collapsed="false">
      <c r="A511" s="18"/>
    </row>
    <row r="512" customFormat="false" ht="14.25" hidden="false" customHeight="true" outlineLevel="0" collapsed="false">
      <c r="A512" s="18"/>
    </row>
    <row r="513" customFormat="false" ht="14.25" hidden="false" customHeight="true" outlineLevel="0" collapsed="false">
      <c r="A513" s="18"/>
    </row>
    <row r="514" customFormat="false" ht="14.25" hidden="false" customHeight="true" outlineLevel="0" collapsed="false">
      <c r="A514" s="18"/>
    </row>
    <row r="515" customFormat="false" ht="14.25" hidden="false" customHeight="true" outlineLevel="0" collapsed="false">
      <c r="A515" s="18"/>
    </row>
    <row r="516" customFormat="false" ht="14.25" hidden="false" customHeight="true" outlineLevel="0" collapsed="false">
      <c r="A516" s="18"/>
    </row>
    <row r="517" customFormat="false" ht="14.25" hidden="false" customHeight="true" outlineLevel="0" collapsed="false">
      <c r="A517" s="18"/>
    </row>
    <row r="518" customFormat="false" ht="14.25" hidden="false" customHeight="true" outlineLevel="0" collapsed="false">
      <c r="A518" s="18"/>
    </row>
    <row r="519" customFormat="false" ht="14.25" hidden="false" customHeight="true" outlineLevel="0" collapsed="false">
      <c r="A519" s="18"/>
    </row>
    <row r="520" customFormat="false" ht="14.25" hidden="false" customHeight="true" outlineLevel="0" collapsed="false">
      <c r="A520" s="18"/>
    </row>
    <row r="521" customFormat="false" ht="14.25" hidden="false" customHeight="true" outlineLevel="0" collapsed="false">
      <c r="A521" s="18"/>
    </row>
    <row r="522" customFormat="false" ht="14.25" hidden="false" customHeight="true" outlineLevel="0" collapsed="false">
      <c r="A522" s="18"/>
    </row>
    <row r="523" customFormat="false" ht="14.25" hidden="false" customHeight="true" outlineLevel="0" collapsed="false">
      <c r="A523" s="18"/>
    </row>
    <row r="524" customFormat="false" ht="14.25" hidden="false" customHeight="true" outlineLevel="0" collapsed="false">
      <c r="A524" s="18"/>
    </row>
    <row r="525" customFormat="false" ht="14.25" hidden="false" customHeight="true" outlineLevel="0" collapsed="false">
      <c r="A525" s="18"/>
    </row>
    <row r="526" customFormat="false" ht="14.25" hidden="false" customHeight="true" outlineLevel="0" collapsed="false">
      <c r="A526" s="18"/>
    </row>
    <row r="527" customFormat="false" ht="14.25" hidden="false" customHeight="true" outlineLevel="0" collapsed="false">
      <c r="A527" s="18"/>
    </row>
    <row r="528" customFormat="false" ht="14.25" hidden="false" customHeight="true" outlineLevel="0" collapsed="false">
      <c r="A528" s="18"/>
    </row>
    <row r="529" customFormat="false" ht="14.25" hidden="false" customHeight="true" outlineLevel="0" collapsed="false">
      <c r="A529" s="18"/>
    </row>
    <row r="530" customFormat="false" ht="14.25" hidden="false" customHeight="true" outlineLevel="0" collapsed="false">
      <c r="A530" s="18"/>
    </row>
    <row r="531" customFormat="false" ht="14.25" hidden="false" customHeight="true" outlineLevel="0" collapsed="false">
      <c r="A531" s="18"/>
    </row>
    <row r="532" customFormat="false" ht="14.25" hidden="false" customHeight="true" outlineLevel="0" collapsed="false">
      <c r="A532" s="18"/>
    </row>
    <row r="533" customFormat="false" ht="14.25" hidden="false" customHeight="true" outlineLevel="0" collapsed="false">
      <c r="A533" s="18"/>
    </row>
    <row r="534" customFormat="false" ht="14.25" hidden="false" customHeight="true" outlineLevel="0" collapsed="false">
      <c r="A534" s="18"/>
    </row>
    <row r="535" customFormat="false" ht="14.25" hidden="false" customHeight="true" outlineLevel="0" collapsed="false">
      <c r="A535" s="18"/>
    </row>
    <row r="536" customFormat="false" ht="14.25" hidden="false" customHeight="true" outlineLevel="0" collapsed="false">
      <c r="A536" s="18"/>
    </row>
    <row r="537" customFormat="false" ht="14.25" hidden="false" customHeight="true" outlineLevel="0" collapsed="false">
      <c r="A537" s="18"/>
    </row>
    <row r="538" customFormat="false" ht="14.25" hidden="false" customHeight="true" outlineLevel="0" collapsed="false">
      <c r="A538" s="18"/>
    </row>
    <row r="539" customFormat="false" ht="14.25" hidden="false" customHeight="true" outlineLevel="0" collapsed="false">
      <c r="A539" s="18"/>
    </row>
    <row r="540" customFormat="false" ht="14.25" hidden="false" customHeight="true" outlineLevel="0" collapsed="false">
      <c r="A540" s="18"/>
    </row>
    <row r="541" customFormat="false" ht="14.25" hidden="false" customHeight="true" outlineLevel="0" collapsed="false">
      <c r="A541" s="18"/>
    </row>
    <row r="542" customFormat="false" ht="14.25" hidden="false" customHeight="true" outlineLevel="0" collapsed="false">
      <c r="A542" s="18"/>
    </row>
    <row r="543" customFormat="false" ht="14.25" hidden="false" customHeight="true" outlineLevel="0" collapsed="false">
      <c r="A543" s="18"/>
    </row>
    <row r="544" customFormat="false" ht="14.25" hidden="false" customHeight="true" outlineLevel="0" collapsed="false">
      <c r="A544" s="18"/>
    </row>
    <row r="545" customFormat="false" ht="14.25" hidden="false" customHeight="true" outlineLevel="0" collapsed="false">
      <c r="A545" s="18"/>
    </row>
    <row r="546" customFormat="false" ht="14.25" hidden="false" customHeight="true" outlineLevel="0" collapsed="false">
      <c r="A546" s="18"/>
    </row>
    <row r="547" customFormat="false" ht="14.25" hidden="false" customHeight="true" outlineLevel="0" collapsed="false">
      <c r="A547" s="18"/>
    </row>
    <row r="548" customFormat="false" ht="14.25" hidden="false" customHeight="true" outlineLevel="0" collapsed="false">
      <c r="A548" s="18"/>
    </row>
    <row r="549" customFormat="false" ht="14.25" hidden="false" customHeight="true" outlineLevel="0" collapsed="false">
      <c r="A549" s="18"/>
    </row>
    <row r="550" customFormat="false" ht="14.25" hidden="false" customHeight="true" outlineLevel="0" collapsed="false">
      <c r="A550" s="18"/>
    </row>
    <row r="551" customFormat="false" ht="14.25" hidden="false" customHeight="true" outlineLevel="0" collapsed="false">
      <c r="A551" s="18"/>
    </row>
    <row r="552" customFormat="false" ht="14.25" hidden="false" customHeight="true" outlineLevel="0" collapsed="false">
      <c r="A552" s="18"/>
    </row>
    <row r="553" customFormat="false" ht="14.25" hidden="false" customHeight="true" outlineLevel="0" collapsed="false">
      <c r="A553" s="18"/>
    </row>
    <row r="554" customFormat="false" ht="14.25" hidden="false" customHeight="true" outlineLevel="0" collapsed="false">
      <c r="A554" s="18"/>
    </row>
    <row r="555" customFormat="false" ht="14.25" hidden="false" customHeight="true" outlineLevel="0" collapsed="false">
      <c r="A555" s="18"/>
    </row>
    <row r="556" customFormat="false" ht="14.25" hidden="false" customHeight="true" outlineLevel="0" collapsed="false">
      <c r="A556" s="18"/>
    </row>
    <row r="557" customFormat="false" ht="14.25" hidden="false" customHeight="true" outlineLevel="0" collapsed="false">
      <c r="A557" s="18"/>
    </row>
    <row r="558" customFormat="false" ht="14.25" hidden="false" customHeight="true" outlineLevel="0" collapsed="false">
      <c r="A558" s="18"/>
    </row>
    <row r="559" customFormat="false" ht="14.25" hidden="false" customHeight="true" outlineLevel="0" collapsed="false">
      <c r="A559" s="18"/>
    </row>
    <row r="560" customFormat="false" ht="14.25" hidden="false" customHeight="true" outlineLevel="0" collapsed="false">
      <c r="A560" s="18"/>
    </row>
    <row r="561" customFormat="false" ht="14.25" hidden="false" customHeight="true" outlineLevel="0" collapsed="false">
      <c r="A561" s="18"/>
    </row>
    <row r="562" customFormat="false" ht="14.25" hidden="false" customHeight="true" outlineLevel="0" collapsed="false">
      <c r="A562" s="18"/>
    </row>
    <row r="563" customFormat="false" ht="14.25" hidden="false" customHeight="true" outlineLevel="0" collapsed="false">
      <c r="A563" s="18"/>
    </row>
    <row r="564" customFormat="false" ht="14.25" hidden="false" customHeight="true" outlineLevel="0" collapsed="false">
      <c r="A564" s="18"/>
    </row>
    <row r="565" customFormat="false" ht="14.25" hidden="false" customHeight="true" outlineLevel="0" collapsed="false">
      <c r="A565" s="18"/>
    </row>
    <row r="566" customFormat="false" ht="14.25" hidden="false" customHeight="true" outlineLevel="0" collapsed="false">
      <c r="A566" s="18"/>
    </row>
    <row r="567" customFormat="false" ht="14.25" hidden="false" customHeight="true" outlineLevel="0" collapsed="false">
      <c r="A567" s="18"/>
    </row>
    <row r="568" customFormat="false" ht="14.25" hidden="false" customHeight="true" outlineLevel="0" collapsed="false">
      <c r="A568" s="18"/>
    </row>
    <row r="569" customFormat="false" ht="14.25" hidden="false" customHeight="true" outlineLevel="0" collapsed="false">
      <c r="A569" s="18"/>
    </row>
    <row r="570" customFormat="false" ht="14.25" hidden="false" customHeight="true" outlineLevel="0" collapsed="false">
      <c r="A570" s="18"/>
    </row>
    <row r="571" customFormat="false" ht="14.25" hidden="false" customHeight="true" outlineLevel="0" collapsed="false">
      <c r="A571" s="18"/>
    </row>
    <row r="572" customFormat="false" ht="14.25" hidden="false" customHeight="true" outlineLevel="0" collapsed="false">
      <c r="A572" s="18"/>
    </row>
    <row r="573" customFormat="false" ht="14.25" hidden="false" customHeight="true" outlineLevel="0" collapsed="false">
      <c r="A573" s="18"/>
    </row>
    <row r="574" customFormat="false" ht="14.25" hidden="false" customHeight="true" outlineLevel="0" collapsed="false">
      <c r="A574" s="18"/>
    </row>
    <row r="575" customFormat="false" ht="14.25" hidden="false" customHeight="true" outlineLevel="0" collapsed="false">
      <c r="A575" s="18"/>
    </row>
    <row r="576" customFormat="false" ht="14.25" hidden="false" customHeight="true" outlineLevel="0" collapsed="false">
      <c r="A576" s="18"/>
    </row>
    <row r="577" customFormat="false" ht="14.25" hidden="false" customHeight="true" outlineLevel="0" collapsed="false">
      <c r="A577" s="18"/>
    </row>
    <row r="578" customFormat="false" ht="14.25" hidden="false" customHeight="true" outlineLevel="0" collapsed="false">
      <c r="A578" s="18"/>
    </row>
    <row r="579" customFormat="false" ht="14.25" hidden="false" customHeight="true" outlineLevel="0" collapsed="false">
      <c r="A579" s="18"/>
    </row>
    <row r="580" customFormat="false" ht="14.25" hidden="false" customHeight="true" outlineLevel="0" collapsed="false">
      <c r="A580" s="18"/>
    </row>
    <row r="581" customFormat="false" ht="14.25" hidden="false" customHeight="true" outlineLevel="0" collapsed="false">
      <c r="A581" s="18"/>
    </row>
    <row r="582" customFormat="false" ht="14.25" hidden="false" customHeight="true" outlineLevel="0" collapsed="false">
      <c r="A582" s="18"/>
    </row>
    <row r="583" customFormat="false" ht="14.25" hidden="false" customHeight="true" outlineLevel="0" collapsed="false">
      <c r="A583" s="18"/>
    </row>
    <row r="584" customFormat="false" ht="14.25" hidden="false" customHeight="true" outlineLevel="0" collapsed="false">
      <c r="A584" s="18"/>
    </row>
    <row r="585" customFormat="false" ht="14.25" hidden="false" customHeight="true" outlineLevel="0" collapsed="false">
      <c r="A585" s="18"/>
    </row>
    <row r="586" customFormat="false" ht="14.25" hidden="false" customHeight="true" outlineLevel="0" collapsed="false">
      <c r="A586" s="18"/>
    </row>
    <row r="587" customFormat="false" ht="14.25" hidden="false" customHeight="true" outlineLevel="0" collapsed="false">
      <c r="A587" s="18"/>
    </row>
    <row r="588" customFormat="false" ht="14.25" hidden="false" customHeight="true" outlineLevel="0" collapsed="false">
      <c r="A588" s="18"/>
    </row>
    <row r="589" customFormat="false" ht="14.25" hidden="false" customHeight="true" outlineLevel="0" collapsed="false">
      <c r="A589" s="18"/>
    </row>
    <row r="590" customFormat="false" ht="14.25" hidden="false" customHeight="true" outlineLevel="0" collapsed="false">
      <c r="A590" s="18"/>
    </row>
    <row r="591" customFormat="false" ht="14.25" hidden="false" customHeight="true" outlineLevel="0" collapsed="false">
      <c r="A591" s="18"/>
    </row>
    <row r="592" customFormat="false" ht="14.25" hidden="false" customHeight="true" outlineLevel="0" collapsed="false">
      <c r="A592" s="18"/>
    </row>
    <row r="593" customFormat="false" ht="14.25" hidden="false" customHeight="true" outlineLevel="0" collapsed="false">
      <c r="A593" s="18"/>
    </row>
    <row r="594" customFormat="false" ht="14.25" hidden="false" customHeight="true" outlineLevel="0" collapsed="false">
      <c r="A594" s="18"/>
    </row>
    <row r="595" customFormat="false" ht="14.25" hidden="false" customHeight="true" outlineLevel="0" collapsed="false">
      <c r="A595" s="18"/>
    </row>
    <row r="596" customFormat="false" ht="14.25" hidden="false" customHeight="true" outlineLevel="0" collapsed="false">
      <c r="A596" s="18"/>
    </row>
    <row r="597" customFormat="false" ht="14.25" hidden="false" customHeight="true" outlineLevel="0" collapsed="false">
      <c r="A597" s="18"/>
    </row>
    <row r="598" customFormat="false" ht="14.25" hidden="false" customHeight="true" outlineLevel="0" collapsed="false">
      <c r="A598" s="18"/>
    </row>
    <row r="599" customFormat="false" ht="14.25" hidden="false" customHeight="true" outlineLevel="0" collapsed="false">
      <c r="A599" s="18"/>
    </row>
    <row r="600" customFormat="false" ht="14.25" hidden="false" customHeight="true" outlineLevel="0" collapsed="false">
      <c r="A600" s="18"/>
    </row>
    <row r="601" customFormat="false" ht="14.25" hidden="false" customHeight="true" outlineLevel="0" collapsed="false">
      <c r="A601" s="18"/>
    </row>
    <row r="602" customFormat="false" ht="14.25" hidden="false" customHeight="true" outlineLevel="0" collapsed="false">
      <c r="A602" s="18"/>
    </row>
    <row r="603" customFormat="false" ht="14.25" hidden="false" customHeight="true" outlineLevel="0" collapsed="false">
      <c r="A603" s="18"/>
    </row>
    <row r="604" customFormat="false" ht="14.25" hidden="false" customHeight="true" outlineLevel="0" collapsed="false">
      <c r="A604" s="18"/>
    </row>
    <row r="605" customFormat="false" ht="14.25" hidden="false" customHeight="true" outlineLevel="0" collapsed="false">
      <c r="A605" s="18"/>
    </row>
    <row r="606" customFormat="false" ht="14.25" hidden="false" customHeight="true" outlineLevel="0" collapsed="false">
      <c r="A606" s="18"/>
    </row>
    <row r="607" customFormat="false" ht="14.25" hidden="false" customHeight="true" outlineLevel="0" collapsed="false">
      <c r="A607" s="18"/>
    </row>
    <row r="608" customFormat="false" ht="14.25" hidden="false" customHeight="true" outlineLevel="0" collapsed="false">
      <c r="A608" s="18"/>
    </row>
    <row r="609" customFormat="false" ht="14.25" hidden="false" customHeight="true" outlineLevel="0" collapsed="false">
      <c r="A609" s="18"/>
    </row>
    <row r="610" customFormat="false" ht="14.25" hidden="false" customHeight="true" outlineLevel="0" collapsed="false">
      <c r="A610" s="18"/>
    </row>
    <row r="611" customFormat="false" ht="14.25" hidden="false" customHeight="true" outlineLevel="0" collapsed="false">
      <c r="A611" s="18"/>
    </row>
    <row r="612" customFormat="false" ht="14.25" hidden="false" customHeight="true" outlineLevel="0" collapsed="false">
      <c r="A612" s="18"/>
    </row>
    <row r="613" customFormat="false" ht="14.25" hidden="false" customHeight="true" outlineLevel="0" collapsed="false">
      <c r="A613" s="18"/>
    </row>
    <row r="614" customFormat="false" ht="14.25" hidden="false" customHeight="true" outlineLevel="0" collapsed="false">
      <c r="A614" s="18"/>
    </row>
    <row r="615" customFormat="false" ht="14.25" hidden="false" customHeight="true" outlineLevel="0" collapsed="false">
      <c r="A615" s="18"/>
    </row>
    <row r="616" customFormat="false" ht="14.25" hidden="false" customHeight="true" outlineLevel="0" collapsed="false">
      <c r="A616" s="18"/>
    </row>
    <row r="617" customFormat="false" ht="14.25" hidden="false" customHeight="true" outlineLevel="0" collapsed="false">
      <c r="A617" s="18"/>
    </row>
    <row r="618" customFormat="false" ht="14.25" hidden="false" customHeight="true" outlineLevel="0" collapsed="false">
      <c r="A618" s="18"/>
    </row>
    <row r="619" customFormat="false" ht="14.25" hidden="false" customHeight="true" outlineLevel="0" collapsed="false">
      <c r="A619" s="18"/>
    </row>
    <row r="620" customFormat="false" ht="14.25" hidden="false" customHeight="true" outlineLevel="0" collapsed="false">
      <c r="A620" s="18"/>
    </row>
    <row r="621" customFormat="false" ht="14.25" hidden="false" customHeight="true" outlineLevel="0" collapsed="false">
      <c r="A621" s="18"/>
    </row>
    <row r="622" customFormat="false" ht="14.25" hidden="false" customHeight="true" outlineLevel="0" collapsed="false">
      <c r="A622" s="18"/>
    </row>
    <row r="623" customFormat="false" ht="14.25" hidden="false" customHeight="true" outlineLevel="0" collapsed="false">
      <c r="A623" s="18"/>
    </row>
    <row r="624" customFormat="false" ht="14.25" hidden="false" customHeight="true" outlineLevel="0" collapsed="false">
      <c r="A624" s="18"/>
    </row>
    <row r="625" customFormat="false" ht="14.25" hidden="false" customHeight="true" outlineLevel="0" collapsed="false">
      <c r="A625" s="18"/>
    </row>
    <row r="626" customFormat="false" ht="14.25" hidden="false" customHeight="true" outlineLevel="0" collapsed="false">
      <c r="A626" s="18"/>
    </row>
    <row r="627" customFormat="false" ht="14.25" hidden="false" customHeight="true" outlineLevel="0" collapsed="false">
      <c r="A627" s="18"/>
    </row>
    <row r="628" customFormat="false" ht="14.25" hidden="false" customHeight="true" outlineLevel="0" collapsed="false">
      <c r="A628" s="18"/>
    </row>
    <row r="629" customFormat="false" ht="14.25" hidden="false" customHeight="true" outlineLevel="0" collapsed="false">
      <c r="A629" s="18"/>
    </row>
    <row r="630" customFormat="false" ht="14.25" hidden="false" customHeight="true" outlineLevel="0" collapsed="false">
      <c r="A630" s="18"/>
    </row>
    <row r="631" customFormat="false" ht="14.25" hidden="false" customHeight="true" outlineLevel="0" collapsed="false">
      <c r="A631" s="18"/>
    </row>
    <row r="632" customFormat="false" ht="14.25" hidden="false" customHeight="true" outlineLevel="0" collapsed="false">
      <c r="A632" s="18"/>
    </row>
    <row r="633" customFormat="false" ht="14.25" hidden="false" customHeight="true" outlineLevel="0" collapsed="false">
      <c r="A633" s="18"/>
    </row>
    <row r="634" customFormat="false" ht="14.25" hidden="false" customHeight="true" outlineLevel="0" collapsed="false">
      <c r="A634" s="18"/>
    </row>
    <row r="635" customFormat="false" ht="14.25" hidden="false" customHeight="true" outlineLevel="0" collapsed="false">
      <c r="A635" s="18"/>
    </row>
    <row r="636" customFormat="false" ht="14.25" hidden="false" customHeight="true" outlineLevel="0" collapsed="false">
      <c r="A636" s="18"/>
    </row>
    <row r="637" customFormat="false" ht="14.25" hidden="false" customHeight="true" outlineLevel="0" collapsed="false">
      <c r="A637" s="18"/>
    </row>
    <row r="638" customFormat="false" ht="14.25" hidden="false" customHeight="true" outlineLevel="0" collapsed="false">
      <c r="A638" s="18"/>
    </row>
    <row r="639" customFormat="false" ht="14.25" hidden="false" customHeight="true" outlineLevel="0" collapsed="false">
      <c r="A639" s="18"/>
    </row>
    <row r="640" customFormat="false" ht="14.25" hidden="false" customHeight="true" outlineLevel="0" collapsed="false">
      <c r="A640" s="18"/>
    </row>
    <row r="641" customFormat="false" ht="14.25" hidden="false" customHeight="true" outlineLevel="0" collapsed="false">
      <c r="A641" s="18"/>
    </row>
    <row r="642" customFormat="false" ht="14.25" hidden="false" customHeight="true" outlineLevel="0" collapsed="false">
      <c r="A642" s="18"/>
    </row>
    <row r="643" customFormat="false" ht="14.25" hidden="false" customHeight="true" outlineLevel="0" collapsed="false">
      <c r="A643" s="18"/>
    </row>
    <row r="644" customFormat="false" ht="14.25" hidden="false" customHeight="true" outlineLevel="0" collapsed="false">
      <c r="A644" s="18"/>
    </row>
    <row r="645" customFormat="false" ht="14.25" hidden="false" customHeight="true" outlineLevel="0" collapsed="false">
      <c r="A645" s="18"/>
    </row>
    <row r="646" customFormat="false" ht="14.25" hidden="false" customHeight="true" outlineLevel="0" collapsed="false">
      <c r="A646" s="18"/>
    </row>
    <row r="647" customFormat="false" ht="14.25" hidden="false" customHeight="true" outlineLevel="0" collapsed="false">
      <c r="A647" s="18"/>
    </row>
    <row r="648" customFormat="false" ht="14.25" hidden="false" customHeight="true" outlineLevel="0" collapsed="false">
      <c r="A648" s="18"/>
    </row>
    <row r="649" customFormat="false" ht="14.25" hidden="false" customHeight="true" outlineLevel="0" collapsed="false">
      <c r="A649" s="18"/>
    </row>
    <row r="650" customFormat="false" ht="14.25" hidden="false" customHeight="true" outlineLevel="0" collapsed="false">
      <c r="A650" s="18"/>
    </row>
    <row r="651" customFormat="false" ht="14.25" hidden="false" customHeight="true" outlineLevel="0" collapsed="false">
      <c r="A651" s="18"/>
    </row>
    <row r="652" customFormat="false" ht="14.25" hidden="false" customHeight="true" outlineLevel="0" collapsed="false">
      <c r="A652" s="18"/>
    </row>
    <row r="653" customFormat="false" ht="14.25" hidden="false" customHeight="true" outlineLevel="0" collapsed="false">
      <c r="A653" s="18"/>
    </row>
    <row r="654" customFormat="false" ht="14.25" hidden="false" customHeight="true" outlineLevel="0" collapsed="false">
      <c r="A654" s="18"/>
    </row>
    <row r="655" customFormat="false" ht="14.25" hidden="false" customHeight="true" outlineLevel="0" collapsed="false">
      <c r="A655" s="18"/>
    </row>
    <row r="656" customFormat="false" ht="14.25" hidden="false" customHeight="true" outlineLevel="0" collapsed="false">
      <c r="A656" s="18"/>
    </row>
    <row r="657" customFormat="false" ht="14.25" hidden="false" customHeight="true" outlineLevel="0" collapsed="false">
      <c r="A657" s="18"/>
    </row>
    <row r="658" customFormat="false" ht="14.25" hidden="false" customHeight="true" outlineLevel="0" collapsed="false">
      <c r="A658" s="18"/>
    </row>
    <row r="659" customFormat="false" ht="14.25" hidden="false" customHeight="true" outlineLevel="0" collapsed="false">
      <c r="A659" s="18"/>
    </row>
    <row r="660" customFormat="false" ht="14.25" hidden="false" customHeight="true" outlineLevel="0" collapsed="false">
      <c r="A660" s="18"/>
    </row>
    <row r="661" customFormat="false" ht="14.25" hidden="false" customHeight="true" outlineLevel="0" collapsed="false">
      <c r="A661" s="18"/>
    </row>
    <row r="662" customFormat="false" ht="14.25" hidden="false" customHeight="true" outlineLevel="0" collapsed="false">
      <c r="A662" s="18"/>
    </row>
    <row r="663" customFormat="false" ht="14.25" hidden="false" customHeight="true" outlineLevel="0" collapsed="false">
      <c r="A663" s="18"/>
    </row>
    <row r="664" customFormat="false" ht="14.25" hidden="false" customHeight="true" outlineLevel="0" collapsed="false">
      <c r="A664" s="18"/>
    </row>
    <row r="665" customFormat="false" ht="14.25" hidden="false" customHeight="true" outlineLevel="0" collapsed="false">
      <c r="A665" s="18"/>
    </row>
    <row r="666" customFormat="false" ht="14.25" hidden="false" customHeight="true" outlineLevel="0" collapsed="false">
      <c r="A666" s="18"/>
    </row>
    <row r="667" customFormat="false" ht="14.25" hidden="false" customHeight="true" outlineLevel="0" collapsed="false">
      <c r="A667" s="18"/>
    </row>
    <row r="668" customFormat="false" ht="14.25" hidden="false" customHeight="true" outlineLevel="0" collapsed="false">
      <c r="A668" s="18"/>
    </row>
    <row r="669" customFormat="false" ht="14.25" hidden="false" customHeight="true" outlineLevel="0" collapsed="false">
      <c r="A669" s="18"/>
    </row>
    <row r="670" customFormat="false" ht="14.25" hidden="false" customHeight="true" outlineLevel="0" collapsed="false">
      <c r="A670" s="18"/>
    </row>
    <row r="671" customFormat="false" ht="14.25" hidden="false" customHeight="true" outlineLevel="0" collapsed="false">
      <c r="A671" s="18"/>
    </row>
    <row r="672" customFormat="false" ht="14.25" hidden="false" customHeight="true" outlineLevel="0" collapsed="false">
      <c r="A672" s="18"/>
    </row>
    <row r="673" customFormat="false" ht="14.25" hidden="false" customHeight="true" outlineLevel="0" collapsed="false">
      <c r="A673" s="18"/>
    </row>
    <row r="674" customFormat="false" ht="14.25" hidden="false" customHeight="true" outlineLevel="0" collapsed="false">
      <c r="A674" s="18"/>
    </row>
    <row r="675" customFormat="false" ht="14.25" hidden="false" customHeight="true" outlineLevel="0" collapsed="false">
      <c r="A675" s="18"/>
    </row>
    <row r="676" customFormat="false" ht="14.25" hidden="false" customHeight="true" outlineLevel="0" collapsed="false">
      <c r="A676" s="18"/>
    </row>
    <row r="677" customFormat="false" ht="14.25" hidden="false" customHeight="true" outlineLevel="0" collapsed="false">
      <c r="A677" s="18"/>
    </row>
    <row r="678" customFormat="false" ht="14.25" hidden="false" customHeight="true" outlineLevel="0" collapsed="false">
      <c r="A678" s="18"/>
    </row>
    <row r="679" customFormat="false" ht="14.25" hidden="false" customHeight="true" outlineLevel="0" collapsed="false">
      <c r="A679" s="18"/>
    </row>
    <row r="680" customFormat="false" ht="14.25" hidden="false" customHeight="true" outlineLevel="0" collapsed="false">
      <c r="A680" s="18"/>
    </row>
    <row r="681" customFormat="false" ht="14.25" hidden="false" customHeight="true" outlineLevel="0" collapsed="false">
      <c r="A681" s="18"/>
    </row>
    <row r="682" customFormat="false" ht="14.25" hidden="false" customHeight="true" outlineLevel="0" collapsed="false">
      <c r="A682" s="18"/>
    </row>
    <row r="683" customFormat="false" ht="14.25" hidden="false" customHeight="true" outlineLevel="0" collapsed="false">
      <c r="A683" s="18"/>
    </row>
    <row r="684" customFormat="false" ht="14.25" hidden="false" customHeight="true" outlineLevel="0" collapsed="false">
      <c r="A684" s="18"/>
    </row>
    <row r="685" customFormat="false" ht="14.25" hidden="false" customHeight="true" outlineLevel="0" collapsed="false">
      <c r="A685" s="18"/>
    </row>
    <row r="686" customFormat="false" ht="14.25" hidden="false" customHeight="true" outlineLevel="0" collapsed="false">
      <c r="A686" s="18"/>
    </row>
    <row r="687" customFormat="false" ht="14.25" hidden="false" customHeight="true" outlineLevel="0" collapsed="false">
      <c r="A687" s="18"/>
    </row>
    <row r="688" customFormat="false" ht="14.25" hidden="false" customHeight="true" outlineLevel="0" collapsed="false">
      <c r="A688" s="18"/>
    </row>
    <row r="689" customFormat="false" ht="14.25" hidden="false" customHeight="true" outlineLevel="0" collapsed="false">
      <c r="A689" s="18"/>
    </row>
    <row r="690" customFormat="false" ht="14.25" hidden="false" customHeight="true" outlineLevel="0" collapsed="false">
      <c r="A690" s="18"/>
    </row>
    <row r="691" customFormat="false" ht="14.25" hidden="false" customHeight="true" outlineLevel="0" collapsed="false">
      <c r="A691" s="18"/>
    </row>
    <row r="692" customFormat="false" ht="14.25" hidden="false" customHeight="true" outlineLevel="0" collapsed="false">
      <c r="A692" s="18"/>
    </row>
    <row r="693" customFormat="false" ht="14.25" hidden="false" customHeight="true" outlineLevel="0" collapsed="false">
      <c r="A693" s="18"/>
    </row>
    <row r="694" customFormat="false" ht="14.25" hidden="false" customHeight="true" outlineLevel="0" collapsed="false">
      <c r="A694" s="18"/>
    </row>
    <row r="695" customFormat="false" ht="14.25" hidden="false" customHeight="true" outlineLevel="0" collapsed="false">
      <c r="A695" s="18"/>
    </row>
    <row r="696" customFormat="false" ht="14.25" hidden="false" customHeight="true" outlineLevel="0" collapsed="false">
      <c r="A696" s="18"/>
    </row>
    <row r="697" customFormat="false" ht="14.25" hidden="false" customHeight="true" outlineLevel="0" collapsed="false">
      <c r="A697" s="18"/>
    </row>
    <row r="698" customFormat="false" ht="14.25" hidden="false" customHeight="true" outlineLevel="0" collapsed="false">
      <c r="A698" s="18"/>
    </row>
    <row r="699" customFormat="false" ht="14.25" hidden="false" customHeight="true" outlineLevel="0" collapsed="false">
      <c r="A699" s="18"/>
    </row>
    <row r="700" customFormat="false" ht="14.25" hidden="false" customHeight="true" outlineLevel="0" collapsed="false">
      <c r="A700" s="18"/>
    </row>
    <row r="701" customFormat="false" ht="14.25" hidden="false" customHeight="true" outlineLevel="0" collapsed="false">
      <c r="A701" s="18"/>
    </row>
    <row r="702" customFormat="false" ht="14.25" hidden="false" customHeight="true" outlineLevel="0" collapsed="false">
      <c r="A702" s="18"/>
    </row>
    <row r="703" customFormat="false" ht="14.25" hidden="false" customHeight="true" outlineLevel="0" collapsed="false">
      <c r="A703" s="18"/>
    </row>
    <row r="704" customFormat="false" ht="14.25" hidden="false" customHeight="true" outlineLevel="0" collapsed="false">
      <c r="A704" s="18"/>
    </row>
    <row r="705" customFormat="false" ht="14.25" hidden="false" customHeight="true" outlineLevel="0" collapsed="false">
      <c r="A705" s="18"/>
    </row>
    <row r="706" customFormat="false" ht="14.25" hidden="false" customHeight="true" outlineLevel="0" collapsed="false">
      <c r="A706" s="18"/>
    </row>
    <row r="707" customFormat="false" ht="14.25" hidden="false" customHeight="true" outlineLevel="0" collapsed="false">
      <c r="A707" s="18"/>
    </row>
    <row r="708" customFormat="false" ht="14.25" hidden="false" customHeight="true" outlineLevel="0" collapsed="false">
      <c r="A708" s="18"/>
    </row>
    <row r="709" customFormat="false" ht="14.25" hidden="false" customHeight="true" outlineLevel="0" collapsed="false">
      <c r="A709" s="18"/>
    </row>
    <row r="710" customFormat="false" ht="14.25" hidden="false" customHeight="true" outlineLevel="0" collapsed="false">
      <c r="A710" s="18"/>
    </row>
    <row r="711" customFormat="false" ht="14.25" hidden="false" customHeight="true" outlineLevel="0" collapsed="false">
      <c r="A711" s="18"/>
    </row>
    <row r="712" customFormat="false" ht="14.25" hidden="false" customHeight="true" outlineLevel="0" collapsed="false">
      <c r="A712" s="18"/>
    </row>
    <row r="713" customFormat="false" ht="14.25" hidden="false" customHeight="true" outlineLevel="0" collapsed="false">
      <c r="A713" s="18"/>
    </row>
    <row r="714" customFormat="false" ht="14.25" hidden="false" customHeight="true" outlineLevel="0" collapsed="false">
      <c r="A714" s="18"/>
    </row>
    <row r="715" customFormat="false" ht="14.25" hidden="false" customHeight="true" outlineLevel="0" collapsed="false">
      <c r="A715" s="18"/>
    </row>
    <row r="716" customFormat="false" ht="14.25" hidden="false" customHeight="true" outlineLevel="0" collapsed="false">
      <c r="A716" s="18"/>
    </row>
    <row r="717" customFormat="false" ht="14.25" hidden="false" customHeight="true" outlineLevel="0" collapsed="false">
      <c r="A717" s="18"/>
    </row>
    <row r="718" customFormat="false" ht="14.25" hidden="false" customHeight="true" outlineLevel="0" collapsed="false">
      <c r="A718" s="18"/>
    </row>
    <row r="719" customFormat="false" ht="14.25" hidden="false" customHeight="true" outlineLevel="0" collapsed="false">
      <c r="A719" s="18"/>
    </row>
    <row r="720" customFormat="false" ht="14.25" hidden="false" customHeight="true" outlineLevel="0" collapsed="false">
      <c r="A720" s="18"/>
    </row>
    <row r="721" customFormat="false" ht="14.25" hidden="false" customHeight="true" outlineLevel="0" collapsed="false">
      <c r="A721" s="18"/>
    </row>
    <row r="722" customFormat="false" ht="14.25" hidden="false" customHeight="true" outlineLevel="0" collapsed="false">
      <c r="A722" s="18"/>
    </row>
    <row r="723" customFormat="false" ht="14.25" hidden="false" customHeight="true" outlineLevel="0" collapsed="false">
      <c r="A723" s="18"/>
    </row>
    <row r="724" customFormat="false" ht="14.25" hidden="false" customHeight="true" outlineLevel="0" collapsed="false">
      <c r="A724" s="18"/>
    </row>
    <row r="725" customFormat="false" ht="14.25" hidden="false" customHeight="true" outlineLevel="0" collapsed="false">
      <c r="A725" s="18"/>
    </row>
    <row r="726" customFormat="false" ht="14.25" hidden="false" customHeight="true" outlineLevel="0" collapsed="false">
      <c r="A726" s="18"/>
    </row>
    <row r="727" customFormat="false" ht="14.25" hidden="false" customHeight="true" outlineLevel="0" collapsed="false">
      <c r="A727" s="18"/>
    </row>
    <row r="728" customFormat="false" ht="14.25" hidden="false" customHeight="true" outlineLevel="0" collapsed="false">
      <c r="A728" s="18"/>
    </row>
    <row r="729" customFormat="false" ht="14.25" hidden="false" customHeight="true" outlineLevel="0" collapsed="false">
      <c r="A729" s="18"/>
    </row>
    <row r="730" customFormat="false" ht="14.25" hidden="false" customHeight="true" outlineLevel="0" collapsed="false">
      <c r="A730" s="18"/>
    </row>
    <row r="731" customFormat="false" ht="14.25" hidden="false" customHeight="true" outlineLevel="0" collapsed="false">
      <c r="A731" s="18"/>
    </row>
    <row r="732" customFormat="false" ht="14.25" hidden="false" customHeight="true" outlineLevel="0" collapsed="false">
      <c r="A732" s="18"/>
    </row>
    <row r="733" customFormat="false" ht="14.25" hidden="false" customHeight="true" outlineLevel="0" collapsed="false">
      <c r="A733" s="18"/>
    </row>
    <row r="734" customFormat="false" ht="14.25" hidden="false" customHeight="true" outlineLevel="0" collapsed="false">
      <c r="A734" s="18"/>
    </row>
    <row r="735" customFormat="false" ht="14.25" hidden="false" customHeight="true" outlineLevel="0" collapsed="false">
      <c r="A735" s="18"/>
    </row>
    <row r="736" customFormat="false" ht="14.25" hidden="false" customHeight="true" outlineLevel="0" collapsed="false">
      <c r="A736" s="18"/>
    </row>
    <row r="737" customFormat="false" ht="14.25" hidden="false" customHeight="true" outlineLevel="0" collapsed="false">
      <c r="A737" s="18"/>
    </row>
    <row r="738" customFormat="false" ht="14.25" hidden="false" customHeight="true" outlineLevel="0" collapsed="false">
      <c r="A738" s="18"/>
    </row>
    <row r="739" customFormat="false" ht="14.25" hidden="false" customHeight="true" outlineLevel="0" collapsed="false">
      <c r="A739" s="18"/>
    </row>
    <row r="740" customFormat="false" ht="14.25" hidden="false" customHeight="true" outlineLevel="0" collapsed="false">
      <c r="A740" s="18"/>
    </row>
    <row r="741" customFormat="false" ht="14.25" hidden="false" customHeight="true" outlineLevel="0" collapsed="false">
      <c r="A741" s="18"/>
    </row>
    <row r="742" customFormat="false" ht="14.25" hidden="false" customHeight="true" outlineLevel="0" collapsed="false">
      <c r="A742" s="18"/>
    </row>
    <row r="743" customFormat="false" ht="14.25" hidden="false" customHeight="true" outlineLevel="0" collapsed="false">
      <c r="A743" s="18"/>
    </row>
    <row r="744" customFormat="false" ht="14.25" hidden="false" customHeight="true" outlineLevel="0" collapsed="false">
      <c r="A744" s="18"/>
    </row>
    <row r="745" customFormat="false" ht="14.25" hidden="false" customHeight="true" outlineLevel="0" collapsed="false">
      <c r="A745" s="18"/>
    </row>
    <row r="746" customFormat="false" ht="14.25" hidden="false" customHeight="true" outlineLevel="0" collapsed="false">
      <c r="A746" s="18"/>
    </row>
    <row r="747" customFormat="false" ht="14.25" hidden="false" customHeight="true" outlineLevel="0" collapsed="false">
      <c r="A747" s="18"/>
    </row>
    <row r="748" customFormat="false" ht="14.25" hidden="false" customHeight="true" outlineLevel="0" collapsed="false">
      <c r="A748" s="18"/>
    </row>
    <row r="749" customFormat="false" ht="14.25" hidden="false" customHeight="true" outlineLevel="0" collapsed="false">
      <c r="A749" s="18"/>
    </row>
    <row r="750" customFormat="false" ht="14.25" hidden="false" customHeight="true" outlineLevel="0" collapsed="false">
      <c r="A750" s="18"/>
    </row>
    <row r="751" customFormat="false" ht="14.25" hidden="false" customHeight="true" outlineLevel="0" collapsed="false">
      <c r="A751" s="18"/>
    </row>
    <row r="752" customFormat="false" ht="14.25" hidden="false" customHeight="true" outlineLevel="0" collapsed="false">
      <c r="A752" s="18"/>
    </row>
    <row r="753" customFormat="false" ht="14.25" hidden="false" customHeight="true" outlineLevel="0" collapsed="false">
      <c r="A753" s="18"/>
    </row>
    <row r="754" customFormat="false" ht="14.25" hidden="false" customHeight="true" outlineLevel="0" collapsed="false">
      <c r="A754" s="18"/>
    </row>
    <row r="755" customFormat="false" ht="14.25" hidden="false" customHeight="true" outlineLevel="0" collapsed="false">
      <c r="A755" s="18"/>
    </row>
    <row r="756" customFormat="false" ht="14.25" hidden="false" customHeight="true" outlineLevel="0" collapsed="false">
      <c r="A756" s="18"/>
    </row>
    <row r="757" customFormat="false" ht="14.25" hidden="false" customHeight="true" outlineLevel="0" collapsed="false">
      <c r="A757" s="18"/>
    </row>
    <row r="758" customFormat="false" ht="14.25" hidden="false" customHeight="true" outlineLevel="0" collapsed="false">
      <c r="A758" s="18"/>
    </row>
    <row r="759" customFormat="false" ht="14.25" hidden="false" customHeight="true" outlineLevel="0" collapsed="false">
      <c r="A759" s="18"/>
    </row>
    <row r="760" customFormat="false" ht="14.25" hidden="false" customHeight="true" outlineLevel="0" collapsed="false">
      <c r="A760" s="18"/>
    </row>
    <row r="761" customFormat="false" ht="14.25" hidden="false" customHeight="true" outlineLevel="0" collapsed="false">
      <c r="A761" s="18"/>
    </row>
    <row r="762" customFormat="false" ht="14.25" hidden="false" customHeight="true" outlineLevel="0" collapsed="false">
      <c r="A762" s="18"/>
    </row>
    <row r="763" customFormat="false" ht="14.25" hidden="false" customHeight="true" outlineLevel="0" collapsed="false">
      <c r="A763" s="18"/>
    </row>
    <row r="764" customFormat="false" ht="14.25" hidden="false" customHeight="true" outlineLevel="0" collapsed="false">
      <c r="A764" s="18"/>
    </row>
    <row r="765" customFormat="false" ht="14.25" hidden="false" customHeight="true" outlineLevel="0" collapsed="false">
      <c r="A765" s="18"/>
    </row>
    <row r="766" customFormat="false" ht="14.25" hidden="false" customHeight="true" outlineLevel="0" collapsed="false">
      <c r="A766" s="18"/>
    </row>
    <row r="767" customFormat="false" ht="14.25" hidden="false" customHeight="true" outlineLevel="0" collapsed="false">
      <c r="A767" s="18"/>
    </row>
    <row r="768" customFormat="false" ht="14.25" hidden="false" customHeight="true" outlineLevel="0" collapsed="false">
      <c r="A768" s="18"/>
    </row>
    <row r="769" customFormat="false" ht="14.25" hidden="false" customHeight="true" outlineLevel="0" collapsed="false">
      <c r="A769" s="18"/>
    </row>
    <row r="770" customFormat="false" ht="14.25" hidden="false" customHeight="true" outlineLevel="0" collapsed="false">
      <c r="A770" s="18"/>
    </row>
    <row r="771" customFormat="false" ht="14.25" hidden="false" customHeight="true" outlineLevel="0" collapsed="false">
      <c r="A771" s="18"/>
    </row>
    <row r="772" customFormat="false" ht="14.25" hidden="false" customHeight="true" outlineLevel="0" collapsed="false">
      <c r="A772" s="18"/>
    </row>
    <row r="773" customFormat="false" ht="14.25" hidden="false" customHeight="true" outlineLevel="0" collapsed="false">
      <c r="A773" s="18"/>
    </row>
    <row r="774" customFormat="false" ht="14.25" hidden="false" customHeight="true" outlineLevel="0" collapsed="false">
      <c r="A774" s="18"/>
    </row>
    <row r="775" customFormat="false" ht="14.25" hidden="false" customHeight="true" outlineLevel="0" collapsed="false">
      <c r="A775" s="18"/>
    </row>
    <row r="776" customFormat="false" ht="14.25" hidden="false" customHeight="true" outlineLevel="0" collapsed="false">
      <c r="A776" s="18"/>
    </row>
    <row r="777" customFormat="false" ht="14.25" hidden="false" customHeight="true" outlineLevel="0" collapsed="false">
      <c r="A777" s="18"/>
    </row>
    <row r="778" customFormat="false" ht="14.25" hidden="false" customHeight="true" outlineLevel="0" collapsed="false">
      <c r="A778" s="18"/>
    </row>
    <row r="779" customFormat="false" ht="14.25" hidden="false" customHeight="true" outlineLevel="0" collapsed="false">
      <c r="A779" s="18"/>
    </row>
    <row r="780" customFormat="false" ht="14.25" hidden="false" customHeight="true" outlineLevel="0" collapsed="false">
      <c r="A780" s="18"/>
    </row>
    <row r="781" customFormat="false" ht="14.25" hidden="false" customHeight="true" outlineLevel="0" collapsed="false">
      <c r="A781" s="18"/>
    </row>
    <row r="782" customFormat="false" ht="14.25" hidden="false" customHeight="true" outlineLevel="0" collapsed="false">
      <c r="A782" s="18"/>
    </row>
    <row r="783" customFormat="false" ht="14.25" hidden="false" customHeight="true" outlineLevel="0" collapsed="false">
      <c r="A783" s="18"/>
    </row>
    <row r="784" customFormat="false" ht="14.25" hidden="false" customHeight="true" outlineLevel="0" collapsed="false">
      <c r="A784" s="18"/>
    </row>
    <row r="785" customFormat="false" ht="14.25" hidden="false" customHeight="true" outlineLevel="0" collapsed="false">
      <c r="A785" s="18"/>
    </row>
    <row r="786" customFormat="false" ht="14.25" hidden="false" customHeight="true" outlineLevel="0" collapsed="false">
      <c r="A786" s="18"/>
    </row>
    <row r="787" customFormat="false" ht="14.25" hidden="false" customHeight="true" outlineLevel="0" collapsed="false">
      <c r="A787" s="18"/>
    </row>
    <row r="788" customFormat="false" ht="14.25" hidden="false" customHeight="true" outlineLevel="0" collapsed="false">
      <c r="A788" s="18"/>
    </row>
    <row r="789" customFormat="false" ht="14.25" hidden="false" customHeight="true" outlineLevel="0" collapsed="false">
      <c r="A789" s="18"/>
    </row>
    <row r="790" customFormat="false" ht="14.25" hidden="false" customHeight="true" outlineLevel="0" collapsed="false">
      <c r="A790" s="18"/>
    </row>
    <row r="791" customFormat="false" ht="14.25" hidden="false" customHeight="true" outlineLevel="0" collapsed="false">
      <c r="A791" s="18"/>
    </row>
    <row r="792" customFormat="false" ht="14.25" hidden="false" customHeight="true" outlineLevel="0" collapsed="false">
      <c r="A792" s="18"/>
    </row>
    <row r="793" customFormat="false" ht="14.25" hidden="false" customHeight="true" outlineLevel="0" collapsed="false">
      <c r="A793" s="18"/>
    </row>
    <row r="794" customFormat="false" ht="14.25" hidden="false" customHeight="true" outlineLevel="0" collapsed="false">
      <c r="A794" s="18"/>
    </row>
    <row r="795" customFormat="false" ht="14.25" hidden="false" customHeight="true" outlineLevel="0" collapsed="false">
      <c r="A795" s="18"/>
    </row>
    <row r="796" customFormat="false" ht="14.25" hidden="false" customHeight="true" outlineLevel="0" collapsed="false">
      <c r="A796" s="18"/>
    </row>
    <row r="797" customFormat="false" ht="14.25" hidden="false" customHeight="true" outlineLevel="0" collapsed="false">
      <c r="A797" s="18"/>
    </row>
    <row r="798" customFormat="false" ht="14.25" hidden="false" customHeight="true" outlineLevel="0" collapsed="false">
      <c r="A798" s="18"/>
    </row>
    <row r="799" customFormat="false" ht="14.25" hidden="false" customHeight="true" outlineLevel="0" collapsed="false">
      <c r="A799" s="18"/>
    </row>
    <row r="800" customFormat="false" ht="14.25" hidden="false" customHeight="true" outlineLevel="0" collapsed="false">
      <c r="A800" s="18"/>
    </row>
    <row r="801" customFormat="false" ht="14.25" hidden="false" customHeight="true" outlineLevel="0" collapsed="false">
      <c r="A801" s="18"/>
    </row>
    <row r="802" customFormat="false" ht="14.25" hidden="false" customHeight="true" outlineLevel="0" collapsed="false">
      <c r="A802" s="18"/>
    </row>
    <row r="803" customFormat="false" ht="14.25" hidden="false" customHeight="true" outlineLevel="0" collapsed="false">
      <c r="A803" s="18"/>
    </row>
    <row r="804" customFormat="false" ht="14.25" hidden="false" customHeight="true" outlineLevel="0" collapsed="false">
      <c r="A804" s="18"/>
    </row>
    <row r="805" customFormat="false" ht="14.25" hidden="false" customHeight="true" outlineLevel="0" collapsed="false">
      <c r="A805" s="18"/>
    </row>
    <row r="806" customFormat="false" ht="14.25" hidden="false" customHeight="true" outlineLevel="0" collapsed="false">
      <c r="A806" s="18"/>
    </row>
    <row r="807" customFormat="false" ht="14.25" hidden="false" customHeight="true" outlineLevel="0" collapsed="false">
      <c r="A807" s="18"/>
    </row>
    <row r="808" customFormat="false" ht="14.25" hidden="false" customHeight="true" outlineLevel="0" collapsed="false">
      <c r="A808" s="18"/>
    </row>
    <row r="809" customFormat="false" ht="14.25" hidden="false" customHeight="true" outlineLevel="0" collapsed="false">
      <c r="A809" s="18"/>
    </row>
    <row r="810" customFormat="false" ht="14.25" hidden="false" customHeight="true" outlineLevel="0" collapsed="false">
      <c r="A810" s="18"/>
    </row>
    <row r="811" customFormat="false" ht="14.25" hidden="false" customHeight="true" outlineLevel="0" collapsed="false">
      <c r="A811" s="18"/>
    </row>
    <row r="812" customFormat="false" ht="14.25" hidden="false" customHeight="true" outlineLevel="0" collapsed="false">
      <c r="A812" s="18"/>
    </row>
    <row r="813" customFormat="false" ht="14.25" hidden="false" customHeight="true" outlineLevel="0" collapsed="false">
      <c r="A813" s="18"/>
    </row>
    <row r="814" customFormat="false" ht="14.25" hidden="false" customHeight="true" outlineLevel="0" collapsed="false">
      <c r="A814" s="18"/>
    </row>
    <row r="815" customFormat="false" ht="14.25" hidden="false" customHeight="true" outlineLevel="0" collapsed="false">
      <c r="A815" s="18"/>
    </row>
    <row r="816" customFormat="false" ht="14.25" hidden="false" customHeight="true" outlineLevel="0" collapsed="false">
      <c r="A816" s="18"/>
    </row>
    <row r="817" customFormat="false" ht="14.25" hidden="false" customHeight="true" outlineLevel="0" collapsed="false">
      <c r="A817" s="18"/>
    </row>
    <row r="818" customFormat="false" ht="14.25" hidden="false" customHeight="true" outlineLevel="0" collapsed="false">
      <c r="A818" s="18"/>
    </row>
    <row r="819" customFormat="false" ht="14.25" hidden="false" customHeight="true" outlineLevel="0" collapsed="false">
      <c r="A819" s="18"/>
    </row>
    <row r="820" customFormat="false" ht="14.25" hidden="false" customHeight="true" outlineLevel="0" collapsed="false">
      <c r="A820" s="18"/>
    </row>
    <row r="821" customFormat="false" ht="14.25" hidden="false" customHeight="true" outlineLevel="0" collapsed="false">
      <c r="A821" s="18"/>
    </row>
    <row r="822" customFormat="false" ht="14.25" hidden="false" customHeight="true" outlineLevel="0" collapsed="false">
      <c r="A822" s="18"/>
    </row>
    <row r="823" customFormat="false" ht="14.25" hidden="false" customHeight="true" outlineLevel="0" collapsed="false">
      <c r="A823" s="18"/>
    </row>
    <row r="824" customFormat="false" ht="14.25" hidden="false" customHeight="true" outlineLevel="0" collapsed="false">
      <c r="A824" s="18"/>
    </row>
    <row r="825" customFormat="false" ht="14.25" hidden="false" customHeight="true" outlineLevel="0" collapsed="false">
      <c r="A825" s="18"/>
    </row>
    <row r="826" customFormat="false" ht="14.25" hidden="false" customHeight="true" outlineLevel="0" collapsed="false">
      <c r="A826" s="18"/>
    </row>
    <row r="827" customFormat="false" ht="14.25" hidden="false" customHeight="true" outlineLevel="0" collapsed="false">
      <c r="A827" s="18"/>
    </row>
    <row r="828" customFormat="false" ht="14.25" hidden="false" customHeight="true" outlineLevel="0" collapsed="false">
      <c r="A828" s="18"/>
    </row>
    <row r="829" customFormat="false" ht="14.25" hidden="false" customHeight="true" outlineLevel="0" collapsed="false">
      <c r="A829" s="18"/>
    </row>
    <row r="830" customFormat="false" ht="14.25" hidden="false" customHeight="true" outlineLevel="0" collapsed="false">
      <c r="A830" s="18"/>
    </row>
    <row r="831" customFormat="false" ht="14.25" hidden="false" customHeight="true" outlineLevel="0" collapsed="false">
      <c r="A831" s="18"/>
    </row>
    <row r="832" customFormat="false" ht="14.25" hidden="false" customHeight="true" outlineLevel="0" collapsed="false">
      <c r="A832" s="18"/>
    </row>
    <row r="833" customFormat="false" ht="14.25" hidden="false" customHeight="true" outlineLevel="0" collapsed="false">
      <c r="A833" s="18"/>
    </row>
    <row r="834" customFormat="false" ht="14.25" hidden="false" customHeight="true" outlineLevel="0" collapsed="false">
      <c r="A834" s="18"/>
    </row>
    <row r="835" customFormat="false" ht="14.25" hidden="false" customHeight="true" outlineLevel="0" collapsed="false">
      <c r="A835" s="18"/>
    </row>
    <row r="836" customFormat="false" ht="14.25" hidden="false" customHeight="true" outlineLevel="0" collapsed="false">
      <c r="A836" s="18"/>
    </row>
    <row r="837" customFormat="false" ht="14.25" hidden="false" customHeight="true" outlineLevel="0" collapsed="false">
      <c r="A837" s="18"/>
    </row>
    <row r="838" customFormat="false" ht="14.25" hidden="false" customHeight="true" outlineLevel="0" collapsed="false">
      <c r="A838" s="18"/>
    </row>
    <row r="839" customFormat="false" ht="14.25" hidden="false" customHeight="true" outlineLevel="0" collapsed="false">
      <c r="A839" s="18"/>
    </row>
    <row r="840" customFormat="false" ht="14.25" hidden="false" customHeight="true" outlineLevel="0" collapsed="false">
      <c r="A840" s="18"/>
    </row>
    <row r="841" customFormat="false" ht="14.25" hidden="false" customHeight="true" outlineLevel="0" collapsed="false">
      <c r="A841" s="18"/>
    </row>
    <row r="842" customFormat="false" ht="14.25" hidden="false" customHeight="true" outlineLevel="0" collapsed="false">
      <c r="A842" s="18"/>
    </row>
    <row r="843" customFormat="false" ht="14.25" hidden="false" customHeight="true" outlineLevel="0" collapsed="false">
      <c r="A843" s="18"/>
    </row>
    <row r="844" customFormat="false" ht="14.25" hidden="false" customHeight="true" outlineLevel="0" collapsed="false">
      <c r="A844" s="18"/>
    </row>
    <row r="845" customFormat="false" ht="14.25" hidden="false" customHeight="true" outlineLevel="0" collapsed="false">
      <c r="A845" s="18"/>
    </row>
    <row r="846" customFormat="false" ht="14.25" hidden="false" customHeight="true" outlineLevel="0" collapsed="false">
      <c r="A846" s="18"/>
    </row>
    <row r="847" customFormat="false" ht="14.25" hidden="false" customHeight="true" outlineLevel="0" collapsed="false">
      <c r="A847" s="18"/>
    </row>
    <row r="848" customFormat="false" ht="14.25" hidden="false" customHeight="true" outlineLevel="0" collapsed="false">
      <c r="A848" s="18"/>
    </row>
    <row r="849" customFormat="false" ht="14.25" hidden="false" customHeight="true" outlineLevel="0" collapsed="false">
      <c r="A849" s="18"/>
    </row>
    <row r="850" customFormat="false" ht="14.25" hidden="false" customHeight="true" outlineLevel="0" collapsed="false">
      <c r="A850" s="18"/>
    </row>
    <row r="851" customFormat="false" ht="14.25" hidden="false" customHeight="true" outlineLevel="0" collapsed="false">
      <c r="A851" s="18"/>
    </row>
    <row r="852" customFormat="false" ht="14.25" hidden="false" customHeight="true" outlineLevel="0" collapsed="false">
      <c r="A852" s="18"/>
    </row>
    <row r="853" customFormat="false" ht="14.25" hidden="false" customHeight="true" outlineLevel="0" collapsed="false">
      <c r="A853" s="18"/>
    </row>
    <row r="854" customFormat="false" ht="14.25" hidden="false" customHeight="true" outlineLevel="0" collapsed="false">
      <c r="A854" s="18"/>
    </row>
    <row r="855" customFormat="false" ht="14.25" hidden="false" customHeight="true" outlineLevel="0" collapsed="false">
      <c r="A855" s="18"/>
    </row>
    <row r="856" customFormat="false" ht="14.25" hidden="false" customHeight="true" outlineLevel="0" collapsed="false">
      <c r="A856" s="18"/>
    </row>
    <row r="857" customFormat="false" ht="14.25" hidden="false" customHeight="true" outlineLevel="0" collapsed="false">
      <c r="A857" s="18"/>
    </row>
    <row r="858" customFormat="false" ht="14.25" hidden="false" customHeight="true" outlineLevel="0" collapsed="false">
      <c r="A858" s="18"/>
    </row>
    <row r="859" customFormat="false" ht="14.25" hidden="false" customHeight="true" outlineLevel="0" collapsed="false">
      <c r="A859" s="18"/>
    </row>
    <row r="860" customFormat="false" ht="14.25" hidden="false" customHeight="true" outlineLevel="0" collapsed="false">
      <c r="A860" s="18"/>
    </row>
    <row r="861" customFormat="false" ht="14.25" hidden="false" customHeight="true" outlineLevel="0" collapsed="false">
      <c r="A861" s="18"/>
    </row>
    <row r="862" customFormat="false" ht="14.25" hidden="false" customHeight="true" outlineLevel="0" collapsed="false">
      <c r="A862" s="18"/>
    </row>
    <row r="863" customFormat="false" ht="14.25" hidden="false" customHeight="true" outlineLevel="0" collapsed="false">
      <c r="A863" s="18"/>
    </row>
    <row r="864" customFormat="false" ht="14.25" hidden="false" customHeight="true" outlineLevel="0" collapsed="false">
      <c r="A864" s="18"/>
    </row>
    <row r="865" customFormat="false" ht="14.25" hidden="false" customHeight="true" outlineLevel="0" collapsed="false">
      <c r="A865" s="18"/>
    </row>
    <row r="866" customFormat="false" ht="14.25" hidden="false" customHeight="true" outlineLevel="0" collapsed="false">
      <c r="A866" s="18"/>
    </row>
    <row r="867" customFormat="false" ht="14.25" hidden="false" customHeight="true" outlineLevel="0" collapsed="false">
      <c r="A867" s="18"/>
    </row>
    <row r="868" customFormat="false" ht="14.25" hidden="false" customHeight="true" outlineLevel="0" collapsed="false">
      <c r="A868" s="18"/>
    </row>
    <row r="869" customFormat="false" ht="14.25" hidden="false" customHeight="true" outlineLevel="0" collapsed="false">
      <c r="A869" s="18"/>
    </row>
    <row r="870" customFormat="false" ht="14.25" hidden="false" customHeight="true" outlineLevel="0" collapsed="false">
      <c r="A870" s="18"/>
    </row>
    <row r="871" customFormat="false" ht="14.25" hidden="false" customHeight="true" outlineLevel="0" collapsed="false">
      <c r="A871" s="18"/>
    </row>
    <row r="872" customFormat="false" ht="14.25" hidden="false" customHeight="true" outlineLevel="0" collapsed="false">
      <c r="A872" s="18"/>
    </row>
    <row r="873" customFormat="false" ht="14.25" hidden="false" customHeight="true" outlineLevel="0" collapsed="false">
      <c r="A873" s="18"/>
    </row>
    <row r="874" customFormat="false" ht="14.25" hidden="false" customHeight="true" outlineLevel="0" collapsed="false">
      <c r="A874" s="18"/>
    </row>
    <row r="875" customFormat="false" ht="14.25" hidden="false" customHeight="true" outlineLevel="0" collapsed="false">
      <c r="A875" s="18"/>
    </row>
    <row r="876" customFormat="false" ht="14.25" hidden="false" customHeight="true" outlineLevel="0" collapsed="false">
      <c r="A876" s="18"/>
    </row>
    <row r="877" customFormat="false" ht="14.25" hidden="false" customHeight="true" outlineLevel="0" collapsed="false">
      <c r="A877" s="18"/>
    </row>
    <row r="878" customFormat="false" ht="14.25" hidden="false" customHeight="true" outlineLevel="0" collapsed="false">
      <c r="A878" s="18"/>
    </row>
    <row r="879" customFormat="false" ht="14.25" hidden="false" customHeight="true" outlineLevel="0" collapsed="false">
      <c r="A879" s="18"/>
    </row>
    <row r="880" customFormat="false" ht="14.25" hidden="false" customHeight="true" outlineLevel="0" collapsed="false">
      <c r="A880" s="18"/>
    </row>
    <row r="881" customFormat="false" ht="14.25" hidden="false" customHeight="true" outlineLevel="0" collapsed="false">
      <c r="A881" s="18"/>
    </row>
    <row r="882" customFormat="false" ht="14.25" hidden="false" customHeight="true" outlineLevel="0" collapsed="false">
      <c r="A882" s="18"/>
    </row>
    <row r="883" customFormat="false" ht="14.25" hidden="false" customHeight="true" outlineLevel="0" collapsed="false">
      <c r="A883" s="18"/>
    </row>
    <row r="884" customFormat="false" ht="14.25" hidden="false" customHeight="true" outlineLevel="0" collapsed="false">
      <c r="A884" s="18"/>
    </row>
    <row r="885" customFormat="false" ht="14.25" hidden="false" customHeight="true" outlineLevel="0" collapsed="false">
      <c r="A885" s="18"/>
    </row>
    <row r="886" customFormat="false" ht="14.25" hidden="false" customHeight="true" outlineLevel="0" collapsed="false">
      <c r="A886" s="18"/>
    </row>
    <row r="887" customFormat="false" ht="14.25" hidden="false" customHeight="true" outlineLevel="0" collapsed="false">
      <c r="A887" s="18"/>
    </row>
    <row r="888" customFormat="false" ht="14.25" hidden="false" customHeight="true" outlineLevel="0" collapsed="false">
      <c r="A888" s="18"/>
    </row>
    <row r="889" customFormat="false" ht="14.25" hidden="false" customHeight="true" outlineLevel="0" collapsed="false">
      <c r="A889" s="18"/>
    </row>
    <row r="890" customFormat="false" ht="14.25" hidden="false" customHeight="true" outlineLevel="0" collapsed="false">
      <c r="A890" s="18"/>
    </row>
    <row r="891" customFormat="false" ht="14.25" hidden="false" customHeight="true" outlineLevel="0" collapsed="false">
      <c r="A891" s="18"/>
    </row>
    <row r="892" customFormat="false" ht="14.25" hidden="false" customHeight="true" outlineLevel="0" collapsed="false">
      <c r="A892" s="18"/>
    </row>
    <row r="893" customFormat="false" ht="14.25" hidden="false" customHeight="true" outlineLevel="0" collapsed="false">
      <c r="A893" s="18"/>
    </row>
    <row r="894" customFormat="false" ht="14.25" hidden="false" customHeight="true" outlineLevel="0" collapsed="false">
      <c r="A894" s="18"/>
    </row>
    <row r="895" customFormat="false" ht="14.25" hidden="false" customHeight="true" outlineLevel="0" collapsed="false">
      <c r="A895" s="18"/>
    </row>
    <row r="896" customFormat="false" ht="14.25" hidden="false" customHeight="true" outlineLevel="0" collapsed="false">
      <c r="A896" s="18"/>
    </row>
    <row r="897" customFormat="false" ht="14.25" hidden="false" customHeight="true" outlineLevel="0" collapsed="false">
      <c r="A897" s="18"/>
    </row>
    <row r="898" customFormat="false" ht="14.25" hidden="false" customHeight="true" outlineLevel="0" collapsed="false">
      <c r="A898" s="18"/>
    </row>
    <row r="899" customFormat="false" ht="14.25" hidden="false" customHeight="true" outlineLevel="0" collapsed="false">
      <c r="A899" s="18"/>
    </row>
    <row r="900" customFormat="false" ht="14.25" hidden="false" customHeight="true" outlineLevel="0" collapsed="false">
      <c r="A900" s="18"/>
    </row>
    <row r="901" customFormat="false" ht="14.25" hidden="false" customHeight="true" outlineLevel="0" collapsed="false">
      <c r="A901" s="18"/>
    </row>
    <row r="902" customFormat="false" ht="14.25" hidden="false" customHeight="true" outlineLevel="0" collapsed="false">
      <c r="A902" s="18"/>
    </row>
    <row r="903" customFormat="false" ht="14.25" hidden="false" customHeight="true" outlineLevel="0" collapsed="false">
      <c r="A903" s="18"/>
    </row>
    <row r="904" customFormat="false" ht="14.25" hidden="false" customHeight="true" outlineLevel="0" collapsed="false">
      <c r="A904" s="18"/>
    </row>
    <row r="905" customFormat="false" ht="14.25" hidden="false" customHeight="true" outlineLevel="0" collapsed="false">
      <c r="A905" s="18"/>
    </row>
    <row r="906" customFormat="false" ht="14.25" hidden="false" customHeight="true" outlineLevel="0" collapsed="false">
      <c r="A906" s="18"/>
    </row>
    <row r="907" customFormat="false" ht="14.25" hidden="false" customHeight="true" outlineLevel="0" collapsed="false">
      <c r="A907" s="18"/>
    </row>
    <row r="908" customFormat="false" ht="14.25" hidden="false" customHeight="true" outlineLevel="0" collapsed="false">
      <c r="A908" s="18"/>
    </row>
    <row r="909" customFormat="false" ht="14.25" hidden="false" customHeight="true" outlineLevel="0" collapsed="false">
      <c r="A909" s="18"/>
    </row>
    <row r="910" customFormat="false" ht="14.25" hidden="false" customHeight="true" outlineLevel="0" collapsed="false">
      <c r="A910" s="18"/>
    </row>
    <row r="911" customFormat="false" ht="14.25" hidden="false" customHeight="true" outlineLevel="0" collapsed="false">
      <c r="A911" s="18"/>
    </row>
    <row r="912" customFormat="false" ht="14.25" hidden="false" customHeight="true" outlineLevel="0" collapsed="false">
      <c r="A912" s="18"/>
    </row>
    <row r="913" customFormat="false" ht="14.25" hidden="false" customHeight="true" outlineLevel="0" collapsed="false">
      <c r="A913" s="18"/>
    </row>
    <row r="914" customFormat="false" ht="14.25" hidden="false" customHeight="true" outlineLevel="0" collapsed="false">
      <c r="A914" s="18"/>
    </row>
    <row r="915" customFormat="false" ht="14.25" hidden="false" customHeight="true" outlineLevel="0" collapsed="false">
      <c r="A915" s="18"/>
    </row>
    <row r="916" customFormat="false" ht="14.25" hidden="false" customHeight="true" outlineLevel="0" collapsed="false">
      <c r="A916" s="18"/>
    </row>
    <row r="917" customFormat="false" ht="14.25" hidden="false" customHeight="true" outlineLevel="0" collapsed="false">
      <c r="A917" s="18"/>
    </row>
    <row r="918" customFormat="false" ht="14.25" hidden="false" customHeight="true" outlineLevel="0" collapsed="false">
      <c r="A918" s="18"/>
    </row>
    <row r="919" customFormat="false" ht="14.25" hidden="false" customHeight="true" outlineLevel="0" collapsed="false">
      <c r="A919" s="18"/>
    </row>
    <row r="920" customFormat="false" ht="14.25" hidden="false" customHeight="true" outlineLevel="0" collapsed="false">
      <c r="A920" s="18"/>
    </row>
    <row r="921" customFormat="false" ht="14.25" hidden="false" customHeight="true" outlineLevel="0" collapsed="false">
      <c r="A921" s="18"/>
    </row>
    <row r="922" customFormat="false" ht="14.25" hidden="false" customHeight="true" outlineLevel="0" collapsed="false">
      <c r="A922" s="18"/>
    </row>
    <row r="923" customFormat="false" ht="14.25" hidden="false" customHeight="true" outlineLevel="0" collapsed="false">
      <c r="A923" s="18"/>
    </row>
    <row r="924" customFormat="false" ht="14.25" hidden="false" customHeight="true" outlineLevel="0" collapsed="false">
      <c r="A924" s="18"/>
    </row>
    <row r="925" customFormat="false" ht="14.25" hidden="false" customHeight="true" outlineLevel="0" collapsed="false">
      <c r="A925" s="18"/>
    </row>
    <row r="926" customFormat="false" ht="14.25" hidden="false" customHeight="true" outlineLevel="0" collapsed="false">
      <c r="A926" s="18"/>
    </row>
    <row r="927" customFormat="false" ht="14.25" hidden="false" customHeight="true" outlineLevel="0" collapsed="false">
      <c r="A927" s="18"/>
    </row>
    <row r="928" customFormat="false" ht="14.25" hidden="false" customHeight="true" outlineLevel="0" collapsed="false">
      <c r="A928" s="18"/>
    </row>
    <row r="929" customFormat="false" ht="14.25" hidden="false" customHeight="true" outlineLevel="0" collapsed="false">
      <c r="A929" s="18"/>
    </row>
    <row r="930" customFormat="false" ht="14.25" hidden="false" customHeight="true" outlineLevel="0" collapsed="false">
      <c r="A930" s="18"/>
    </row>
    <row r="931" customFormat="false" ht="14.25" hidden="false" customHeight="true" outlineLevel="0" collapsed="false">
      <c r="A931" s="18"/>
    </row>
    <row r="932" customFormat="false" ht="14.25" hidden="false" customHeight="true" outlineLevel="0" collapsed="false">
      <c r="A932" s="18"/>
    </row>
    <row r="933" customFormat="false" ht="14.25" hidden="false" customHeight="true" outlineLevel="0" collapsed="false">
      <c r="A933" s="18"/>
    </row>
    <row r="934" customFormat="false" ht="14.25" hidden="false" customHeight="true" outlineLevel="0" collapsed="false">
      <c r="A934" s="18"/>
    </row>
    <row r="935" customFormat="false" ht="14.25" hidden="false" customHeight="true" outlineLevel="0" collapsed="false">
      <c r="A935" s="18"/>
    </row>
    <row r="936" customFormat="false" ht="14.25" hidden="false" customHeight="true" outlineLevel="0" collapsed="false">
      <c r="A936" s="18"/>
    </row>
    <row r="937" customFormat="false" ht="14.25" hidden="false" customHeight="true" outlineLevel="0" collapsed="false">
      <c r="A937" s="18"/>
    </row>
    <row r="938" customFormat="false" ht="14.25" hidden="false" customHeight="true" outlineLevel="0" collapsed="false">
      <c r="A938" s="18"/>
    </row>
    <row r="939" customFormat="false" ht="14.25" hidden="false" customHeight="true" outlineLevel="0" collapsed="false">
      <c r="A939" s="18"/>
    </row>
    <row r="940" customFormat="false" ht="14.25" hidden="false" customHeight="true" outlineLevel="0" collapsed="false">
      <c r="A940" s="18"/>
    </row>
    <row r="941" customFormat="false" ht="14.25" hidden="false" customHeight="true" outlineLevel="0" collapsed="false">
      <c r="A941" s="18"/>
    </row>
    <row r="942" customFormat="false" ht="14.25" hidden="false" customHeight="true" outlineLevel="0" collapsed="false">
      <c r="A942" s="18"/>
    </row>
    <row r="943" customFormat="false" ht="14.25" hidden="false" customHeight="true" outlineLevel="0" collapsed="false">
      <c r="A943" s="18"/>
    </row>
    <row r="944" customFormat="false" ht="14.25" hidden="false" customHeight="true" outlineLevel="0" collapsed="false">
      <c r="A944" s="18"/>
    </row>
    <row r="945" customFormat="false" ht="14.25" hidden="false" customHeight="true" outlineLevel="0" collapsed="false">
      <c r="A945" s="18"/>
    </row>
    <row r="946" customFormat="false" ht="14.25" hidden="false" customHeight="true" outlineLevel="0" collapsed="false">
      <c r="A946" s="18"/>
    </row>
    <row r="947" customFormat="false" ht="14.25" hidden="false" customHeight="true" outlineLevel="0" collapsed="false">
      <c r="A947" s="18"/>
    </row>
    <row r="948" customFormat="false" ht="14.25" hidden="false" customHeight="true" outlineLevel="0" collapsed="false">
      <c r="A948" s="18"/>
    </row>
    <row r="949" customFormat="false" ht="14.25" hidden="false" customHeight="true" outlineLevel="0" collapsed="false">
      <c r="A949" s="18"/>
    </row>
    <row r="950" customFormat="false" ht="14.25" hidden="false" customHeight="true" outlineLevel="0" collapsed="false">
      <c r="A950" s="18"/>
    </row>
    <row r="951" customFormat="false" ht="14.25" hidden="false" customHeight="true" outlineLevel="0" collapsed="false">
      <c r="A951" s="18"/>
    </row>
    <row r="952" customFormat="false" ht="14.25" hidden="false" customHeight="true" outlineLevel="0" collapsed="false">
      <c r="A952" s="18"/>
    </row>
    <row r="953" customFormat="false" ht="14.25" hidden="false" customHeight="true" outlineLevel="0" collapsed="false">
      <c r="A953" s="18"/>
    </row>
    <row r="954" customFormat="false" ht="14.25" hidden="false" customHeight="true" outlineLevel="0" collapsed="false">
      <c r="A954" s="18"/>
    </row>
    <row r="955" customFormat="false" ht="14.25" hidden="false" customHeight="true" outlineLevel="0" collapsed="false">
      <c r="A955" s="18"/>
    </row>
    <row r="956" customFormat="false" ht="14.25" hidden="false" customHeight="true" outlineLevel="0" collapsed="false">
      <c r="A956" s="18"/>
    </row>
    <row r="957" customFormat="false" ht="14.25" hidden="false" customHeight="true" outlineLevel="0" collapsed="false">
      <c r="A957" s="18"/>
    </row>
    <row r="958" customFormat="false" ht="14.25" hidden="false" customHeight="true" outlineLevel="0" collapsed="false">
      <c r="A958" s="18"/>
    </row>
    <row r="959" customFormat="false" ht="14.25" hidden="false" customHeight="true" outlineLevel="0" collapsed="false">
      <c r="A959" s="18"/>
    </row>
    <row r="960" customFormat="false" ht="14.25" hidden="false" customHeight="true" outlineLevel="0" collapsed="false">
      <c r="A960" s="18"/>
    </row>
    <row r="961" customFormat="false" ht="14.25" hidden="false" customHeight="true" outlineLevel="0" collapsed="false">
      <c r="A961" s="18"/>
    </row>
    <row r="962" customFormat="false" ht="14.25" hidden="false" customHeight="true" outlineLevel="0" collapsed="false">
      <c r="A962" s="18"/>
    </row>
    <row r="963" customFormat="false" ht="14.25" hidden="false" customHeight="true" outlineLevel="0" collapsed="false">
      <c r="A963" s="18"/>
    </row>
    <row r="964" customFormat="false" ht="14.25" hidden="false" customHeight="true" outlineLevel="0" collapsed="false">
      <c r="A964" s="18"/>
    </row>
    <row r="965" customFormat="false" ht="14.25" hidden="false" customHeight="true" outlineLevel="0" collapsed="false">
      <c r="A965" s="18"/>
    </row>
    <row r="966" customFormat="false" ht="14.25" hidden="false" customHeight="true" outlineLevel="0" collapsed="false">
      <c r="A966" s="18"/>
    </row>
    <row r="967" customFormat="false" ht="14.25" hidden="false" customHeight="true" outlineLevel="0" collapsed="false">
      <c r="A967" s="18"/>
    </row>
    <row r="968" customFormat="false" ht="14.25" hidden="false" customHeight="true" outlineLevel="0" collapsed="false">
      <c r="A968" s="18"/>
    </row>
    <row r="969" customFormat="false" ht="14.25" hidden="false" customHeight="true" outlineLevel="0" collapsed="false">
      <c r="A969" s="18"/>
    </row>
    <row r="970" customFormat="false" ht="14.25" hidden="false" customHeight="true" outlineLevel="0" collapsed="false">
      <c r="A970" s="18"/>
    </row>
    <row r="971" customFormat="false" ht="14.25" hidden="false" customHeight="true" outlineLevel="0" collapsed="false">
      <c r="A971" s="18"/>
    </row>
    <row r="972" customFormat="false" ht="14.25" hidden="false" customHeight="true" outlineLevel="0" collapsed="false">
      <c r="A972" s="18"/>
    </row>
    <row r="973" customFormat="false" ht="14.25" hidden="false" customHeight="true" outlineLevel="0" collapsed="false">
      <c r="A973" s="18"/>
    </row>
    <row r="974" customFormat="false" ht="14.25" hidden="false" customHeight="true" outlineLevel="0" collapsed="false">
      <c r="A974" s="18"/>
    </row>
    <row r="975" customFormat="false" ht="14.25" hidden="false" customHeight="true" outlineLevel="0" collapsed="false">
      <c r="A975" s="18"/>
    </row>
    <row r="976" customFormat="false" ht="14.25" hidden="false" customHeight="true" outlineLevel="0" collapsed="false">
      <c r="A976" s="18"/>
    </row>
    <row r="977" customFormat="false" ht="14.25" hidden="false" customHeight="true" outlineLevel="0" collapsed="false">
      <c r="A977" s="18"/>
    </row>
    <row r="978" customFormat="false" ht="14.25" hidden="false" customHeight="true" outlineLevel="0" collapsed="false">
      <c r="A978" s="18"/>
    </row>
    <row r="979" customFormat="false" ht="14.25" hidden="false" customHeight="true" outlineLevel="0" collapsed="false">
      <c r="A979" s="18"/>
    </row>
    <row r="980" customFormat="false" ht="14.25" hidden="false" customHeight="true" outlineLevel="0" collapsed="false">
      <c r="A980" s="18"/>
    </row>
    <row r="981" customFormat="false" ht="14.25" hidden="false" customHeight="true" outlineLevel="0" collapsed="false">
      <c r="A981" s="18"/>
    </row>
    <row r="982" customFormat="false" ht="14.25" hidden="false" customHeight="true" outlineLevel="0" collapsed="false">
      <c r="A982" s="18"/>
    </row>
    <row r="983" customFormat="false" ht="14.25" hidden="false" customHeight="true" outlineLevel="0" collapsed="false">
      <c r="A983" s="18"/>
    </row>
    <row r="984" customFormat="false" ht="14.25" hidden="false" customHeight="true" outlineLevel="0" collapsed="false">
      <c r="A984" s="18"/>
    </row>
    <row r="985" customFormat="false" ht="14.25" hidden="false" customHeight="true" outlineLevel="0" collapsed="false">
      <c r="A985" s="18"/>
    </row>
    <row r="986" customFormat="false" ht="14.25" hidden="false" customHeight="true" outlineLevel="0" collapsed="false">
      <c r="A986" s="18"/>
    </row>
    <row r="987" customFormat="false" ht="14.25" hidden="false" customHeight="true" outlineLevel="0" collapsed="false">
      <c r="A987" s="18"/>
    </row>
    <row r="988" customFormat="false" ht="14.25" hidden="false" customHeight="true" outlineLevel="0" collapsed="false">
      <c r="A988" s="18"/>
    </row>
    <row r="989" customFormat="false" ht="14.25" hidden="false" customHeight="true" outlineLevel="0" collapsed="false">
      <c r="A989" s="18"/>
    </row>
    <row r="990" customFormat="false" ht="14.25" hidden="false" customHeight="true" outlineLevel="0" collapsed="false">
      <c r="A990" s="18"/>
    </row>
    <row r="991" customFormat="false" ht="14.25" hidden="false" customHeight="true" outlineLevel="0" collapsed="false">
      <c r="A991" s="18"/>
    </row>
    <row r="992" customFormat="false" ht="14.25" hidden="false" customHeight="true" outlineLevel="0" collapsed="false">
      <c r="A992" s="18"/>
    </row>
    <row r="993" customFormat="false" ht="14.25" hidden="false" customHeight="true" outlineLevel="0" collapsed="false">
      <c r="A993" s="18"/>
    </row>
    <row r="994" customFormat="false" ht="14.25" hidden="false" customHeight="true" outlineLevel="0" collapsed="false">
      <c r="A994" s="18"/>
    </row>
    <row r="995" customFormat="false" ht="14.25" hidden="false" customHeight="true" outlineLevel="0" collapsed="false">
      <c r="A995" s="18"/>
    </row>
    <row r="996" customFormat="false" ht="14.25" hidden="false" customHeight="true" outlineLevel="0" collapsed="false">
      <c r="A996" s="18"/>
    </row>
    <row r="997" customFormat="false" ht="14.25" hidden="false" customHeight="true" outlineLevel="0" collapsed="false">
      <c r="A997" s="18"/>
    </row>
    <row r="998" customFormat="false" ht="14.25" hidden="false" customHeight="true" outlineLevel="0" collapsed="false">
      <c r="A998" s="18"/>
    </row>
    <row r="999" customFormat="false" ht="14.25" hidden="false" customHeight="true" outlineLevel="0" collapsed="false">
      <c r="A999" s="18"/>
    </row>
    <row r="1000" customFormat="false" ht="14.25" hidden="false" customHeight="true" outlineLevel="0" collapsed="false">
      <c r="A1000" s="18"/>
    </row>
  </sheetData>
  <conditionalFormatting sqref="A1:C96 A95:C95">
    <cfRule type="colorScale" priority="2">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6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585" activePane="bottomLeft" state="frozen"/>
      <selection pane="topLeft" activeCell="A1" activeCellId="0" sqref="A1"/>
      <selection pane="bottomLeft" activeCell="C585" activeCellId="0" sqref="C585"/>
    </sheetView>
  </sheetViews>
  <sheetFormatPr defaultColWidth="12.6328125" defaultRowHeight="14.25" customHeight="true" zeroHeight="false" outlineLevelRow="0" outlineLevelCol="0"/>
  <cols>
    <col collapsed="false" customWidth="true" hidden="false" outlineLevel="0" max="1" min="1" style="1" width="7.63"/>
    <col collapsed="false" customWidth="true" hidden="false" outlineLevel="0" max="2" min="2" style="1" width="11"/>
    <col collapsed="false" customWidth="true" hidden="false" outlineLevel="0" max="3" min="3" style="1" width="21.97"/>
    <col collapsed="false" customWidth="true" hidden="false" outlineLevel="0" max="4" min="4" style="1" width="6.45"/>
    <col collapsed="false" customWidth="true" hidden="false" outlineLevel="0" max="5" min="5" style="1" width="9.63"/>
    <col collapsed="false" customWidth="true" hidden="false" outlineLevel="0" max="7" min="7" style="1" width="15.63"/>
    <col collapsed="false" customWidth="true" hidden="false" outlineLevel="0" max="8" min="8" style="1" width="23.82"/>
    <col collapsed="false" customWidth="true" hidden="false" outlineLevel="0" max="9" min="9" style="1" width="19.26"/>
    <col collapsed="false" customWidth="true" hidden="false" outlineLevel="0" max="10" min="10" style="1" width="16.91"/>
    <col collapsed="false" customWidth="true" hidden="false" outlineLevel="0" max="11" min="11" style="1" width="46"/>
    <col collapsed="false" customWidth="true" hidden="false" outlineLevel="0" max="15" min="15" style="1" width="17.4"/>
    <col collapsed="false" customWidth="true" hidden="false" outlineLevel="0" max="21" min="21" style="1" width="14.73"/>
  </cols>
  <sheetData>
    <row r="1" customFormat="false" ht="14.25" hidden="false" customHeight="true" outlineLevel="0" collapsed="false">
      <c r="A1" s="5" t="s">
        <v>6</v>
      </c>
      <c r="B1" s="5" t="s">
        <v>7</v>
      </c>
      <c r="C1" s="5" t="s">
        <v>8</v>
      </c>
      <c r="D1" s="5" t="s">
        <v>9</v>
      </c>
      <c r="E1" s="54" t="s">
        <v>13</v>
      </c>
      <c r="F1" s="7" t="s">
        <v>936</v>
      </c>
      <c r="G1" s="55" t="s">
        <v>14</v>
      </c>
      <c r="H1" s="5" t="s">
        <v>937</v>
      </c>
      <c r="I1" s="5" t="s">
        <v>15</v>
      </c>
      <c r="J1" s="56" t="s">
        <v>938</v>
      </c>
      <c r="K1" s="56" t="s">
        <v>939</v>
      </c>
      <c r="L1" s="56" t="s">
        <v>940</v>
      </c>
      <c r="M1" s="56" t="s">
        <v>941</v>
      </c>
      <c r="N1" s="57" t="s">
        <v>942</v>
      </c>
      <c r="O1" s="56" t="s">
        <v>943</v>
      </c>
      <c r="P1" s="56" t="s">
        <v>944</v>
      </c>
      <c r="Q1" s="58" t="s">
        <v>945</v>
      </c>
      <c r="R1" s="56" t="s">
        <v>946</v>
      </c>
      <c r="S1" s="56" t="s">
        <v>947</v>
      </c>
      <c r="T1" s="56" t="s">
        <v>948</v>
      </c>
      <c r="U1" s="59"/>
      <c r="V1" s="1" t="s">
        <v>949</v>
      </c>
    </row>
    <row r="2" customFormat="false" ht="14.25" hidden="false" customHeight="true" outlineLevel="0" collapsed="false">
      <c r="A2" s="2"/>
      <c r="B2" s="2" t="s">
        <v>950</v>
      </c>
      <c r="C2" s="2"/>
      <c r="D2" s="2"/>
      <c r="E2" s="60" t="n">
        <v>9302022</v>
      </c>
      <c r="F2" s="18" t="str">
        <f aca="false">CONCATENATE(B2,"",C2,E2)</f>
        <v>C-9302022</v>
      </c>
      <c r="G2" s="18" t="s">
        <v>932</v>
      </c>
      <c r="H2" s="2" t="n">
        <v>1</v>
      </c>
      <c r="I2" s="3" t="n">
        <v>44834</v>
      </c>
      <c r="J2" s="2" t="s">
        <v>951</v>
      </c>
      <c r="K2" s="61"/>
      <c r="L2" s="2" t="n">
        <v>0</v>
      </c>
      <c r="M2" s="2" t="n">
        <v>1</v>
      </c>
      <c r="N2" s="3" t="n">
        <v>44834</v>
      </c>
      <c r="O2" s="2" t="s">
        <v>952</v>
      </c>
      <c r="P2" s="2" t="n">
        <v>1</v>
      </c>
      <c r="Q2" s="62" t="str">
        <f aca="false">IF(ISBLANK(N5),"",IF(N5&lt;DATE(2023,5,1),"OLD","NEW"))</f>
        <v>OLD</v>
      </c>
      <c r="S2" s="33" t="n">
        <f aca="false">IF(COUNTIF('[1]Plate_1-2_LongFormat'!$A$2:$A$193,G2)&gt;0,1,0)</f>
        <v>1</v>
      </c>
      <c r="T2" s="33" t="n">
        <f aca="false">IF(COUNTIF([2]Attached_indexes!$C$2:$C$193,G2)&gt;0,1,0)</f>
        <v>1</v>
      </c>
      <c r="U2" s="59" t="n">
        <f aca="false">_xlfn.T.TEST(O68:O79, O89:O91,2,2)</f>
        <v>5.83214800567828E-007</v>
      </c>
      <c r="V2" s="1" t="s">
        <v>953</v>
      </c>
    </row>
    <row r="3" customFormat="false" ht="14.25" hidden="false" customHeight="true" outlineLevel="0" collapsed="false">
      <c r="A3" s="2"/>
      <c r="B3" s="2" t="s">
        <v>950</v>
      </c>
      <c r="C3" s="2"/>
      <c r="D3" s="2"/>
      <c r="E3" s="60" t="n">
        <v>8262022</v>
      </c>
      <c r="F3" s="18" t="str">
        <f aca="false">CONCATENATE(B3,"",C3,E3)</f>
        <v>C-8262022</v>
      </c>
      <c r="G3" s="18" t="s">
        <v>749</v>
      </c>
      <c r="H3" s="2" t="n">
        <v>1</v>
      </c>
      <c r="I3" s="63" t="n">
        <v>44799</v>
      </c>
      <c r="J3" s="2" t="s">
        <v>954</v>
      </c>
      <c r="K3" s="61"/>
      <c r="L3" s="2" t="n">
        <v>0</v>
      </c>
      <c r="M3" s="2" t="n">
        <v>1</v>
      </c>
      <c r="N3" s="3" t="n">
        <v>44799</v>
      </c>
      <c r="O3" s="2" t="s">
        <v>952</v>
      </c>
      <c r="P3" s="2" t="n">
        <v>1</v>
      </c>
      <c r="Q3" s="62" t="str">
        <f aca="false">IF(ISBLANK(N6),"",IF(N6&lt;DATE(2023,5,1),"OLD","NEW"))</f>
        <v>OLD</v>
      </c>
      <c r="S3" s="33" t="n">
        <f aca="false">IF(COUNTIF('[1]Plate_1-2_LongFormat'!$A$2:$A$193,G3)&gt;0,1,0)</f>
        <v>0</v>
      </c>
      <c r="T3" s="33" t="n">
        <f aca="false">IF(COUNTIF([2]Attached_indexes!$C$2:$C$193,G3)&gt;0,1,0)</f>
        <v>0</v>
      </c>
      <c r="U3" s="2" t="n">
        <f aca="false" t="array" ref="U3:U3">_xlfn.T.TEST(INDEX($O$37:$O$1144,MATCH("OLD",$Q$37:$Q$1144,0)):INDEX($O$37:$O$1144,MATCH("OLD",$Q$37:$Q$1144,0)+COUNTIF($Q$37:$Q$1144,"OLD")-1),INDEX($O$37:$O$1144,MATCH("NEW",$Q$37:$Q$1144,0)):INDEX($O$37:$O$1144,MATCH("NEW",$Q$37:$Q$1144,0)+COUNTIF($Q$37:$Q$1144,"NEW")-1),2,2)</f>
        <v>0.361399998401857</v>
      </c>
      <c r="V3" s="1" t="s">
        <v>953</v>
      </c>
    </row>
    <row r="4" customFormat="false" ht="14.25" hidden="false" customHeight="true" outlineLevel="0" collapsed="false">
      <c r="A4" s="2"/>
      <c r="B4" s="2"/>
      <c r="C4" s="2"/>
      <c r="D4" s="2"/>
      <c r="E4" s="60"/>
      <c r="F4" s="18"/>
      <c r="G4" s="18" t="s">
        <v>955</v>
      </c>
      <c r="H4" s="2" t="n">
        <v>1</v>
      </c>
      <c r="I4" s="3" t="n">
        <v>44834</v>
      </c>
      <c r="J4" s="2" t="s">
        <v>954</v>
      </c>
      <c r="K4" s="61"/>
      <c r="L4" s="2" t="n">
        <v>0</v>
      </c>
      <c r="M4" s="2" t="n">
        <v>1</v>
      </c>
      <c r="N4" s="3" t="n">
        <v>44834</v>
      </c>
      <c r="O4" s="2" t="n">
        <v>30.05</v>
      </c>
      <c r="P4" s="2" t="n">
        <v>1</v>
      </c>
      <c r="Q4" s="62" t="str">
        <f aca="false">IF(ISBLANK(N7),"",IF(N7&lt;DATE(2023,5,1),"OLD","NEW"))</f>
        <v>OLD</v>
      </c>
      <c r="S4" s="33" t="n">
        <f aca="false">IF(COUNTIF('[1]Plate_1-2_LongFormat'!$A$2:$A$193,G4)&gt;0,1,0)</f>
        <v>0</v>
      </c>
      <c r="T4" s="33" t="n">
        <f aca="false">IF(COUNTIF([2]Attached_indexes!$C$2:$C$193,G4)&gt;0,1,0)</f>
        <v>0</v>
      </c>
      <c r="U4" s="59"/>
      <c r="V4" s="1" t="s">
        <v>953</v>
      </c>
    </row>
    <row r="5" customFormat="false" ht="14.25" hidden="false" customHeight="true" outlineLevel="0" collapsed="false">
      <c r="A5" s="2"/>
      <c r="B5" s="2"/>
      <c r="C5" s="2"/>
      <c r="D5" s="2"/>
      <c r="E5" s="60"/>
      <c r="F5" s="18"/>
      <c r="G5" s="18" t="s">
        <v>955</v>
      </c>
      <c r="H5" s="2" t="n">
        <v>1</v>
      </c>
      <c r="I5" s="63" t="n">
        <v>44799</v>
      </c>
      <c r="J5" s="2" t="s">
        <v>954</v>
      </c>
      <c r="K5" s="61"/>
      <c r="L5" s="2" t="n">
        <v>0</v>
      </c>
      <c r="M5" s="2" t="n">
        <v>1</v>
      </c>
      <c r="N5" s="3" t="n">
        <v>44799</v>
      </c>
      <c r="O5" s="64" t="n">
        <v>27.41</v>
      </c>
      <c r="P5" s="64" t="n">
        <v>1</v>
      </c>
      <c r="Q5" s="62" t="str">
        <f aca="false">IF(ISBLANK(N5),"",IF(N5&lt;DATE(2023,5,1),"OLD","NEW"))</f>
        <v>OLD</v>
      </c>
      <c r="S5" s="33" t="n">
        <f aca="false">IF(COUNTIF('[1]Plate_1-2_LongFormat'!$A$2:$A$193,G5)&gt;0,1,0)</f>
        <v>0</v>
      </c>
      <c r="T5" s="33" t="n">
        <f aca="false">IF(COUNTIF([2]Attached_indexes!$C$2:$C$193,G5)&gt;0,1,0)</f>
        <v>0</v>
      </c>
      <c r="U5" s="59"/>
      <c r="V5" s="1" t="s">
        <v>953</v>
      </c>
    </row>
    <row r="6" customFormat="false" ht="14.25" hidden="false" customHeight="true" outlineLevel="0" collapsed="false">
      <c r="A6" s="2"/>
      <c r="B6" s="2"/>
      <c r="C6" s="2"/>
      <c r="D6" s="2"/>
      <c r="E6" s="60"/>
      <c r="F6" s="18"/>
      <c r="G6" s="18" t="s">
        <v>956</v>
      </c>
      <c r="H6" s="2" t="n">
        <v>1</v>
      </c>
      <c r="I6" s="3" t="n">
        <v>44834</v>
      </c>
      <c r="J6" s="2" t="s">
        <v>954</v>
      </c>
      <c r="K6" s="61"/>
      <c r="L6" s="2" t="n">
        <v>0</v>
      </c>
      <c r="M6" s="2" t="n">
        <v>1</v>
      </c>
      <c r="N6" s="3" t="n">
        <v>44834</v>
      </c>
      <c r="O6" s="2" t="s">
        <v>957</v>
      </c>
      <c r="P6" s="2" t="n">
        <v>1</v>
      </c>
      <c r="Q6" s="62" t="str">
        <f aca="false">IF(ISBLANK(N6),"",IF(N6&lt;DATE(2023,5,1),"OLD","NEW"))</f>
        <v>OLD</v>
      </c>
      <c r="S6" s="33" t="n">
        <f aca="false">IF(COUNTIF('[1]Plate_1-2_LongFormat'!$A$2:$A$193,G6)&gt;0,1,0)</f>
        <v>0</v>
      </c>
      <c r="T6" s="33" t="n">
        <f aca="false">IF(COUNTIF([2]Attached_indexes!$C$2:$C$193,G6)&gt;0,1,0)</f>
        <v>0</v>
      </c>
      <c r="U6" s="59"/>
      <c r="V6" s="1" t="s">
        <v>953</v>
      </c>
    </row>
    <row r="7" customFormat="false" ht="14.25" hidden="false" customHeight="true" outlineLevel="0" collapsed="false">
      <c r="A7" s="2"/>
      <c r="B7" s="2"/>
      <c r="C7" s="2"/>
      <c r="D7" s="2"/>
      <c r="E7" s="60"/>
      <c r="F7" s="18"/>
      <c r="G7" s="18" t="s">
        <v>956</v>
      </c>
      <c r="H7" s="2" t="n">
        <v>1</v>
      </c>
      <c r="I7" s="63" t="n">
        <v>44799</v>
      </c>
      <c r="J7" s="2" t="s">
        <v>954</v>
      </c>
      <c r="K7" s="61"/>
      <c r="L7" s="2" t="n">
        <v>0</v>
      </c>
      <c r="M7" s="2" t="n">
        <v>1</v>
      </c>
      <c r="N7" s="3" t="n">
        <v>44799</v>
      </c>
      <c r="O7" s="64" t="n">
        <v>11735.15</v>
      </c>
      <c r="P7" s="2" t="n">
        <v>1</v>
      </c>
      <c r="Q7" s="62" t="str">
        <f aca="false">IF(ISBLANK(N7),"",IF(N7&lt;DATE(2023,5,1),"OLD","NEW"))</f>
        <v>OLD</v>
      </c>
      <c r="S7" s="33" t="n">
        <f aca="false">IF(COUNTIF('[1]Plate_1-2_LongFormat'!$A$2:$A$193,G7)&gt;0,1,0)</f>
        <v>0</v>
      </c>
      <c r="T7" s="33" t="n">
        <f aca="false">IF(COUNTIF([2]Attached_indexes!$C$2:$C$193,G7)&gt;0,1,0)</f>
        <v>0</v>
      </c>
      <c r="U7" s="59"/>
      <c r="V7" s="1" t="s">
        <v>953</v>
      </c>
    </row>
    <row r="8" customFormat="false" ht="14.25" hidden="false" customHeight="true" outlineLevel="0" collapsed="false">
      <c r="A8" s="2"/>
      <c r="B8" s="2" t="s">
        <v>950</v>
      </c>
      <c r="C8" s="2"/>
      <c r="D8" s="2"/>
      <c r="E8" s="60" t="n">
        <v>10082022</v>
      </c>
      <c r="F8" s="18" t="str">
        <f aca="false">CONCATENATE(B8,"",C8,E8)</f>
        <v>C-10082022</v>
      </c>
      <c r="G8" s="18" t="s">
        <v>751</v>
      </c>
      <c r="H8" s="2" t="n">
        <v>1</v>
      </c>
      <c r="I8" s="3" t="n">
        <v>44842</v>
      </c>
      <c r="J8" s="2" t="s">
        <v>954</v>
      </c>
      <c r="K8" s="61"/>
      <c r="L8" s="2" t="n">
        <v>0</v>
      </c>
      <c r="M8" s="2" t="n">
        <v>1</v>
      </c>
      <c r="N8" s="3" t="n">
        <v>44842</v>
      </c>
      <c r="O8" s="2" t="s">
        <v>952</v>
      </c>
      <c r="P8" s="2"/>
      <c r="Q8" s="62" t="str">
        <f aca="false">IF(ISBLANK(N8),"",IF(N8&lt;DATE(2023,5,1),"OLD","NEW"))</f>
        <v>OLD</v>
      </c>
      <c r="S8" s="33" t="n">
        <f aca="false">IF(COUNTIF('[1]Plate_1-2_LongFormat'!$A$2:$A$193,G8)&gt;0,1,0)</f>
        <v>0</v>
      </c>
      <c r="T8" s="33" t="n">
        <f aca="false">IF(COUNTIF([2]Attached_indexes!$C$2:$C$193,G8)&gt;0,1,0)</f>
        <v>0</v>
      </c>
      <c r="U8" s="59"/>
      <c r="V8" s="1" t="s">
        <v>953</v>
      </c>
    </row>
    <row r="9" customFormat="false" ht="14.25" hidden="false" customHeight="true" outlineLevel="0" collapsed="false">
      <c r="A9" s="2"/>
      <c r="B9" s="2"/>
      <c r="C9" s="2"/>
      <c r="D9" s="2"/>
      <c r="E9" s="60"/>
      <c r="F9" s="18" t="str">
        <f aca="false">CONCATENATE(B9,"",C9,E9)</f>
        <v/>
      </c>
      <c r="G9" s="18" t="s">
        <v>955</v>
      </c>
      <c r="H9" s="2" t="n">
        <v>1</v>
      </c>
      <c r="I9" s="3" t="n">
        <v>44842</v>
      </c>
      <c r="J9" s="2" t="s">
        <v>954</v>
      </c>
      <c r="K9" s="61"/>
      <c r="L9" s="2" t="n">
        <v>0</v>
      </c>
      <c r="M9" s="2" t="n">
        <v>1</v>
      </c>
      <c r="N9" s="3" t="n">
        <v>44842</v>
      </c>
      <c r="O9" s="2" t="n">
        <v>32.62</v>
      </c>
      <c r="P9" s="2"/>
      <c r="Q9" s="62" t="str">
        <f aca="false">IF(ISBLANK(N9),"",IF(N9&lt;DATE(2023,5,1),"OLD","NEW"))</f>
        <v>OLD</v>
      </c>
      <c r="S9" s="33" t="n">
        <f aca="false">IF(COUNTIF('[1]Plate_1-2_LongFormat'!$A$2:$A$193,G9)&gt;0,1,0)</f>
        <v>0</v>
      </c>
      <c r="T9" s="33" t="n">
        <f aca="false">IF(COUNTIF([2]Attached_indexes!$C$2:$C$193,G9)&gt;0,1,0)</f>
        <v>0</v>
      </c>
      <c r="U9" s="59"/>
      <c r="V9" s="1" t="s">
        <v>953</v>
      </c>
    </row>
    <row r="10" customFormat="false" ht="14.25" hidden="false" customHeight="true" outlineLevel="0" collapsed="false">
      <c r="A10" s="2"/>
      <c r="B10" s="2"/>
      <c r="C10" s="2"/>
      <c r="D10" s="2"/>
      <c r="E10" s="60"/>
      <c r="F10" s="18" t="str">
        <f aca="false">CONCATENATE(B10,"",C10,E10)</f>
        <v/>
      </c>
      <c r="G10" s="18" t="s">
        <v>956</v>
      </c>
      <c r="H10" s="2" t="n">
        <v>1</v>
      </c>
      <c r="I10" s="3" t="n">
        <v>44842</v>
      </c>
      <c r="J10" s="2" t="s">
        <v>954</v>
      </c>
      <c r="K10" s="61"/>
      <c r="L10" s="2" t="n">
        <v>0</v>
      </c>
      <c r="M10" s="2" t="n">
        <v>1</v>
      </c>
      <c r="N10" s="3" t="n">
        <v>44842</v>
      </c>
      <c r="O10" s="2" t="n">
        <v>14010.53</v>
      </c>
      <c r="P10" s="2"/>
      <c r="Q10" s="62" t="str">
        <f aca="false">IF(ISBLANK(N10),"",IF(N10&lt;DATE(2023,5,1),"OLD","NEW"))</f>
        <v>OLD</v>
      </c>
      <c r="S10" s="33" t="n">
        <f aca="false">IF(COUNTIF('[1]Plate_1-2_LongFormat'!$A$2:$A$193,G10)&gt;0,1,0)</f>
        <v>0</v>
      </c>
      <c r="T10" s="33" t="n">
        <f aca="false">IF(COUNTIF([2]Attached_indexes!$C$2:$C$193,G10)&gt;0,1,0)</f>
        <v>0</v>
      </c>
      <c r="U10" s="59"/>
      <c r="V10" s="1" t="s">
        <v>953</v>
      </c>
    </row>
    <row r="11" customFormat="false" ht="14.25" hidden="false" customHeight="true" outlineLevel="0" collapsed="false">
      <c r="A11" s="2"/>
      <c r="B11" s="2" t="s">
        <v>950</v>
      </c>
      <c r="C11" s="2"/>
      <c r="D11" s="2"/>
      <c r="E11" s="60" t="n">
        <v>11052022</v>
      </c>
      <c r="F11" s="18" t="str">
        <f aca="false">CONCATENATE(B11,"",C11,E11)</f>
        <v>C-11052022</v>
      </c>
      <c r="G11" s="18" t="s">
        <v>752</v>
      </c>
      <c r="H11" s="2" t="n">
        <v>1</v>
      </c>
      <c r="I11" s="3"/>
      <c r="J11" s="2"/>
      <c r="K11" s="61"/>
      <c r="L11" s="2" t="n">
        <v>0</v>
      </c>
      <c r="M11" s="2" t="n">
        <v>1</v>
      </c>
      <c r="N11" s="3" t="n">
        <v>44870</v>
      </c>
      <c r="O11" s="2" t="s">
        <v>952</v>
      </c>
      <c r="P11" s="2" t="n">
        <v>2</v>
      </c>
      <c r="Q11" s="62" t="str">
        <f aca="false">IF(ISBLANK(N11),"",IF(N11&lt;DATE(2023,5,1),"OLD","NEW"))</f>
        <v>OLD</v>
      </c>
      <c r="S11" s="33" t="n">
        <f aca="false">IF(COUNTIF('[1]Plate_1-2_LongFormat'!$A$2:$A$193,G11)&gt;0,1,0)</f>
        <v>0</v>
      </c>
      <c r="T11" s="33" t="n">
        <f aca="false">IF(COUNTIF([2]Attached_indexes!$C$2:$C$193,G11)&gt;0,1,0)</f>
        <v>0</v>
      </c>
      <c r="U11" s="59"/>
      <c r="V11" s="1" t="s">
        <v>953</v>
      </c>
    </row>
    <row r="12" customFormat="false" ht="14.25" hidden="false" customHeight="true" outlineLevel="0" collapsed="false">
      <c r="A12" s="2"/>
      <c r="B12" s="2"/>
      <c r="C12" s="2"/>
      <c r="D12" s="2"/>
      <c r="E12" s="60"/>
      <c r="F12" s="18" t="str">
        <f aca="false">CONCATENATE(B12,"",C12,E12)</f>
        <v/>
      </c>
      <c r="G12" s="18" t="s">
        <v>955</v>
      </c>
      <c r="H12" s="2" t="n">
        <v>1</v>
      </c>
      <c r="I12" s="3"/>
      <c r="J12" s="2"/>
      <c r="K12" s="61"/>
      <c r="L12" s="2" t="n">
        <v>0</v>
      </c>
      <c r="M12" s="2" t="n">
        <v>1</v>
      </c>
      <c r="N12" s="3" t="n">
        <v>44870</v>
      </c>
      <c r="O12" s="2" t="n">
        <v>31.35</v>
      </c>
      <c r="P12" s="2"/>
      <c r="Q12" s="62" t="str">
        <f aca="false">IF(ISBLANK(N12),"",IF(N12&lt;DATE(2023,5,1),"OLD","NEW"))</f>
        <v>OLD</v>
      </c>
      <c r="S12" s="33" t="n">
        <f aca="false">IF(COUNTIF('[1]Plate_1-2_LongFormat'!$A$2:$A$193,G12)&gt;0,1,0)</f>
        <v>0</v>
      </c>
      <c r="T12" s="33" t="n">
        <f aca="false">IF(COUNTIF([2]Attached_indexes!$C$2:$C$193,G12)&gt;0,1,0)</f>
        <v>0</v>
      </c>
      <c r="U12" s="59"/>
      <c r="V12" s="1" t="s">
        <v>953</v>
      </c>
    </row>
    <row r="13" customFormat="false" ht="14.25" hidden="false" customHeight="true" outlineLevel="0" collapsed="false">
      <c r="A13" s="2"/>
      <c r="B13" s="2"/>
      <c r="C13" s="2"/>
      <c r="D13" s="2"/>
      <c r="E13" s="60"/>
      <c r="F13" s="18" t="str">
        <f aca="false">CONCATENATE(B13,"",C13,E13)</f>
        <v/>
      </c>
      <c r="G13" s="18" t="s">
        <v>956</v>
      </c>
      <c r="H13" s="2" t="n">
        <v>1</v>
      </c>
      <c r="I13" s="3"/>
      <c r="J13" s="2"/>
      <c r="K13" s="61"/>
      <c r="L13" s="2" t="n">
        <v>0</v>
      </c>
      <c r="M13" s="2" t="n">
        <v>1</v>
      </c>
      <c r="N13" s="3" t="n">
        <v>44870</v>
      </c>
      <c r="O13" s="2" t="n">
        <v>14004.19</v>
      </c>
      <c r="P13" s="2"/>
      <c r="Q13" s="62" t="str">
        <f aca="false">IF(ISBLANK(N13),"",IF(N13&lt;DATE(2023,5,1),"OLD","NEW"))</f>
        <v>OLD</v>
      </c>
      <c r="S13" s="33" t="n">
        <f aca="false">IF(COUNTIF('[1]Plate_1-2_LongFormat'!$A$2:$A$193,G13)&gt;0,1,0)</f>
        <v>0</v>
      </c>
      <c r="T13" s="33" t="n">
        <f aca="false">IF(COUNTIF([2]Attached_indexes!$C$2:$C$193,G13)&gt;0,1,0)</f>
        <v>0</v>
      </c>
      <c r="U13" s="59"/>
      <c r="V13" s="1" t="s">
        <v>953</v>
      </c>
    </row>
    <row r="14" customFormat="false" ht="14.25" hidden="false" customHeight="true" outlineLevel="0" collapsed="false">
      <c r="A14" s="2"/>
      <c r="B14" s="2" t="s">
        <v>950</v>
      </c>
      <c r="C14" s="2"/>
      <c r="D14" s="2"/>
      <c r="E14" s="60" t="n">
        <v>12192022</v>
      </c>
      <c r="F14" s="18" t="str">
        <f aca="false">CONCATENATE(B14,"",C14,E14)</f>
        <v>C-12192022</v>
      </c>
      <c r="G14" s="18" t="s">
        <v>756</v>
      </c>
      <c r="H14" s="2" t="n">
        <v>1</v>
      </c>
      <c r="I14" s="3"/>
      <c r="J14" s="2"/>
      <c r="K14" s="61"/>
      <c r="L14" s="2" t="n">
        <v>0</v>
      </c>
      <c r="M14" s="2" t="n">
        <v>1</v>
      </c>
      <c r="N14" s="3" t="n">
        <v>44914</v>
      </c>
      <c r="O14" s="2" t="s">
        <v>952</v>
      </c>
      <c r="P14" s="2" t="n">
        <v>2</v>
      </c>
      <c r="Q14" s="62" t="str">
        <f aca="false">IF(ISBLANK(N14),"",IF(N14&lt;DATE(2023,5,1),"OLD","NEW"))</f>
        <v>OLD</v>
      </c>
      <c r="S14" s="33" t="n">
        <f aca="false">IF(COUNTIF('[1]Plate_1-2_LongFormat'!$A$2:$A$193,G14)&gt;0,1,0)</f>
        <v>0</v>
      </c>
      <c r="T14" s="33" t="n">
        <f aca="false">IF(COUNTIF([2]Attached_indexes!$C$2:$C$193,G14)&gt;0,1,0)</f>
        <v>0</v>
      </c>
      <c r="U14" s="59"/>
      <c r="V14" s="1" t="s">
        <v>953</v>
      </c>
    </row>
    <row r="15" customFormat="false" ht="14.25" hidden="false" customHeight="true" outlineLevel="0" collapsed="false">
      <c r="A15" s="2"/>
      <c r="B15" s="2"/>
      <c r="C15" s="2"/>
      <c r="D15" s="2"/>
      <c r="E15" s="60"/>
      <c r="F15" s="18" t="str">
        <f aca="false">CONCATENATE(B15,"",C15,E15)</f>
        <v/>
      </c>
      <c r="G15" s="18" t="s">
        <v>955</v>
      </c>
      <c r="H15" s="2" t="n">
        <v>1</v>
      </c>
      <c r="I15" s="3"/>
      <c r="J15" s="2"/>
      <c r="K15" s="61"/>
      <c r="L15" s="2" t="n">
        <v>0</v>
      </c>
      <c r="M15" s="2" t="n">
        <v>1</v>
      </c>
      <c r="N15" s="3" t="n">
        <v>44914</v>
      </c>
      <c r="O15" s="2" t="n">
        <v>44.61</v>
      </c>
      <c r="P15" s="2"/>
      <c r="Q15" s="62" t="str">
        <f aca="false">IF(ISBLANK(N15),"",IF(N15&lt;DATE(2023,5,1),"OLD","NEW"))</f>
        <v>OLD</v>
      </c>
      <c r="S15" s="33" t="n">
        <f aca="false">IF(COUNTIF('[1]Plate_1-2_LongFormat'!$A$2:$A$193,G15)&gt;0,1,0)</f>
        <v>0</v>
      </c>
      <c r="T15" s="33" t="n">
        <f aca="false">IF(COUNTIF([2]Attached_indexes!$C$2:$C$193,G15)&gt;0,1,0)</f>
        <v>0</v>
      </c>
      <c r="U15" s="59"/>
      <c r="V15" s="1" t="s">
        <v>953</v>
      </c>
    </row>
    <row r="16" customFormat="false" ht="14.25" hidden="false" customHeight="true" outlineLevel="0" collapsed="false">
      <c r="A16" s="2"/>
      <c r="B16" s="2"/>
      <c r="C16" s="2"/>
      <c r="D16" s="2"/>
      <c r="E16" s="60"/>
      <c r="F16" s="18" t="str">
        <f aca="false">CONCATENATE(B16,"",C16,E16)</f>
        <v/>
      </c>
      <c r="G16" s="18" t="s">
        <v>956</v>
      </c>
      <c r="H16" s="2" t="n">
        <v>1</v>
      </c>
      <c r="I16" s="3"/>
      <c r="J16" s="2"/>
      <c r="K16" s="61"/>
      <c r="L16" s="2" t="n">
        <v>0</v>
      </c>
      <c r="M16" s="2" t="n">
        <v>1</v>
      </c>
      <c r="N16" s="3" t="n">
        <v>44914</v>
      </c>
      <c r="O16" s="2" t="n">
        <v>8237.26</v>
      </c>
      <c r="P16" s="2"/>
      <c r="Q16" s="62" t="str">
        <f aca="false">IF(ISBLANK(N16),"",IF(N16&lt;DATE(2023,5,1),"OLD","NEW"))</f>
        <v>OLD</v>
      </c>
      <c r="S16" s="33" t="n">
        <f aca="false">IF(COUNTIF('[1]Plate_1-2_LongFormat'!$A$2:$A$193,G16)&gt;0,1,0)</f>
        <v>0</v>
      </c>
      <c r="T16" s="33" t="n">
        <f aca="false">IF(COUNTIF([2]Attached_indexes!$C$2:$C$193,G16)&gt;0,1,0)</f>
        <v>0</v>
      </c>
      <c r="U16" s="59"/>
      <c r="V16" s="1" t="s">
        <v>953</v>
      </c>
    </row>
    <row r="17" customFormat="false" ht="14.25" hidden="false" customHeight="true" outlineLevel="0" collapsed="false">
      <c r="A17" s="2"/>
      <c r="B17" s="2" t="s">
        <v>950</v>
      </c>
      <c r="C17" s="2" t="s">
        <v>958</v>
      </c>
      <c r="D17" s="2"/>
      <c r="E17" s="60" t="n">
        <v>12192022</v>
      </c>
      <c r="F17" s="18" t="str">
        <f aca="false">CONCATENATE(B17,"",C17,E17)</f>
        <v>C-B12192022</v>
      </c>
      <c r="G17" s="18" t="s">
        <v>959</v>
      </c>
      <c r="H17" s="2" t="n">
        <v>1</v>
      </c>
      <c r="I17" s="3"/>
      <c r="J17" s="2"/>
      <c r="K17" s="61"/>
      <c r="L17" s="2" t="n">
        <v>0</v>
      </c>
      <c r="M17" s="2" t="n">
        <v>1</v>
      </c>
      <c r="N17" s="3" t="n">
        <v>44914</v>
      </c>
      <c r="O17" s="2" t="s">
        <v>952</v>
      </c>
      <c r="P17" s="2" t="n">
        <v>2</v>
      </c>
      <c r="Q17" s="62" t="str">
        <f aca="false">IF(ISBLANK(N17),"",IF(N17&lt;DATE(2023,5,1),"OLD","NEW"))</f>
        <v>OLD</v>
      </c>
      <c r="S17" s="33" t="n">
        <f aca="false">IF(COUNTIF('[1]Plate_1-2_LongFormat'!$A$2:$A$193,G17)&gt;0,1,0)</f>
        <v>0</v>
      </c>
      <c r="T17" s="33" t="n">
        <f aca="false">IF(COUNTIF([2]Attached_indexes!$C$2:$C$193,G17)&gt;0,1,0)</f>
        <v>0</v>
      </c>
      <c r="U17" s="59"/>
      <c r="V17" s="1" t="s">
        <v>953</v>
      </c>
    </row>
    <row r="18" customFormat="false" ht="14.25" hidden="false" customHeight="true" outlineLevel="0" collapsed="false">
      <c r="B18" s="2" t="s">
        <v>950</v>
      </c>
      <c r="C18" s="2" t="s">
        <v>960</v>
      </c>
      <c r="E18" s="60" t="n">
        <v>12192022</v>
      </c>
      <c r="F18" s="18" t="str">
        <f aca="false">CONCATENATE(B18,"",C18,E18)</f>
        <v>C-A12192022</v>
      </c>
      <c r="G18" s="18" t="s">
        <v>753</v>
      </c>
      <c r="H18" s="2" t="n">
        <v>1</v>
      </c>
      <c r="I18" s="3"/>
      <c r="J18" s="2"/>
      <c r="K18" s="61"/>
      <c r="L18" s="2" t="n">
        <v>0</v>
      </c>
      <c r="M18" s="2" t="n">
        <v>1</v>
      </c>
      <c r="N18" s="3" t="n">
        <v>44914</v>
      </c>
      <c r="O18" s="2" t="s">
        <v>952</v>
      </c>
      <c r="P18" s="2" t="n">
        <v>2</v>
      </c>
      <c r="Q18" s="62" t="str">
        <f aca="false">IF(ISBLANK(N18),"",IF(N18&lt;DATE(2023,5,1),"OLD","NEW"))</f>
        <v>OLD</v>
      </c>
      <c r="S18" s="33" t="n">
        <f aca="false">IF(COUNTIF('[1]Plate_1-2_LongFormat'!$A$2:$A$193,G18)&gt;0,1,0)</f>
        <v>0</v>
      </c>
      <c r="T18" s="33" t="n">
        <f aca="false">IF(COUNTIF([2]Attached_indexes!$C$2:$C$193,G18)&gt;0,1,0)</f>
        <v>0</v>
      </c>
      <c r="U18" s="59"/>
      <c r="V18" s="1" t="s">
        <v>953</v>
      </c>
    </row>
    <row r="19" customFormat="false" ht="14.25" hidden="false" customHeight="true" outlineLevel="0" collapsed="false">
      <c r="A19" s="2"/>
      <c r="B19" s="2" t="s">
        <v>950</v>
      </c>
      <c r="C19" s="2" t="s">
        <v>960</v>
      </c>
      <c r="D19" s="2"/>
      <c r="E19" s="60" t="n">
        <v>1122023</v>
      </c>
      <c r="F19" s="18" t="str">
        <f aca="false">CONCATENATE(B19,"",C19,E19)</f>
        <v>C-A1122023</v>
      </c>
      <c r="G19" s="18" t="s">
        <v>757</v>
      </c>
      <c r="H19" s="2" t="n">
        <v>1</v>
      </c>
      <c r="I19" s="3"/>
      <c r="J19" s="2"/>
      <c r="K19" s="61"/>
      <c r="L19" s="2" t="n">
        <v>0</v>
      </c>
      <c r="M19" s="2" t="n">
        <v>1</v>
      </c>
      <c r="N19" s="3" t="n">
        <v>44938</v>
      </c>
      <c r="O19" s="2" t="s">
        <v>952</v>
      </c>
      <c r="P19" s="2" t="n">
        <v>2</v>
      </c>
      <c r="Q19" s="62" t="str">
        <f aca="false">IF(ISBLANK(N19),"",IF(N19&lt;DATE(2023,5,1),"OLD","NEW"))</f>
        <v>OLD</v>
      </c>
      <c r="S19" s="33" t="n">
        <f aca="false">IF(COUNTIF('[1]Plate_1-2_LongFormat'!$A$2:$A$193,G19)&gt;0,1,0)</f>
        <v>0</v>
      </c>
      <c r="T19" s="33" t="n">
        <f aca="false">IF(COUNTIF([2]Attached_indexes!$C$2:$C$193,G19)&gt;0,1,0)</f>
        <v>0</v>
      </c>
      <c r="U19" s="59"/>
      <c r="V19" s="1" t="s">
        <v>953</v>
      </c>
    </row>
    <row r="20" customFormat="false" ht="14.25" hidden="false" customHeight="true" outlineLevel="0" collapsed="false">
      <c r="A20" s="2"/>
      <c r="B20" s="2" t="s">
        <v>950</v>
      </c>
      <c r="C20" s="2" t="s">
        <v>958</v>
      </c>
      <c r="D20" s="2"/>
      <c r="E20" s="60" t="n">
        <v>1122023</v>
      </c>
      <c r="F20" s="18" t="str">
        <f aca="false">CONCATENATE(B20,"",C20,E20)</f>
        <v>C-B1122023</v>
      </c>
      <c r="G20" s="18" t="s">
        <v>758</v>
      </c>
      <c r="H20" s="2" t="n">
        <v>1</v>
      </c>
      <c r="I20" s="3"/>
      <c r="J20" s="2"/>
      <c r="K20" s="61"/>
      <c r="L20" s="2" t="n">
        <v>0</v>
      </c>
      <c r="M20" s="2" t="n">
        <v>1</v>
      </c>
      <c r="N20" s="3" t="n">
        <v>44938</v>
      </c>
      <c r="O20" s="2" t="s">
        <v>952</v>
      </c>
      <c r="P20" s="2"/>
      <c r="Q20" s="62" t="str">
        <f aca="false">IF(ISBLANK(N20),"",IF(N20&lt;DATE(2023,5,1),"OLD","NEW"))</f>
        <v>OLD</v>
      </c>
      <c r="S20" s="33" t="n">
        <f aca="false">IF(COUNTIF('[1]Plate_1-2_LongFormat'!$A$2:$A$193,G20)&gt;0,1,0)</f>
        <v>0</v>
      </c>
      <c r="T20" s="33" t="n">
        <f aca="false">IF(COUNTIF([2]Attached_indexes!$C$2:$C$193,G20)&gt;0,1,0)</f>
        <v>0</v>
      </c>
      <c r="U20" s="59"/>
      <c r="V20" s="1" t="s">
        <v>953</v>
      </c>
    </row>
    <row r="21" customFormat="false" ht="14.25" hidden="false" customHeight="true" outlineLevel="0" collapsed="false">
      <c r="A21" s="2"/>
      <c r="B21" s="2" t="s">
        <v>955</v>
      </c>
      <c r="C21" s="2"/>
      <c r="D21" s="2"/>
      <c r="E21" s="60" t="n">
        <v>1162023</v>
      </c>
      <c r="F21" s="18" t="str">
        <f aca="false">CONCATENATE(B21,"",C21,E21)</f>
        <v>S11162023</v>
      </c>
      <c r="G21" s="18" t="e">
        <f aca="false">_xludf.concat(C21,D21,F21)</f>
        <v>#NAME?</v>
      </c>
      <c r="H21" s="2" t="n">
        <v>1</v>
      </c>
      <c r="I21" s="3"/>
      <c r="J21" s="2"/>
      <c r="K21" s="61"/>
      <c r="L21" s="2" t="n">
        <v>0</v>
      </c>
      <c r="M21" s="2" t="n">
        <v>0</v>
      </c>
      <c r="N21" s="3"/>
      <c r="O21" s="2"/>
      <c r="P21" s="2"/>
      <c r="Q21" s="62" t="str">
        <f aca="false">IF(ISBLANK(N21),"",IF(N21&lt;DATE(2023,5,1),"OLD","NEW"))</f>
        <v/>
      </c>
      <c r="S21" s="33" t="e">
        <f aca="false">IF(COUNTIF('[1]Plate_1-2_LongFormat'!$A$2:$A$193,G21)&gt;0,1,0)</f>
        <v>#NAME?</v>
      </c>
      <c r="T21" s="33" t="e">
        <f aca="false">IF(COUNTIF([2]Attached_indexes!$C$2:$C$193,G21)&gt;0,1,0)</f>
        <v>#NAME?</v>
      </c>
      <c r="U21" s="59"/>
      <c r="V21" s="1" t="s">
        <v>953</v>
      </c>
    </row>
    <row r="22" customFormat="false" ht="14.25" hidden="false" customHeight="true" outlineLevel="0" collapsed="false">
      <c r="A22" s="2"/>
      <c r="B22" s="2" t="s">
        <v>956</v>
      </c>
      <c r="C22" s="2"/>
      <c r="D22" s="2"/>
      <c r="E22" s="60" t="n">
        <v>1162023</v>
      </c>
      <c r="F22" s="18" t="str">
        <f aca="false">CONCATENATE(B22,"",C22,E22)</f>
        <v>S21162023</v>
      </c>
      <c r="G22" s="18" t="e">
        <f aca="false">_xludf.concat(C22,D22,F22)</f>
        <v>#NAME?</v>
      </c>
      <c r="H22" s="2" t="n">
        <v>1</v>
      </c>
      <c r="I22" s="3"/>
      <c r="J22" s="2"/>
      <c r="K22" s="61"/>
      <c r="L22" s="2" t="n">
        <v>0</v>
      </c>
      <c r="M22" s="2" t="n">
        <v>0</v>
      </c>
      <c r="N22" s="3"/>
      <c r="O22" s="2"/>
      <c r="P22" s="2"/>
      <c r="Q22" s="62" t="str">
        <f aca="false">IF(ISBLANK(N22),"",IF(N22&lt;DATE(2023,5,1),"OLD","NEW"))</f>
        <v/>
      </c>
      <c r="S22" s="33" t="e">
        <f aca="false">IF(COUNTIF('[1]Plate_1-2_LongFormat'!$A$2:$A$193,G22)&gt;0,1,0)</f>
        <v>#NAME?</v>
      </c>
      <c r="T22" s="33" t="e">
        <f aca="false">IF(COUNTIF([2]Attached_indexes!$C$2:$C$193,G22)&gt;0,1,0)</f>
        <v>#NAME?</v>
      </c>
      <c r="U22" s="59"/>
      <c r="V22" s="1" t="s">
        <v>953</v>
      </c>
    </row>
    <row r="23" customFormat="false" ht="14.25" hidden="false" customHeight="true" outlineLevel="0" collapsed="false">
      <c r="A23" s="2"/>
      <c r="B23" s="2" t="s">
        <v>950</v>
      </c>
      <c r="C23" s="2"/>
      <c r="D23" s="2"/>
      <c r="E23" s="60" t="n">
        <v>2042023</v>
      </c>
      <c r="F23" s="18" t="str">
        <f aca="false">CONCATENATE(B23,"",C23,E23)</f>
        <v>C-2042023</v>
      </c>
      <c r="G23" s="18" t="str">
        <f aca="false">CONCATENATE(C23,"",D23,F23)</f>
        <v>C-2042023</v>
      </c>
      <c r="H23" s="2"/>
      <c r="I23" s="3"/>
      <c r="J23" s="2"/>
      <c r="K23" s="61"/>
      <c r="L23" s="2" t="n">
        <v>0</v>
      </c>
      <c r="M23" s="2" t="n">
        <v>1</v>
      </c>
      <c r="N23" s="3"/>
      <c r="O23" s="2" t="s">
        <v>952</v>
      </c>
      <c r="P23" s="2" t="n">
        <v>3</v>
      </c>
      <c r="Q23" s="62" t="str">
        <f aca="false">IF(ISBLANK(N23),"",IF(N23&lt;DATE(2023,5,1),"OLD","NEW"))</f>
        <v/>
      </c>
      <c r="S23" s="33" t="n">
        <f aca="false">IF(COUNTIF('[1]Plate_1-2_LongFormat'!$A$2:$A$193,G23)&gt;0,1,0)</f>
        <v>1</v>
      </c>
      <c r="T23" s="33" t="n">
        <f aca="false">IF(COUNTIF([2]Attached_indexes!$C$2:$C$193,G23)&gt;0,1,0)</f>
        <v>1</v>
      </c>
      <c r="U23" s="59"/>
      <c r="V23" s="1" t="s">
        <v>953</v>
      </c>
    </row>
    <row r="24" customFormat="false" ht="14.25" hidden="false" customHeight="true" outlineLevel="0" collapsed="false">
      <c r="A24" s="2"/>
      <c r="B24" s="2" t="s">
        <v>955</v>
      </c>
      <c r="C24" s="2"/>
      <c r="D24" s="2"/>
      <c r="E24" s="60" t="n">
        <v>2062023</v>
      </c>
      <c r="F24" s="18" t="str">
        <f aca="false">CONCATENATE(B24,"",C24,E24)</f>
        <v>S12062023</v>
      </c>
      <c r="G24" s="18" t="str">
        <f aca="false">CONCATENATE(C24,"",D24,F24)</f>
        <v>S12062023</v>
      </c>
      <c r="H24" s="2"/>
      <c r="I24" s="3"/>
      <c r="J24" s="2"/>
      <c r="K24" s="61"/>
      <c r="L24" s="2" t="n">
        <v>0</v>
      </c>
      <c r="M24" s="2" t="n">
        <v>0</v>
      </c>
      <c r="N24" s="3"/>
      <c r="O24" s="2" t="n">
        <v>47.34</v>
      </c>
      <c r="P24" s="2"/>
      <c r="Q24" s="62" t="str">
        <f aca="false">IF(ISBLANK(N24),"",IF(N24&lt;DATE(2023,5,1),"OLD","NEW"))</f>
        <v/>
      </c>
      <c r="S24" s="33" t="n">
        <f aca="false">IF(COUNTIF('[1]Plate_1-2_LongFormat'!$A$2:$A$193,G24)&gt;0,1,0)</f>
        <v>0</v>
      </c>
      <c r="T24" s="33" t="n">
        <f aca="false">IF(COUNTIF([2]Attached_indexes!$C$2:$C$193,G24)&gt;0,1,0)</f>
        <v>0</v>
      </c>
      <c r="U24" s="59"/>
      <c r="V24" s="1" t="s">
        <v>953</v>
      </c>
    </row>
    <row r="25" customFormat="false" ht="14.25" hidden="false" customHeight="true" outlineLevel="0" collapsed="false">
      <c r="A25" s="2"/>
      <c r="B25" s="2" t="s">
        <v>956</v>
      </c>
      <c r="C25" s="2"/>
      <c r="D25" s="2"/>
      <c r="E25" s="60" t="n">
        <v>2062023</v>
      </c>
      <c r="F25" s="18" t="str">
        <f aca="false">CONCATENATE(B25,"",C25,E25)</f>
        <v>S22062023</v>
      </c>
      <c r="G25" s="18" t="str">
        <f aca="false">CONCATENATE(C25,"",D25,F25)</f>
        <v>S22062023</v>
      </c>
      <c r="H25" s="2"/>
      <c r="I25" s="3"/>
      <c r="J25" s="2"/>
      <c r="K25" s="61"/>
      <c r="L25" s="2" t="n">
        <v>0</v>
      </c>
      <c r="M25" s="2" t="n">
        <v>0</v>
      </c>
      <c r="N25" s="3"/>
      <c r="O25" s="2" t="n">
        <v>15899.71</v>
      </c>
      <c r="P25" s="2"/>
      <c r="Q25" s="62" t="str">
        <f aca="false">IF(ISBLANK(N25),"",IF(N25&lt;DATE(2023,5,1),"OLD","NEW"))</f>
        <v/>
      </c>
      <c r="S25" s="33" t="n">
        <f aca="false">IF(COUNTIF('[1]Plate_1-2_LongFormat'!$A$2:$A$193,G25)&gt;0,1,0)</f>
        <v>0</v>
      </c>
      <c r="T25" s="33" t="n">
        <f aca="false">IF(COUNTIF([2]Attached_indexes!$C$2:$C$193,G25)&gt;0,1,0)</f>
        <v>0</v>
      </c>
      <c r="U25" s="59"/>
      <c r="V25" s="1" t="s">
        <v>953</v>
      </c>
    </row>
    <row r="26" customFormat="false" ht="14.25" hidden="false" customHeight="true" outlineLevel="0" collapsed="false">
      <c r="A26" s="2"/>
      <c r="B26" s="2" t="s">
        <v>950</v>
      </c>
      <c r="C26" s="2"/>
      <c r="D26" s="2"/>
      <c r="E26" s="60" t="n">
        <v>1192023</v>
      </c>
      <c r="F26" s="18" t="str">
        <f aca="false">CONCATENATE(B26,"",C26,E26)</f>
        <v>C-1192023</v>
      </c>
      <c r="G26" s="18" t="str">
        <f aca="false">CONCATENATE(C26,"",D26,F26)</f>
        <v>C-1192023</v>
      </c>
      <c r="H26" s="2"/>
      <c r="I26" s="3" t="n">
        <v>44945</v>
      </c>
      <c r="J26" s="2"/>
      <c r="K26" s="61"/>
      <c r="L26" s="2" t="n">
        <v>0</v>
      </c>
      <c r="M26" s="2" t="n">
        <v>1</v>
      </c>
      <c r="N26" s="3"/>
      <c r="O26" s="2" t="s">
        <v>952</v>
      </c>
      <c r="P26" s="2" t="n">
        <v>2</v>
      </c>
      <c r="Q26" s="62" t="str">
        <f aca="false">IF(ISBLANK(N26),"",IF(N26&lt;DATE(2023,5,1),"OLD","NEW"))</f>
        <v/>
      </c>
      <c r="S26" s="33" t="n">
        <f aca="false">IF(COUNTIF('[1]Plate_1-2_LongFormat'!$A$2:$A$193,G26)&gt;0,1,0)</f>
        <v>1</v>
      </c>
      <c r="T26" s="33" t="n">
        <f aca="false">IF(COUNTIF([2]Attached_indexes!$C$2:$C$193,G26)&gt;0,1,0)</f>
        <v>1</v>
      </c>
      <c r="U26" s="59"/>
      <c r="V26" s="1" t="s">
        <v>953</v>
      </c>
    </row>
    <row r="27" customFormat="false" ht="14.25" hidden="false" customHeight="true" outlineLevel="0" collapsed="false">
      <c r="A27" s="2"/>
      <c r="B27" s="2" t="s">
        <v>955</v>
      </c>
      <c r="C27" s="2"/>
      <c r="D27" s="2"/>
      <c r="E27" s="60" t="n">
        <v>1192023</v>
      </c>
      <c r="F27" s="18" t="str">
        <f aca="false">CONCATENATE(B27,"",C27,E27)</f>
        <v>S11192023</v>
      </c>
      <c r="G27" s="18" t="str">
        <f aca="false">CONCATENATE(C27,"",D27,F27)</f>
        <v>S11192023</v>
      </c>
      <c r="H27" s="2"/>
      <c r="I27" s="3" t="n">
        <v>44945</v>
      </c>
      <c r="J27" s="2"/>
      <c r="K27" s="61"/>
      <c r="L27" s="2" t="n">
        <v>0</v>
      </c>
      <c r="M27" s="2" t="n">
        <v>0</v>
      </c>
      <c r="N27" s="3"/>
      <c r="O27" s="2" t="n">
        <v>37.39</v>
      </c>
      <c r="P27" s="2"/>
      <c r="Q27" s="62" t="str">
        <f aca="false">IF(ISBLANK(N27),"",IF(N27&lt;DATE(2023,5,1),"OLD","NEW"))</f>
        <v/>
      </c>
      <c r="S27" s="33" t="n">
        <f aca="false">IF(COUNTIF('[1]Plate_1-2_LongFormat'!$A$2:$A$193,G27)&gt;0,1,0)</f>
        <v>0</v>
      </c>
      <c r="T27" s="33" t="n">
        <f aca="false">IF(COUNTIF([2]Attached_indexes!$C$2:$C$193,G27)&gt;0,1,0)</f>
        <v>0</v>
      </c>
      <c r="U27" s="59"/>
      <c r="V27" s="1" t="s">
        <v>953</v>
      </c>
    </row>
    <row r="28" customFormat="false" ht="14.25" hidden="false" customHeight="true" outlineLevel="0" collapsed="false">
      <c r="A28" s="2"/>
      <c r="B28" s="2" t="s">
        <v>956</v>
      </c>
      <c r="C28" s="2"/>
      <c r="D28" s="2"/>
      <c r="E28" s="60" t="n">
        <v>1192023</v>
      </c>
      <c r="F28" s="18" t="str">
        <f aca="false">CONCATENATE(B28,"",C28,E28)</f>
        <v>S21192023</v>
      </c>
      <c r="G28" s="18" t="str">
        <f aca="false">CONCATENATE(C28,"",D28,F28)</f>
        <v>S21192023</v>
      </c>
      <c r="H28" s="2"/>
      <c r="I28" s="3" t="n">
        <v>44945</v>
      </c>
      <c r="J28" s="2"/>
      <c r="K28" s="61"/>
      <c r="L28" s="2" t="n">
        <v>0</v>
      </c>
      <c r="M28" s="2" t="n">
        <v>0</v>
      </c>
      <c r="N28" s="3"/>
      <c r="O28" s="2" t="n">
        <v>13796.65</v>
      </c>
      <c r="P28" s="2"/>
      <c r="Q28" s="62" t="str">
        <f aca="false">IF(ISBLANK(N28),"",IF(N28&lt;DATE(2023,5,1),"OLD","NEW"))</f>
        <v/>
      </c>
      <c r="S28" s="33" t="n">
        <f aca="false">IF(COUNTIF('[1]Plate_1-2_LongFormat'!$A$2:$A$193,G28)&gt;0,1,0)</f>
        <v>0</v>
      </c>
      <c r="T28" s="33" t="n">
        <f aca="false">IF(COUNTIF([2]Attached_indexes!$C$2:$C$193,G28)&gt;0,1,0)</f>
        <v>0</v>
      </c>
      <c r="U28" s="59"/>
      <c r="V28" s="1" t="s">
        <v>953</v>
      </c>
    </row>
    <row r="29" customFormat="false" ht="14.25" hidden="false" customHeight="true" outlineLevel="0" collapsed="false">
      <c r="A29" s="2"/>
      <c r="B29" s="2" t="s">
        <v>950</v>
      </c>
      <c r="C29" s="2"/>
      <c r="D29" s="2"/>
      <c r="E29" s="60" t="n">
        <v>3142023</v>
      </c>
      <c r="F29" s="18" t="str">
        <f aca="false">CONCATENATE(B29,"",C29,E29)</f>
        <v>C-3142023</v>
      </c>
      <c r="G29" s="18" t="s">
        <v>761</v>
      </c>
      <c r="H29" s="2" t="n">
        <v>1</v>
      </c>
      <c r="I29" s="3" t="n">
        <v>44999</v>
      </c>
      <c r="J29" s="2"/>
      <c r="K29" s="61"/>
      <c r="L29" s="2" t="n">
        <v>0</v>
      </c>
      <c r="M29" s="2" t="n">
        <v>1</v>
      </c>
      <c r="N29" s="3"/>
      <c r="O29" s="2" t="s">
        <v>952</v>
      </c>
      <c r="P29" s="2"/>
      <c r="Q29" s="62" t="str">
        <f aca="false">IF(ISBLANK(N29),"",IF(N29&lt;DATE(2023,5,1),"OLD","NEW"))</f>
        <v/>
      </c>
      <c r="S29" s="33" t="n">
        <f aca="false">IF(COUNTIF('[1]Plate_1-2_LongFormat'!$A$2:$A$193,G29)&gt;0,1,0)</f>
        <v>0</v>
      </c>
      <c r="T29" s="33" t="n">
        <f aca="false">IF(COUNTIF([2]Attached_indexes!$C$2:$C$193,G29)&gt;0,1,0)</f>
        <v>0</v>
      </c>
      <c r="U29" s="59"/>
      <c r="V29" s="1" t="s">
        <v>953</v>
      </c>
    </row>
    <row r="30" customFormat="false" ht="14.25" hidden="false" customHeight="true" outlineLevel="0" collapsed="false">
      <c r="A30" s="2"/>
      <c r="B30" s="2" t="s">
        <v>955</v>
      </c>
      <c r="C30" s="2"/>
      <c r="D30" s="2"/>
      <c r="E30" s="60" t="n">
        <v>3142023</v>
      </c>
      <c r="F30" s="18" t="str">
        <f aca="false">CONCATENATE(B30,"",C30,E30)</f>
        <v>S13142023</v>
      </c>
      <c r="G30" s="18" t="s">
        <v>961</v>
      </c>
      <c r="H30" s="2"/>
      <c r="I30" s="3" t="n">
        <v>44999</v>
      </c>
      <c r="J30" s="2"/>
      <c r="K30" s="61"/>
      <c r="L30" s="2" t="n">
        <v>0</v>
      </c>
      <c r="M30" s="2" t="n">
        <v>0</v>
      </c>
      <c r="N30" s="3"/>
      <c r="O30" s="2" t="n">
        <v>33.61</v>
      </c>
      <c r="P30" s="2"/>
      <c r="Q30" s="62" t="str">
        <f aca="false">IF(ISBLANK(N30),"",IF(N30&lt;DATE(2023,5,1),"OLD","NEW"))</f>
        <v/>
      </c>
      <c r="S30" s="33" t="n">
        <f aca="false">IF(COUNTIF('[1]Plate_1-2_LongFormat'!$A$2:$A$193,G30)&gt;0,1,0)</f>
        <v>0</v>
      </c>
      <c r="T30" s="33" t="n">
        <f aca="false">IF(COUNTIF([2]Attached_indexes!$C$2:$C$193,G30)&gt;0,1,0)</f>
        <v>0</v>
      </c>
      <c r="U30" s="59"/>
      <c r="V30" s="1" t="s">
        <v>953</v>
      </c>
    </row>
    <row r="31" customFormat="false" ht="14.25" hidden="false" customHeight="true" outlineLevel="0" collapsed="false">
      <c r="A31" s="2"/>
      <c r="B31" s="2" t="s">
        <v>956</v>
      </c>
      <c r="C31" s="2"/>
      <c r="D31" s="2"/>
      <c r="E31" s="60" t="n">
        <v>3142023</v>
      </c>
      <c r="F31" s="18" t="str">
        <f aca="false">CONCATENATE(B31,"",C31,E31)</f>
        <v>S23142023</v>
      </c>
      <c r="G31" s="18" t="s">
        <v>962</v>
      </c>
      <c r="H31" s="2"/>
      <c r="I31" s="3" t="n">
        <v>44999</v>
      </c>
      <c r="J31" s="2"/>
      <c r="K31" s="61"/>
      <c r="L31" s="2" t="n">
        <v>0</v>
      </c>
      <c r="M31" s="2" t="n">
        <v>0</v>
      </c>
      <c r="N31" s="3"/>
      <c r="O31" s="2" t="n">
        <v>13568.42</v>
      </c>
      <c r="P31" s="2"/>
      <c r="Q31" s="62" t="str">
        <f aca="false">IF(ISBLANK(N31),"",IF(N31&lt;DATE(2023,5,1),"OLD","NEW"))</f>
        <v/>
      </c>
      <c r="S31" s="33" t="n">
        <f aca="false">IF(COUNTIF('[1]Plate_1-2_LongFormat'!$A$2:$A$193,G31)&gt;0,1,0)</f>
        <v>0</v>
      </c>
      <c r="T31" s="33" t="n">
        <f aca="false">IF(COUNTIF([2]Attached_indexes!$C$2:$C$193,G31)&gt;0,1,0)</f>
        <v>0</v>
      </c>
      <c r="U31" s="59"/>
      <c r="V31" s="1" t="s">
        <v>953</v>
      </c>
    </row>
    <row r="32" customFormat="false" ht="14.25" hidden="false" customHeight="true" outlineLevel="0" collapsed="false">
      <c r="A32" s="2"/>
      <c r="B32" s="2" t="s">
        <v>950</v>
      </c>
      <c r="C32" s="2"/>
      <c r="D32" s="2"/>
      <c r="E32" s="60" t="n">
        <v>5072023</v>
      </c>
      <c r="F32" s="18" t="str">
        <f aca="false">CONCATENATE(B32,"",C32,E32)</f>
        <v>C-5072023</v>
      </c>
      <c r="G32" s="18" t="s">
        <v>963</v>
      </c>
      <c r="H32" s="2"/>
      <c r="I32" s="3" t="n">
        <v>45053</v>
      </c>
      <c r="J32" s="2"/>
      <c r="K32" s="61"/>
      <c r="L32" s="2" t="n">
        <v>0</v>
      </c>
      <c r="M32" s="2" t="n">
        <v>1</v>
      </c>
      <c r="N32" s="3"/>
      <c r="O32" s="2" t="s">
        <v>952</v>
      </c>
      <c r="P32" s="2"/>
      <c r="Q32" s="62" t="str">
        <f aca="false">IF(ISBLANK(N32),"",IF(N32&lt;DATE(2023,5,1),"OLD","NEW"))</f>
        <v/>
      </c>
      <c r="S32" s="33" t="n">
        <f aca="false">IF(COUNTIF('[1]Plate_1-2_LongFormat'!$A$2:$A$193,G32)&gt;0,1,0)</f>
        <v>0</v>
      </c>
      <c r="T32" s="33" t="n">
        <f aca="false">IF(COUNTIF([2]Attached_indexes!$C$2:$C$193,G32)&gt;0,1,0)</f>
        <v>0</v>
      </c>
      <c r="U32" s="59"/>
      <c r="V32" s="1" t="s">
        <v>953</v>
      </c>
    </row>
    <row r="33" customFormat="false" ht="14.25" hidden="false" customHeight="true" outlineLevel="0" collapsed="false">
      <c r="A33" s="2"/>
      <c r="B33" s="2" t="s">
        <v>955</v>
      </c>
      <c r="C33" s="2"/>
      <c r="D33" s="2"/>
      <c r="E33" s="60" t="n">
        <v>5072023</v>
      </c>
      <c r="F33" s="18" t="str">
        <f aca="false">CONCATENATE(B33,"",C33,E33)</f>
        <v>S15072023</v>
      </c>
      <c r="G33" s="18" t="s">
        <v>964</v>
      </c>
      <c r="H33" s="2"/>
      <c r="I33" s="3" t="n">
        <v>45053</v>
      </c>
      <c r="J33" s="2"/>
      <c r="K33" s="61"/>
      <c r="L33" s="2" t="n">
        <v>0</v>
      </c>
      <c r="M33" s="2" t="n">
        <v>0</v>
      </c>
      <c r="N33" s="3"/>
      <c r="O33" s="2" t="n">
        <v>89.5</v>
      </c>
      <c r="P33" s="2"/>
      <c r="Q33" s="62" t="str">
        <f aca="false">IF(ISBLANK(N33),"",IF(N33&lt;DATE(2023,5,1),"OLD","NEW"))</f>
        <v/>
      </c>
      <c r="S33" s="33" t="n">
        <f aca="false">IF(COUNTIF('[1]Plate_1-2_LongFormat'!$A$2:$A$193,G33)&gt;0,1,0)</f>
        <v>0</v>
      </c>
      <c r="T33" s="33" t="n">
        <f aca="false">IF(COUNTIF([2]Attached_indexes!$C$2:$C$193,G33)&gt;0,1,0)</f>
        <v>0</v>
      </c>
      <c r="U33" s="59"/>
      <c r="V33" s="1" t="s">
        <v>953</v>
      </c>
    </row>
    <row r="34" customFormat="false" ht="14.25" hidden="false" customHeight="true" outlineLevel="0" collapsed="false">
      <c r="A34" s="2"/>
      <c r="B34" s="2" t="s">
        <v>956</v>
      </c>
      <c r="C34" s="2"/>
      <c r="D34" s="2"/>
      <c r="E34" s="60" t="n">
        <v>5072023</v>
      </c>
      <c r="F34" s="18" t="str">
        <f aca="false">CONCATENATE(B34,"",C34,E34)</f>
        <v>S25072023</v>
      </c>
      <c r="G34" s="18" t="s">
        <v>965</v>
      </c>
      <c r="H34" s="2"/>
      <c r="I34" s="3" t="n">
        <v>45053</v>
      </c>
      <c r="J34" s="2"/>
      <c r="K34" s="61"/>
      <c r="L34" s="2" t="n">
        <v>0</v>
      </c>
      <c r="M34" s="2" t="n">
        <v>0</v>
      </c>
      <c r="N34" s="3"/>
      <c r="O34" s="65" t="n">
        <v>12558.15</v>
      </c>
      <c r="P34" s="2"/>
      <c r="Q34" s="62" t="str">
        <f aca="false">IF(ISBLANK(N34),"",IF(N34&lt;DATE(2023,5,1),"OLD","NEW"))</f>
        <v/>
      </c>
      <c r="S34" s="33" t="n">
        <f aca="false">IF(COUNTIF('[1]Plate_1-2_LongFormat'!$A$2:$A$193,G34)&gt;0,1,0)</f>
        <v>0</v>
      </c>
      <c r="T34" s="33" t="n">
        <f aca="false">IF(COUNTIF([2]Attached_indexes!$C$2:$C$193,G34)&gt;0,1,0)</f>
        <v>0</v>
      </c>
      <c r="U34" s="59"/>
      <c r="V34" s="1" t="s">
        <v>953</v>
      </c>
    </row>
    <row r="35" customFormat="false" ht="14.25" hidden="false" customHeight="true" outlineLevel="0" collapsed="false">
      <c r="A35" s="2"/>
      <c r="B35" s="2" t="s">
        <v>950</v>
      </c>
      <c r="C35" s="2"/>
      <c r="D35" s="2"/>
      <c r="E35" s="60" t="n">
        <v>5102023</v>
      </c>
      <c r="F35" s="18" t="str">
        <f aca="false">CONCATENATE(B35,"",C35,E35)</f>
        <v>C-5102023</v>
      </c>
      <c r="G35" s="18" t="s">
        <v>966</v>
      </c>
      <c r="H35" s="2"/>
      <c r="I35" s="3" t="n">
        <v>45056</v>
      </c>
      <c r="J35" s="2"/>
      <c r="K35" s="61"/>
      <c r="L35" s="2" t="n">
        <v>1</v>
      </c>
      <c r="M35" s="2" t="n">
        <v>1</v>
      </c>
      <c r="N35" s="3"/>
      <c r="O35" s="65" t="s">
        <v>952</v>
      </c>
      <c r="P35" s="2"/>
      <c r="Q35" s="62" t="str">
        <f aca="false">IF(ISBLANK(N35),"",IF(N35&lt;DATE(2023,5,1),"OLD","NEW"))</f>
        <v/>
      </c>
      <c r="S35" s="33" t="n">
        <f aca="false">IF(COUNTIF('[1]Plate_1-2_LongFormat'!$A$2:$A$193,G35)&gt;0,1,0)</f>
        <v>0</v>
      </c>
      <c r="T35" s="33" t="n">
        <f aca="false">IF(COUNTIF([2]Attached_indexes!$C$2:$C$193,G35)&gt;0,1,0)</f>
        <v>0</v>
      </c>
      <c r="U35" s="59"/>
      <c r="V35" s="1" t="s">
        <v>953</v>
      </c>
    </row>
    <row r="36" customFormat="false" ht="14.25" hidden="false" customHeight="true" outlineLevel="0" collapsed="false">
      <c r="A36" s="2"/>
      <c r="B36" s="2" t="s">
        <v>955</v>
      </c>
      <c r="C36" s="2"/>
      <c r="D36" s="2"/>
      <c r="E36" s="60" t="n">
        <v>5102023</v>
      </c>
      <c r="F36" s="18" t="str">
        <f aca="false">CONCATENATE(B36,"",C36,E36)</f>
        <v>S15102023</v>
      </c>
      <c r="G36" s="18" t="s">
        <v>967</v>
      </c>
      <c r="H36" s="2"/>
      <c r="I36" s="3" t="n">
        <v>45056</v>
      </c>
      <c r="J36" s="2"/>
      <c r="K36" s="61"/>
      <c r="L36" s="2" t="n">
        <v>0</v>
      </c>
      <c r="M36" s="2" t="n">
        <v>0</v>
      </c>
      <c r="N36" s="3"/>
      <c r="O36" s="65" t="n">
        <v>29.58</v>
      </c>
      <c r="P36" s="2"/>
      <c r="Q36" s="62" t="str">
        <f aca="false">IF(ISBLANK(N36),"",IF(N36&lt;DATE(2023,5,1),"OLD","NEW"))</f>
        <v/>
      </c>
      <c r="S36" s="33" t="n">
        <f aca="false">IF(COUNTIF('[1]Plate_1-2_LongFormat'!$A$2:$A$193,G36)&gt;0,1,0)</f>
        <v>0</v>
      </c>
      <c r="T36" s="33" t="n">
        <f aca="false">IF(COUNTIF([2]Attached_indexes!$C$2:$C$193,G36)&gt;0,1,0)</f>
        <v>0</v>
      </c>
      <c r="U36" s="59"/>
      <c r="V36" s="1" t="s">
        <v>953</v>
      </c>
    </row>
    <row r="37" customFormat="false" ht="14.25" hidden="false" customHeight="true" outlineLevel="0" collapsed="false">
      <c r="A37" s="2"/>
      <c r="B37" s="2" t="s">
        <v>956</v>
      </c>
      <c r="C37" s="2"/>
      <c r="D37" s="2"/>
      <c r="E37" s="60" t="n">
        <v>5102023</v>
      </c>
      <c r="F37" s="18" t="str">
        <f aca="false">CONCATENATE(B37,"",C37,E37)</f>
        <v>S25102023</v>
      </c>
      <c r="G37" s="18" t="s">
        <v>968</v>
      </c>
      <c r="H37" s="2"/>
      <c r="I37" s="3" t="n">
        <v>45056</v>
      </c>
      <c r="J37" s="2"/>
      <c r="K37" s="61"/>
      <c r="L37" s="2" t="n">
        <v>0</v>
      </c>
      <c r="M37" s="2" t="n">
        <v>0</v>
      </c>
      <c r="N37" s="3"/>
      <c r="O37" s="65" t="n">
        <v>12785.14</v>
      </c>
      <c r="P37" s="2"/>
      <c r="Q37" s="62" t="str">
        <f aca="false">IF(ISBLANK(N37),"",IF(N37&lt;DATE(2023,5,1),"OLD","NEW"))</f>
        <v/>
      </c>
      <c r="S37" s="33" t="n">
        <f aca="false">IF(COUNTIF('[1]Plate_1-2_LongFormat'!$A$2:$A$193,G37)&gt;0,1,0)</f>
        <v>0</v>
      </c>
      <c r="T37" s="33" t="n">
        <f aca="false">IF(COUNTIF([2]Attached_indexes!$C$2:$C$193,G37)&gt;0,1,0)</f>
        <v>0</v>
      </c>
      <c r="U37" s="59"/>
      <c r="V37" s="1" t="s">
        <v>953</v>
      </c>
    </row>
    <row r="38" customFormat="false" ht="14.25" hidden="false" customHeight="true" outlineLevel="0" collapsed="false">
      <c r="A38" s="2"/>
      <c r="B38" s="2" t="s">
        <v>950</v>
      </c>
      <c r="C38" s="2"/>
      <c r="D38" s="2"/>
      <c r="E38" s="60" t="n">
        <v>5122023</v>
      </c>
      <c r="F38" s="18" t="str">
        <f aca="false">CONCATENATE(B38,"",C38,E38)</f>
        <v>C-5122023</v>
      </c>
      <c r="G38" s="18" t="s">
        <v>969</v>
      </c>
      <c r="H38" s="2"/>
      <c r="I38" s="3" t="n">
        <v>45058</v>
      </c>
      <c r="J38" s="2"/>
      <c r="K38" s="61"/>
      <c r="L38" s="2"/>
      <c r="M38" s="2" t="n">
        <v>1</v>
      </c>
      <c r="N38" s="3"/>
      <c r="O38" s="65" t="s">
        <v>952</v>
      </c>
      <c r="P38" s="2"/>
      <c r="Q38" s="62"/>
      <c r="S38" s="33" t="n">
        <f aca="false">IF(COUNTIF('[1]Plate_1-2_LongFormat'!$A$2:$A$193,G38)&gt;0,1,0)</f>
        <v>0</v>
      </c>
      <c r="T38" s="33" t="n">
        <f aca="false">IF(COUNTIF([2]Attached_indexes!$C$2:$C$193,G38)&gt;0,1,0)</f>
        <v>0</v>
      </c>
      <c r="U38" s="59"/>
      <c r="V38" s="1" t="s">
        <v>953</v>
      </c>
    </row>
    <row r="39" customFormat="false" ht="14.25" hidden="false" customHeight="true" outlineLevel="0" collapsed="false">
      <c r="A39" s="2"/>
      <c r="B39" s="2" t="s">
        <v>955</v>
      </c>
      <c r="C39" s="2"/>
      <c r="D39" s="2"/>
      <c r="E39" s="60" t="n">
        <v>5122023</v>
      </c>
      <c r="F39" s="18" t="str">
        <f aca="false">CONCATENATE(B39,"",C39,E39)</f>
        <v>S15122023</v>
      </c>
      <c r="G39" s="18" t="s">
        <v>970</v>
      </c>
      <c r="H39" s="2"/>
      <c r="I39" s="3" t="n">
        <v>45058</v>
      </c>
      <c r="J39" s="2"/>
      <c r="K39" s="61"/>
      <c r="L39" s="2"/>
      <c r="M39" s="2" t="n">
        <v>0</v>
      </c>
      <c r="N39" s="3"/>
      <c r="O39" s="65" t="n">
        <v>49.25</v>
      </c>
      <c r="P39" s="2"/>
      <c r="Q39" s="62"/>
      <c r="S39" s="33" t="n">
        <f aca="false">IF(COUNTIF('[1]Plate_1-2_LongFormat'!$A$2:$A$193,G39)&gt;0,1,0)</f>
        <v>0</v>
      </c>
      <c r="T39" s="33" t="n">
        <f aca="false">IF(COUNTIF([2]Attached_indexes!$C$2:$C$193,G39)&gt;0,1,0)</f>
        <v>0</v>
      </c>
      <c r="U39" s="59"/>
      <c r="V39" s="1" t="s">
        <v>953</v>
      </c>
    </row>
    <row r="40" customFormat="false" ht="14.25" hidden="false" customHeight="true" outlineLevel="0" collapsed="false">
      <c r="A40" s="2"/>
      <c r="B40" s="2" t="s">
        <v>956</v>
      </c>
      <c r="C40" s="2"/>
      <c r="D40" s="2"/>
      <c r="E40" s="60" t="n">
        <v>5122023</v>
      </c>
      <c r="F40" s="18" t="str">
        <f aca="false">CONCATENATE(B40,"",C40,E40)</f>
        <v>S25122023</v>
      </c>
      <c r="G40" s="18" t="s">
        <v>971</v>
      </c>
      <c r="H40" s="2"/>
      <c r="I40" s="3" t="n">
        <v>45058</v>
      </c>
      <c r="J40" s="2"/>
      <c r="K40" s="61"/>
      <c r="L40" s="2"/>
      <c r="M40" s="2" t="n">
        <v>0</v>
      </c>
      <c r="N40" s="3"/>
      <c r="O40" s="65" t="n">
        <v>13986.07</v>
      </c>
      <c r="P40" s="2"/>
      <c r="Q40" s="62"/>
      <c r="S40" s="33" t="n">
        <f aca="false">IF(COUNTIF('[1]Plate_1-2_LongFormat'!$A$2:$A$193,G40)&gt;0,1,0)</f>
        <v>0</v>
      </c>
      <c r="T40" s="33" t="n">
        <f aca="false">IF(COUNTIF([2]Attached_indexes!$C$2:$C$193,G40)&gt;0,1,0)</f>
        <v>0</v>
      </c>
      <c r="U40" s="59"/>
      <c r="V40" s="1" t="s">
        <v>953</v>
      </c>
    </row>
    <row r="41" customFormat="false" ht="14.25" hidden="false" customHeight="true" outlineLevel="0" collapsed="false">
      <c r="A41" s="2"/>
      <c r="B41" s="2" t="s">
        <v>950</v>
      </c>
      <c r="C41" s="2"/>
      <c r="D41" s="2"/>
      <c r="E41" s="60" t="n">
        <v>5152023</v>
      </c>
      <c r="F41" s="18" t="str">
        <f aca="false">CONCATENATE(B41,"",C41,E41)</f>
        <v>C-5152023</v>
      </c>
      <c r="G41" s="18" t="s">
        <v>972</v>
      </c>
      <c r="H41" s="2"/>
      <c r="I41" s="3" t="n">
        <v>45061</v>
      </c>
      <c r="J41" s="2"/>
      <c r="K41" s="61"/>
      <c r="L41" s="2"/>
      <c r="M41" s="2" t="n">
        <v>1</v>
      </c>
      <c r="N41" s="3"/>
      <c r="O41" s="65" t="s">
        <v>952</v>
      </c>
      <c r="P41" s="2" t="n">
        <v>4</v>
      </c>
      <c r="Q41" s="62"/>
      <c r="S41" s="33" t="n">
        <f aca="false">IF(COUNTIF('[1]Plate_1-2_LongFormat'!$A$2:$A$193,G41)&gt;0,1,0)</f>
        <v>0</v>
      </c>
      <c r="T41" s="33" t="n">
        <f aca="false">IF(COUNTIF([2]Attached_indexes!$C$2:$C$193,G41)&gt;0,1,0)</f>
        <v>0</v>
      </c>
      <c r="U41" s="59"/>
      <c r="V41" s="1" t="s">
        <v>953</v>
      </c>
    </row>
    <row r="42" customFormat="false" ht="14.25" hidden="false" customHeight="true" outlineLevel="0" collapsed="false">
      <c r="A42" s="2"/>
      <c r="B42" s="2" t="s">
        <v>955</v>
      </c>
      <c r="C42" s="2"/>
      <c r="D42" s="2"/>
      <c r="E42" s="60" t="n">
        <v>5152023</v>
      </c>
      <c r="F42" s="18" t="str">
        <f aca="false">CONCATENATE(B42,"",C42,E42)</f>
        <v>S15152023</v>
      </c>
      <c r="G42" s="18" t="s">
        <v>973</v>
      </c>
      <c r="H42" s="2"/>
      <c r="I42" s="3" t="n">
        <v>45062</v>
      </c>
      <c r="J42" s="2"/>
      <c r="K42" s="61"/>
      <c r="L42" s="2"/>
      <c r="M42" s="2" t="n">
        <v>0</v>
      </c>
      <c r="N42" s="3"/>
      <c r="O42" s="65" t="n">
        <v>30.78</v>
      </c>
      <c r="P42" s="2"/>
      <c r="Q42" s="62"/>
      <c r="S42" s="33" t="n">
        <f aca="false">IF(COUNTIF('[1]Plate_1-2_LongFormat'!$A$2:$A$193,G42)&gt;0,1,0)</f>
        <v>0</v>
      </c>
      <c r="T42" s="33" t="n">
        <f aca="false">IF(COUNTIF([2]Attached_indexes!$C$2:$C$193,G42)&gt;0,1,0)</f>
        <v>0</v>
      </c>
      <c r="U42" s="59"/>
      <c r="V42" s="1" t="s">
        <v>953</v>
      </c>
    </row>
    <row r="43" customFormat="false" ht="14.25" hidden="false" customHeight="true" outlineLevel="0" collapsed="false">
      <c r="A43" s="2"/>
      <c r="B43" s="2" t="s">
        <v>956</v>
      </c>
      <c r="C43" s="2"/>
      <c r="D43" s="2"/>
      <c r="E43" s="60" t="n">
        <v>5152023</v>
      </c>
      <c r="F43" s="18" t="str">
        <f aca="false">CONCATENATE(B43,"",C43,E43)</f>
        <v>S25152023</v>
      </c>
      <c r="G43" s="18" t="s">
        <v>974</v>
      </c>
      <c r="H43" s="2"/>
      <c r="I43" s="3" t="n">
        <v>45062</v>
      </c>
      <c r="J43" s="2"/>
      <c r="K43" s="61"/>
      <c r="L43" s="2"/>
      <c r="M43" s="2" t="n">
        <v>0</v>
      </c>
      <c r="N43" s="3"/>
      <c r="O43" s="65" t="n">
        <v>13353.41</v>
      </c>
      <c r="P43" s="2"/>
      <c r="Q43" s="62"/>
      <c r="S43" s="33" t="n">
        <f aca="false">IF(COUNTIF('[1]Plate_1-2_LongFormat'!$A$2:$A$193,G43)&gt;0,1,0)</f>
        <v>0</v>
      </c>
      <c r="T43" s="33" t="n">
        <f aca="false">IF(COUNTIF([2]Attached_indexes!$C$2:$C$193,G43)&gt;0,1,0)</f>
        <v>0</v>
      </c>
      <c r="U43" s="59"/>
      <c r="V43" s="1" t="s">
        <v>953</v>
      </c>
    </row>
    <row r="44" customFormat="false" ht="14.25" hidden="false" customHeight="true" outlineLevel="0" collapsed="false">
      <c r="A44" s="2"/>
      <c r="B44" s="2" t="s">
        <v>950</v>
      </c>
      <c r="C44" s="2"/>
      <c r="D44" s="2"/>
      <c r="E44" s="60" t="n">
        <v>5252023</v>
      </c>
      <c r="F44" s="18" t="str">
        <f aca="false">CONCATENATE(B44,"",C44,E44)</f>
        <v>C-5252023</v>
      </c>
      <c r="G44" s="18" t="str">
        <f aca="false">CONCATENATE(C44,"",D44,F44)</f>
        <v>C-5252023</v>
      </c>
      <c r="H44" s="2"/>
      <c r="I44" s="3" t="n">
        <v>45071</v>
      </c>
      <c r="J44" s="2"/>
      <c r="K44" s="61"/>
      <c r="L44" s="2"/>
      <c r="M44" s="2" t="n">
        <v>1</v>
      </c>
      <c r="N44" s="3"/>
      <c r="O44" s="65" t="s">
        <v>952</v>
      </c>
      <c r="P44" s="2" t="n">
        <v>4</v>
      </c>
      <c r="Q44" s="62"/>
      <c r="S44" s="33" t="n">
        <f aca="false">IF(COUNTIF('[1]Plate_1-2_LongFormat'!$A$2:$A$193,G44)&gt;0,1,0)</f>
        <v>0</v>
      </c>
      <c r="T44" s="33" t="n">
        <f aca="false">IF(COUNTIF([2]Attached_indexes!$C$2:$C$193,G44)&gt;0,1,0)</f>
        <v>0</v>
      </c>
      <c r="U44" s="59"/>
      <c r="V44" s="1" t="s">
        <v>953</v>
      </c>
    </row>
    <row r="45" customFormat="false" ht="14.25" hidden="false" customHeight="true" outlineLevel="0" collapsed="false">
      <c r="A45" s="2"/>
      <c r="B45" s="2" t="s">
        <v>955</v>
      </c>
      <c r="C45" s="2"/>
      <c r="D45" s="2"/>
      <c r="E45" s="60" t="n">
        <v>5252023</v>
      </c>
      <c r="F45" s="18" t="str">
        <f aca="false">CONCATENATE(B45,"",C45,E45)</f>
        <v>S15252023</v>
      </c>
      <c r="G45" s="18" t="str">
        <f aca="false">CONCATENATE(C45,"",D45,F45)</f>
        <v>S15252023</v>
      </c>
      <c r="H45" s="2"/>
      <c r="I45" s="3" t="n">
        <v>45071</v>
      </c>
      <c r="J45" s="2"/>
      <c r="K45" s="61"/>
      <c r="L45" s="2"/>
      <c r="M45" s="2" t="n">
        <v>0</v>
      </c>
      <c r="N45" s="3"/>
      <c r="O45" s="65" t="n">
        <v>36.17</v>
      </c>
      <c r="P45" s="2"/>
      <c r="Q45" s="62"/>
      <c r="S45" s="33" t="n">
        <f aca="false">IF(COUNTIF('[1]Plate_1-2_LongFormat'!$A$2:$A$193,G45)&gt;0,1,0)</f>
        <v>0</v>
      </c>
      <c r="T45" s="33" t="n">
        <f aca="false">IF(COUNTIF([2]Attached_indexes!$C$2:$C$193,G45)&gt;0,1,0)</f>
        <v>0</v>
      </c>
      <c r="U45" s="59"/>
      <c r="V45" s="1" t="s">
        <v>953</v>
      </c>
    </row>
    <row r="46" customFormat="false" ht="14.25" hidden="false" customHeight="true" outlineLevel="0" collapsed="false">
      <c r="A46" s="2"/>
      <c r="B46" s="2" t="s">
        <v>956</v>
      </c>
      <c r="C46" s="2"/>
      <c r="D46" s="2"/>
      <c r="E46" s="60" t="n">
        <v>5252023</v>
      </c>
      <c r="F46" s="18" t="str">
        <f aca="false">CONCATENATE(B46,"",C46,E46)</f>
        <v>S25252023</v>
      </c>
      <c r="G46" s="18" t="str">
        <f aca="false">CONCATENATE(C46,"",D46,F46)</f>
        <v>S25252023</v>
      </c>
      <c r="H46" s="2"/>
      <c r="I46" s="3" t="n">
        <v>45071</v>
      </c>
      <c r="J46" s="2"/>
      <c r="K46" s="61"/>
      <c r="L46" s="2"/>
      <c r="M46" s="2" t="n">
        <v>0</v>
      </c>
      <c r="N46" s="3"/>
      <c r="O46" s="65" t="n">
        <v>13544.61</v>
      </c>
      <c r="P46" s="2"/>
      <c r="Q46" s="62"/>
      <c r="S46" s="33" t="n">
        <f aca="false">IF(COUNTIF('[1]Plate_1-2_LongFormat'!$A$2:$A$193,G46)&gt;0,1,0)</f>
        <v>0</v>
      </c>
      <c r="T46" s="33" t="n">
        <f aca="false">IF(COUNTIF([2]Attached_indexes!$C$2:$C$193,G46)&gt;0,1,0)</f>
        <v>0</v>
      </c>
      <c r="U46" s="59"/>
      <c r="V46" s="1" t="s">
        <v>953</v>
      </c>
    </row>
    <row r="47" customFormat="false" ht="14.25" hidden="false" customHeight="true" outlineLevel="0" collapsed="false">
      <c r="A47" s="2"/>
      <c r="B47" s="2" t="s">
        <v>950</v>
      </c>
      <c r="C47" s="2"/>
      <c r="D47" s="2"/>
      <c r="E47" s="60" t="n">
        <v>5312023</v>
      </c>
      <c r="F47" s="18" t="str">
        <f aca="false">CONCATENATE(B47,"",C47,E47)</f>
        <v>C-5312023</v>
      </c>
      <c r="G47" s="18" t="s">
        <v>975</v>
      </c>
      <c r="H47" s="2"/>
      <c r="I47" s="3" t="n">
        <v>45077</v>
      </c>
      <c r="J47" s="2"/>
      <c r="K47" s="61"/>
      <c r="L47" s="2"/>
      <c r="M47" s="2" t="n">
        <v>1</v>
      </c>
      <c r="N47" s="3"/>
      <c r="O47" s="65" t="s">
        <v>952</v>
      </c>
      <c r="P47" s="2"/>
      <c r="Q47" s="62"/>
      <c r="S47" s="33" t="n">
        <f aca="false">IF(COUNTIF('[1]Plate_1-2_LongFormat'!$A$2:$A$193,G47)&gt;0,1,0)</f>
        <v>0</v>
      </c>
      <c r="T47" s="33" t="n">
        <f aca="false">IF(COUNTIF([2]Attached_indexes!$C$2:$C$193,G47)&gt;0,1,0)</f>
        <v>0</v>
      </c>
      <c r="U47" s="59"/>
      <c r="V47" s="1" t="s">
        <v>953</v>
      </c>
    </row>
    <row r="48" customFormat="false" ht="14.25" hidden="false" customHeight="true" outlineLevel="0" collapsed="false">
      <c r="A48" s="2"/>
      <c r="B48" s="2" t="s">
        <v>955</v>
      </c>
      <c r="C48" s="2"/>
      <c r="D48" s="2"/>
      <c r="E48" s="60" t="n">
        <v>5312023</v>
      </c>
      <c r="F48" s="18" t="str">
        <f aca="false">CONCATENATE(B48,"",C48,E48)</f>
        <v>S15312023</v>
      </c>
      <c r="G48" s="18" t="s">
        <v>976</v>
      </c>
      <c r="H48" s="2"/>
      <c r="I48" s="3" t="n">
        <v>45077</v>
      </c>
      <c r="J48" s="2"/>
      <c r="K48" s="61"/>
      <c r="L48" s="2"/>
      <c r="M48" s="2" t="n">
        <v>0</v>
      </c>
      <c r="N48" s="3"/>
      <c r="O48" s="65" t="n">
        <v>37.85</v>
      </c>
      <c r="P48" s="2"/>
      <c r="Q48" s="62"/>
      <c r="S48" s="33" t="n">
        <f aca="false">IF(COUNTIF('[1]Plate_1-2_LongFormat'!$A$2:$A$193,G48)&gt;0,1,0)</f>
        <v>0</v>
      </c>
      <c r="T48" s="33" t="n">
        <f aca="false">IF(COUNTIF([2]Attached_indexes!$C$2:$C$193,G48)&gt;0,1,0)</f>
        <v>0</v>
      </c>
      <c r="U48" s="59"/>
      <c r="V48" s="1" t="s">
        <v>953</v>
      </c>
    </row>
    <row r="49" customFormat="false" ht="14.25" hidden="false" customHeight="true" outlineLevel="0" collapsed="false">
      <c r="A49" s="2"/>
      <c r="B49" s="2" t="s">
        <v>956</v>
      </c>
      <c r="C49" s="2"/>
      <c r="D49" s="2"/>
      <c r="E49" s="60" t="n">
        <v>5312023</v>
      </c>
      <c r="F49" s="18" t="str">
        <f aca="false">CONCATENATE(B49,"",C49,E49)</f>
        <v>S25312023</v>
      </c>
      <c r="G49" s="18" t="s">
        <v>977</v>
      </c>
      <c r="H49" s="2"/>
      <c r="I49" s="3" t="n">
        <v>45077</v>
      </c>
      <c r="J49" s="2"/>
      <c r="K49" s="61"/>
      <c r="L49" s="2"/>
      <c r="M49" s="2" t="n">
        <v>0</v>
      </c>
      <c r="N49" s="3"/>
      <c r="O49" s="65" t="n">
        <v>13422.87</v>
      </c>
      <c r="P49" s="2"/>
      <c r="Q49" s="62"/>
      <c r="S49" s="33" t="n">
        <f aca="false">IF(COUNTIF('[1]Plate_1-2_LongFormat'!$A$2:$A$193,G49)&gt;0,1,0)</f>
        <v>0</v>
      </c>
      <c r="T49" s="33" t="n">
        <f aca="false">IF(COUNTIF([2]Attached_indexes!$C$2:$C$193,G49)&gt;0,1,0)</f>
        <v>0</v>
      </c>
      <c r="U49" s="59"/>
      <c r="V49" s="1" t="s">
        <v>953</v>
      </c>
    </row>
    <row r="50" customFormat="false" ht="14.25" hidden="false" customHeight="true" outlineLevel="0" collapsed="false">
      <c r="A50" s="2"/>
      <c r="B50" s="2" t="s">
        <v>950</v>
      </c>
      <c r="C50" s="2"/>
      <c r="D50" s="2"/>
      <c r="E50" s="60" t="n">
        <v>5302023</v>
      </c>
      <c r="F50" s="18" t="str">
        <f aca="false">CONCATENATE(B50,"",C50,E50)</f>
        <v>C-5302023</v>
      </c>
      <c r="G50" s="18" t="s">
        <v>978</v>
      </c>
      <c r="H50" s="2"/>
      <c r="I50" s="3" t="n">
        <v>45076</v>
      </c>
      <c r="J50" s="2"/>
      <c r="K50" s="61"/>
      <c r="L50" s="2"/>
      <c r="M50" s="2" t="n">
        <v>1</v>
      </c>
      <c r="N50" s="3"/>
      <c r="O50" s="65" t="s">
        <v>952</v>
      </c>
      <c r="P50" s="2"/>
      <c r="Q50" s="62"/>
      <c r="S50" s="33" t="n">
        <f aca="false">IF(COUNTIF('[1]Plate_1-2_LongFormat'!$A$2:$A$193,G50)&gt;0,1,0)</f>
        <v>0</v>
      </c>
      <c r="T50" s="33" t="n">
        <f aca="false">IF(COUNTIF([2]Attached_indexes!$C$2:$C$193,G50)&gt;0,1,0)</f>
        <v>0</v>
      </c>
      <c r="U50" s="59"/>
      <c r="V50" s="1" t="s">
        <v>953</v>
      </c>
    </row>
    <row r="51" customFormat="false" ht="14.25" hidden="false" customHeight="true" outlineLevel="0" collapsed="false">
      <c r="A51" s="2"/>
      <c r="B51" s="2" t="s">
        <v>955</v>
      </c>
      <c r="C51" s="2"/>
      <c r="D51" s="2"/>
      <c r="E51" s="60" t="n">
        <v>5302023</v>
      </c>
      <c r="F51" s="18" t="str">
        <f aca="false">CONCATENATE(B51,"",C51,E51)</f>
        <v>S15302023</v>
      </c>
      <c r="G51" s="18" t="s">
        <v>979</v>
      </c>
      <c r="H51" s="2"/>
      <c r="I51" s="3" t="n">
        <v>45076</v>
      </c>
      <c r="J51" s="2"/>
      <c r="K51" s="61"/>
      <c r="L51" s="2"/>
      <c r="M51" s="2" t="n">
        <v>0</v>
      </c>
      <c r="N51" s="3"/>
      <c r="O51" s="65" t="n">
        <v>39.64</v>
      </c>
      <c r="P51" s="2"/>
      <c r="Q51" s="62"/>
      <c r="S51" s="33" t="n">
        <f aca="false">IF(COUNTIF('[1]Plate_1-2_LongFormat'!$A$2:$A$193,G51)&gt;0,1,0)</f>
        <v>0</v>
      </c>
      <c r="T51" s="33" t="n">
        <f aca="false">IF(COUNTIF([2]Attached_indexes!$C$2:$C$193,G51)&gt;0,1,0)</f>
        <v>0</v>
      </c>
      <c r="U51" s="59"/>
      <c r="V51" s="1" t="s">
        <v>953</v>
      </c>
    </row>
    <row r="52" customFormat="false" ht="14.25" hidden="false" customHeight="true" outlineLevel="0" collapsed="false">
      <c r="A52" s="2"/>
      <c r="B52" s="2" t="s">
        <v>956</v>
      </c>
      <c r="C52" s="2"/>
      <c r="D52" s="2"/>
      <c r="E52" s="60" t="n">
        <v>5302023</v>
      </c>
      <c r="F52" s="18" t="str">
        <f aca="false">CONCATENATE(B52,"",C52,E52)</f>
        <v>S25302023</v>
      </c>
      <c r="G52" s="18" t="s">
        <v>980</v>
      </c>
      <c r="H52" s="2"/>
      <c r="I52" s="3" t="n">
        <v>45076</v>
      </c>
      <c r="J52" s="2"/>
      <c r="K52" s="61"/>
      <c r="L52" s="2"/>
      <c r="M52" s="2" t="n">
        <v>0</v>
      </c>
      <c r="N52" s="3"/>
      <c r="O52" s="65" t="n">
        <v>13761.52</v>
      </c>
      <c r="P52" s="2"/>
      <c r="Q52" s="62"/>
      <c r="S52" s="33" t="n">
        <f aca="false">IF(COUNTIF('[1]Plate_1-2_LongFormat'!$A$2:$A$193,G52)&gt;0,1,0)</f>
        <v>0</v>
      </c>
      <c r="T52" s="33" t="n">
        <f aca="false">IF(COUNTIF([2]Attached_indexes!$C$2:$C$193,G52)&gt;0,1,0)</f>
        <v>0</v>
      </c>
      <c r="U52" s="59"/>
      <c r="V52" s="1" t="s">
        <v>953</v>
      </c>
    </row>
    <row r="53" customFormat="false" ht="14.25" hidden="false" customHeight="true" outlineLevel="0" collapsed="false">
      <c r="A53" s="18" t="s">
        <v>342</v>
      </c>
      <c r="B53" s="18" t="s">
        <v>342</v>
      </c>
      <c r="C53" s="18" t="s">
        <v>31</v>
      </c>
      <c r="D53" s="2"/>
      <c r="E53" s="66" t="n">
        <v>1</v>
      </c>
      <c r="F53" s="21" t="str">
        <f aca="false">CONCATENATE(B53,"_",C53, TEXT(E53, "000"))</f>
        <v>AGFB_M. laciniatus001</v>
      </c>
      <c r="G53" s="21" t="s">
        <v>363</v>
      </c>
      <c r="H53" s="18" t="n">
        <v>1</v>
      </c>
      <c r="I53" s="22" t="n">
        <v>44673</v>
      </c>
      <c r="J53" s="2" t="s">
        <v>981</v>
      </c>
      <c r="K53" s="61"/>
      <c r="L53" s="2" t="n">
        <v>1</v>
      </c>
      <c r="M53" s="2" t="n">
        <v>1</v>
      </c>
      <c r="N53" s="3" t="n">
        <v>44938</v>
      </c>
      <c r="O53" s="2" t="n">
        <v>1.86</v>
      </c>
      <c r="P53" s="2" t="n">
        <v>2</v>
      </c>
      <c r="Q53" s="62" t="str">
        <f aca="false">IF(ISBLANK(N53),"",IF(N53&lt;DATE(2023,5,1),"OLD","NEW"))</f>
        <v>OLD</v>
      </c>
      <c r="S53" s="33" t="n">
        <f aca="false">IF(COUNTIF('[1]Plate_1-2_LongFormat'!$A$2:$A$193,G53)&gt;0,1,0)</f>
        <v>1</v>
      </c>
      <c r="T53" s="33" t="n">
        <f aca="false">IF(COUNTIF([2]Attached_indexes!$C$2:$C$193,G53)&gt;0,1,0)</f>
        <v>1</v>
      </c>
      <c r="U53" s="59"/>
      <c r="V53" s="1" t="s">
        <v>982</v>
      </c>
    </row>
    <row r="54" customFormat="false" ht="14.25" hidden="false" customHeight="true" outlineLevel="0" collapsed="false">
      <c r="A54" s="18" t="s">
        <v>342</v>
      </c>
      <c r="B54" s="18" t="s">
        <v>342</v>
      </c>
      <c r="C54" s="18" t="s">
        <v>31</v>
      </c>
      <c r="D54" s="2"/>
      <c r="E54" s="66" t="n">
        <v>1</v>
      </c>
      <c r="F54" s="21" t="str">
        <f aca="false">CONCATENATE(B54,"_",C54, TEXT(E54, "000"))</f>
        <v>AGFB_M. laciniatus001</v>
      </c>
      <c r="G54" s="21" t="s">
        <v>363</v>
      </c>
      <c r="H54" s="18" t="n">
        <v>1</v>
      </c>
      <c r="I54" s="22" t="n">
        <v>44673</v>
      </c>
      <c r="J54" s="2" t="s">
        <v>981</v>
      </c>
      <c r="K54" s="61"/>
      <c r="L54" s="2" t="n">
        <v>1</v>
      </c>
      <c r="M54" s="2" t="n">
        <v>1</v>
      </c>
      <c r="N54" s="3" t="n">
        <v>44938</v>
      </c>
      <c r="O54" s="2" t="n">
        <v>1.86</v>
      </c>
      <c r="P54" s="2" t="n">
        <v>2</v>
      </c>
      <c r="Q54" s="62" t="str">
        <f aca="false">IF(ISBLANK(N54),"",IF(N54&lt;DATE(2023,5,1),"OLD","NEW"))</f>
        <v>OLD</v>
      </c>
      <c r="S54" s="33" t="n">
        <f aca="false">IF(COUNTIF('[1]Plate_1-2_LongFormat'!$A$2:$A$193,G54)&gt;0,1,0)</f>
        <v>1</v>
      </c>
      <c r="T54" s="33" t="n">
        <f aca="false">IF(COUNTIF([2]Attached_indexes!$C$2:$C$193,G54)&gt;0,1,0)</f>
        <v>1</v>
      </c>
      <c r="U54" s="59"/>
      <c r="V54" s="1" t="s">
        <v>982</v>
      </c>
    </row>
    <row r="55" customFormat="false" ht="14.25" hidden="false" customHeight="true" outlineLevel="0" collapsed="false">
      <c r="A55" s="18" t="s">
        <v>342</v>
      </c>
      <c r="B55" s="18" t="s">
        <v>342</v>
      </c>
      <c r="C55" s="18" t="s">
        <v>31</v>
      </c>
      <c r="D55" s="2"/>
      <c r="E55" s="66" t="n">
        <v>1</v>
      </c>
      <c r="F55" s="21" t="str">
        <f aca="false">CONCATENATE(B55,"_",C55, TEXT(E55, "000"))</f>
        <v>AGFB_M. laciniatus001</v>
      </c>
      <c r="G55" s="21" t="s">
        <v>363</v>
      </c>
      <c r="H55" s="18" t="n">
        <v>1</v>
      </c>
      <c r="I55" s="22" t="n">
        <v>44673</v>
      </c>
      <c r="J55" s="2" t="s">
        <v>981</v>
      </c>
      <c r="K55" s="61"/>
      <c r="L55" s="2" t="n">
        <v>1</v>
      </c>
      <c r="M55" s="2" t="n">
        <v>1</v>
      </c>
      <c r="N55" s="3" t="n">
        <v>44938</v>
      </c>
      <c r="O55" s="2" t="n">
        <v>1.86</v>
      </c>
      <c r="P55" s="2" t="n">
        <v>2</v>
      </c>
      <c r="Q55" s="62" t="str">
        <f aca="false">IF(ISBLANK(N55),"",IF(N55&lt;DATE(2023,5,1),"OLD","NEW"))</f>
        <v>OLD</v>
      </c>
      <c r="S55" s="33" t="n">
        <f aca="false">IF(COUNTIF('[1]Plate_1-2_LongFormat'!$A$2:$A$193,G55)&gt;0,1,0)</f>
        <v>1</v>
      </c>
      <c r="T55" s="33" t="n">
        <f aca="false">IF(COUNTIF([2]Attached_indexes!$C$2:$C$193,G55)&gt;0,1,0)</f>
        <v>1</v>
      </c>
      <c r="U55" s="59"/>
      <c r="V55" s="1" t="s">
        <v>982</v>
      </c>
    </row>
    <row r="56" customFormat="false" ht="14.25" hidden="false" customHeight="true" outlineLevel="0" collapsed="false">
      <c r="A56" s="18" t="s">
        <v>342</v>
      </c>
      <c r="B56" s="18" t="s">
        <v>342</v>
      </c>
      <c r="C56" s="18" t="s">
        <v>31</v>
      </c>
      <c r="D56" s="2"/>
      <c r="E56" s="66" t="n">
        <v>10</v>
      </c>
      <c r="F56" s="21" t="str">
        <f aca="false">CONCATENATE(B56,"_",C56, TEXT(E56, "000"))</f>
        <v>AGFB_M. laciniatus010</v>
      </c>
      <c r="G56" s="21" t="s">
        <v>385</v>
      </c>
      <c r="H56" s="18" t="n">
        <v>1</v>
      </c>
      <c r="I56" s="22" t="n">
        <v>44673</v>
      </c>
      <c r="J56" s="2" t="s">
        <v>981</v>
      </c>
      <c r="K56" s="61"/>
      <c r="L56" s="2" t="n">
        <v>1</v>
      </c>
      <c r="M56" s="2" t="n">
        <v>1</v>
      </c>
      <c r="N56" s="3" t="n">
        <v>44834</v>
      </c>
      <c r="P56" s="2" t="n">
        <v>1</v>
      </c>
      <c r="Q56" s="62" t="str">
        <f aca="false">IF(ISBLANK(N56),"",IF(N56&lt;DATE(2023,5,1),"OLD","NEW"))</f>
        <v>OLD</v>
      </c>
      <c r="R56" s="2" t="s">
        <v>983</v>
      </c>
      <c r="S56" s="33" t="n">
        <f aca="false">IF(COUNTIF('[1]Plate_1-2_LongFormat'!$A$2:$A$193,G56)&gt;0,1,0)</f>
        <v>1</v>
      </c>
      <c r="T56" s="33" t="n">
        <f aca="false">IF(COUNTIF([2]Attached_indexes!$C$2:$C$193,G56)&gt;0,1,0)</f>
        <v>1</v>
      </c>
      <c r="U56" s="59"/>
      <c r="V56" s="1" t="s">
        <v>982</v>
      </c>
    </row>
    <row r="57" customFormat="false" ht="14.25" hidden="false" customHeight="true" outlineLevel="0" collapsed="false">
      <c r="A57" s="18" t="s">
        <v>342</v>
      </c>
      <c r="B57" s="18" t="s">
        <v>342</v>
      </c>
      <c r="C57" s="18" t="s">
        <v>31</v>
      </c>
      <c r="D57" s="2"/>
      <c r="E57" s="66" t="n">
        <v>10</v>
      </c>
      <c r="F57" s="21" t="str">
        <f aca="false">CONCATENATE(B57,"_",C57, TEXT(E57, "000"))</f>
        <v>AGFB_M. laciniatus010</v>
      </c>
      <c r="G57" s="21" t="s">
        <v>385</v>
      </c>
      <c r="H57" s="18" t="n">
        <v>1</v>
      </c>
      <c r="I57" s="22" t="n">
        <v>44673</v>
      </c>
      <c r="J57" s="2" t="s">
        <v>981</v>
      </c>
      <c r="K57" s="61"/>
      <c r="L57" s="2" t="n">
        <v>1</v>
      </c>
      <c r="M57" s="2" t="n">
        <v>1</v>
      </c>
      <c r="N57" s="3" t="n">
        <v>44834</v>
      </c>
      <c r="P57" s="2" t="n">
        <v>1</v>
      </c>
      <c r="Q57" s="62" t="str">
        <f aca="false">IF(ISBLANK(N57),"",IF(N57&lt;DATE(2023,5,1),"OLD","NEW"))</f>
        <v>OLD</v>
      </c>
      <c r="R57" s="2" t="s">
        <v>983</v>
      </c>
      <c r="S57" s="33" t="n">
        <f aca="false">IF(COUNTIF('[1]Plate_1-2_LongFormat'!$A$2:$A$193,G57)&gt;0,1,0)</f>
        <v>1</v>
      </c>
      <c r="T57" s="33" t="n">
        <f aca="false">IF(COUNTIF([2]Attached_indexes!$C$2:$C$193,G57)&gt;0,1,0)</f>
        <v>1</v>
      </c>
      <c r="U57" s="59"/>
      <c r="V57" s="1" t="s">
        <v>982</v>
      </c>
    </row>
    <row r="58" customFormat="false" ht="14.25" hidden="false" customHeight="true" outlineLevel="0" collapsed="false">
      <c r="A58" s="18" t="s">
        <v>342</v>
      </c>
      <c r="B58" s="18" t="s">
        <v>342</v>
      </c>
      <c r="C58" s="18" t="s">
        <v>31</v>
      </c>
      <c r="D58" s="2"/>
      <c r="E58" s="66" t="n">
        <v>10</v>
      </c>
      <c r="F58" s="21" t="str">
        <f aca="false">CONCATENATE(B58,"_",C58, TEXT(E58, "000"))</f>
        <v>AGFB_M. laciniatus010</v>
      </c>
      <c r="G58" s="21" t="s">
        <v>385</v>
      </c>
      <c r="H58" s="18" t="n">
        <v>1</v>
      </c>
      <c r="I58" s="22" t="n">
        <v>44673</v>
      </c>
      <c r="J58" s="2" t="s">
        <v>981</v>
      </c>
      <c r="K58" s="61"/>
      <c r="L58" s="2" t="n">
        <v>1</v>
      </c>
      <c r="M58" s="2" t="n">
        <v>1</v>
      </c>
      <c r="N58" s="3" t="n">
        <v>44834</v>
      </c>
      <c r="P58" s="2" t="n">
        <v>1</v>
      </c>
      <c r="Q58" s="62" t="str">
        <f aca="false">IF(ISBLANK(N58),"",IF(N58&lt;DATE(2023,5,1),"OLD","NEW"))</f>
        <v>OLD</v>
      </c>
      <c r="R58" s="2" t="s">
        <v>983</v>
      </c>
      <c r="S58" s="33" t="n">
        <f aca="false">IF(COUNTIF('[1]Plate_1-2_LongFormat'!$A$2:$A$193,G58)&gt;0,1,0)</f>
        <v>1</v>
      </c>
      <c r="T58" s="33" t="n">
        <f aca="false">IF(COUNTIF([2]Attached_indexes!$C$2:$C$193,G58)&gt;0,1,0)</f>
        <v>1</v>
      </c>
      <c r="U58" s="59"/>
      <c r="V58" s="1" t="s">
        <v>982</v>
      </c>
    </row>
    <row r="59" customFormat="false" ht="14.25" hidden="false" customHeight="true" outlineLevel="0" collapsed="false">
      <c r="A59" s="18" t="s">
        <v>342</v>
      </c>
      <c r="B59" s="18" t="s">
        <v>342</v>
      </c>
      <c r="C59" s="18" t="s">
        <v>31</v>
      </c>
      <c r="D59" s="2"/>
      <c r="E59" s="66" t="n">
        <v>11</v>
      </c>
      <c r="F59" s="21" t="str">
        <f aca="false">CONCATENATE(B59,"_",C59, TEXT(E59, "000"))</f>
        <v>AGFB_M. laciniatus011</v>
      </c>
      <c r="G59" s="21" t="s">
        <v>387</v>
      </c>
      <c r="H59" s="18" t="n">
        <v>1</v>
      </c>
      <c r="I59" s="22" t="n">
        <v>44673</v>
      </c>
      <c r="J59" s="2" t="s">
        <v>981</v>
      </c>
      <c r="K59" s="61"/>
      <c r="L59" s="2" t="n">
        <v>1</v>
      </c>
      <c r="M59" s="2" t="n">
        <v>1</v>
      </c>
      <c r="N59" s="3" t="n">
        <v>44938</v>
      </c>
      <c r="O59" s="2" t="n">
        <v>0.498</v>
      </c>
      <c r="P59" s="2" t="n">
        <v>2</v>
      </c>
      <c r="Q59" s="62" t="str">
        <f aca="false">IF(ISBLANK(N59),"",IF(N59&lt;DATE(2023,5,1),"OLD","NEW"))</f>
        <v>OLD</v>
      </c>
      <c r="S59" s="33" t="n">
        <f aca="false">IF(COUNTIF('[1]Plate_1-2_LongFormat'!$A$2:$A$193,G59)&gt;0,1,0)</f>
        <v>1</v>
      </c>
      <c r="T59" s="33" t="n">
        <f aca="false">IF(COUNTIF([2]Attached_indexes!$C$2:$C$193,G59)&gt;0,1,0)</f>
        <v>1</v>
      </c>
      <c r="U59" s="59"/>
      <c r="V59" s="1" t="s">
        <v>982</v>
      </c>
    </row>
    <row r="60" customFormat="false" ht="14.25" hidden="false" customHeight="true" outlineLevel="0" collapsed="false">
      <c r="A60" s="18" t="s">
        <v>342</v>
      </c>
      <c r="B60" s="18" t="s">
        <v>342</v>
      </c>
      <c r="C60" s="18" t="s">
        <v>31</v>
      </c>
      <c r="D60" s="2"/>
      <c r="E60" s="66" t="n">
        <v>11</v>
      </c>
      <c r="F60" s="21" t="str">
        <f aca="false">CONCATENATE(B60,"_",C60, TEXT(E60, "000"))</f>
        <v>AGFB_M. laciniatus011</v>
      </c>
      <c r="G60" s="21" t="s">
        <v>387</v>
      </c>
      <c r="H60" s="18" t="n">
        <v>1</v>
      </c>
      <c r="I60" s="22" t="n">
        <v>44673</v>
      </c>
      <c r="J60" s="2" t="s">
        <v>981</v>
      </c>
      <c r="K60" s="61"/>
      <c r="L60" s="2" t="n">
        <v>1</v>
      </c>
      <c r="M60" s="2" t="n">
        <v>1</v>
      </c>
      <c r="N60" s="3" t="n">
        <v>44938</v>
      </c>
      <c r="O60" s="2" t="n">
        <v>0.498</v>
      </c>
      <c r="P60" s="2" t="n">
        <v>2</v>
      </c>
      <c r="Q60" s="62" t="str">
        <f aca="false">IF(ISBLANK(N60),"",IF(N60&lt;DATE(2023,5,1),"OLD","NEW"))</f>
        <v>OLD</v>
      </c>
      <c r="S60" s="33" t="n">
        <f aca="false">IF(COUNTIF('[1]Plate_1-2_LongFormat'!$A$2:$A$193,G60)&gt;0,1,0)</f>
        <v>1</v>
      </c>
      <c r="T60" s="33" t="n">
        <f aca="false">IF(COUNTIF([2]Attached_indexes!$C$2:$C$193,G60)&gt;0,1,0)</f>
        <v>1</v>
      </c>
      <c r="U60" s="59"/>
      <c r="V60" s="1" t="s">
        <v>982</v>
      </c>
    </row>
    <row r="61" customFormat="false" ht="14.25" hidden="false" customHeight="true" outlineLevel="0" collapsed="false">
      <c r="A61" s="18" t="s">
        <v>342</v>
      </c>
      <c r="B61" s="18" t="s">
        <v>342</v>
      </c>
      <c r="C61" s="18" t="s">
        <v>31</v>
      </c>
      <c r="E61" s="66" t="n">
        <v>11</v>
      </c>
      <c r="F61" s="21" t="str">
        <f aca="false">CONCATENATE(B61,"_",C61, TEXT(E61, "000"))</f>
        <v>AGFB_M. laciniatus011</v>
      </c>
      <c r="G61" s="21" t="s">
        <v>387</v>
      </c>
      <c r="H61" s="18" t="n">
        <v>1</v>
      </c>
      <c r="I61" s="22" t="n">
        <v>44673</v>
      </c>
      <c r="J61" s="2" t="s">
        <v>981</v>
      </c>
      <c r="K61" s="61"/>
      <c r="L61" s="2" t="n">
        <v>1</v>
      </c>
      <c r="M61" s="2" t="n">
        <v>1</v>
      </c>
      <c r="N61" s="3" t="n">
        <v>44938</v>
      </c>
      <c r="O61" s="2" t="n">
        <v>0.498</v>
      </c>
      <c r="P61" s="2" t="n">
        <v>2</v>
      </c>
      <c r="Q61" s="62" t="str">
        <f aca="false">IF(ISBLANK(N61),"",IF(N61&lt;DATE(2023,5,1),"OLD","NEW"))</f>
        <v>OLD</v>
      </c>
      <c r="S61" s="33" t="n">
        <f aca="false">IF(COUNTIF('[1]Plate_1-2_LongFormat'!$A$2:$A$193,G61)&gt;0,1,0)</f>
        <v>1</v>
      </c>
      <c r="T61" s="33" t="n">
        <f aca="false">IF(COUNTIF([2]Attached_indexes!$C$2:$C$193,G61)&gt;0,1,0)</f>
        <v>1</v>
      </c>
      <c r="U61" s="59"/>
      <c r="V61" s="1" t="s">
        <v>982</v>
      </c>
    </row>
    <row r="62" customFormat="false" ht="14.25" hidden="false" customHeight="true" outlineLevel="0" collapsed="false">
      <c r="A62" s="18" t="s">
        <v>342</v>
      </c>
      <c r="B62" s="18" t="s">
        <v>342</v>
      </c>
      <c r="C62" s="18" t="s">
        <v>31</v>
      </c>
      <c r="E62" s="66" t="n">
        <v>2</v>
      </c>
      <c r="F62" s="21" t="str">
        <f aca="false">CONCATENATE(B62,"_",C62, TEXT(E62, "000"))</f>
        <v>AGFB_M. laciniatus002</v>
      </c>
      <c r="G62" s="21" t="s">
        <v>365</v>
      </c>
      <c r="H62" s="18" t="n">
        <v>1</v>
      </c>
      <c r="I62" s="22" t="n">
        <v>44673</v>
      </c>
      <c r="J62" s="2" t="s">
        <v>981</v>
      </c>
      <c r="K62" s="61"/>
      <c r="L62" s="2" t="n">
        <v>1</v>
      </c>
      <c r="M62" s="2" t="n">
        <v>1</v>
      </c>
      <c r="N62" s="3" t="n">
        <v>44938</v>
      </c>
      <c r="O62" s="2" t="n">
        <v>3.05</v>
      </c>
      <c r="P62" s="2" t="n">
        <v>2</v>
      </c>
      <c r="Q62" s="62" t="str">
        <f aca="false">IF(ISBLANK(N62),"",IF(N62&lt;DATE(2023,5,1),"OLD","NEW"))</f>
        <v>OLD</v>
      </c>
      <c r="S62" s="33" t="n">
        <f aca="false">IF(COUNTIF('[1]Plate_1-2_LongFormat'!$A$2:$A$193,G62)&gt;0,1,0)</f>
        <v>1</v>
      </c>
      <c r="T62" s="33" t="n">
        <f aca="false">IF(COUNTIF([2]Attached_indexes!$C$2:$C$193,G62)&gt;0,1,0)</f>
        <v>1</v>
      </c>
      <c r="U62" s="59"/>
      <c r="V62" s="1" t="s">
        <v>982</v>
      </c>
    </row>
    <row r="63" customFormat="false" ht="14.25" hidden="false" customHeight="true" outlineLevel="0" collapsed="false">
      <c r="A63" s="18" t="s">
        <v>342</v>
      </c>
      <c r="B63" s="18" t="s">
        <v>342</v>
      </c>
      <c r="C63" s="18" t="s">
        <v>31</v>
      </c>
      <c r="E63" s="66" t="n">
        <v>2</v>
      </c>
      <c r="F63" s="21" t="str">
        <f aca="false">CONCATENATE(B63,"_",C63, TEXT(E63, "000"))</f>
        <v>AGFB_M. laciniatus002</v>
      </c>
      <c r="G63" s="21" t="s">
        <v>365</v>
      </c>
      <c r="H63" s="18" t="n">
        <v>1</v>
      </c>
      <c r="I63" s="22" t="n">
        <v>44673</v>
      </c>
      <c r="J63" s="2" t="s">
        <v>981</v>
      </c>
      <c r="K63" s="61"/>
      <c r="L63" s="2" t="n">
        <v>1</v>
      </c>
      <c r="M63" s="2" t="n">
        <v>1</v>
      </c>
      <c r="N63" s="3" t="n">
        <v>44938</v>
      </c>
      <c r="O63" s="2" t="n">
        <v>3.05</v>
      </c>
      <c r="P63" s="2" t="n">
        <v>2</v>
      </c>
      <c r="Q63" s="62" t="str">
        <f aca="false">IF(ISBLANK(N63),"",IF(N63&lt;DATE(2023,5,1),"OLD","NEW"))</f>
        <v>OLD</v>
      </c>
      <c r="S63" s="33" t="n">
        <f aca="false">IF(COUNTIF('[1]Plate_1-2_LongFormat'!$A$2:$A$193,G63)&gt;0,1,0)</f>
        <v>1</v>
      </c>
      <c r="T63" s="33" t="n">
        <f aca="false">IF(COUNTIF([2]Attached_indexes!$C$2:$C$193,G63)&gt;0,1,0)</f>
        <v>1</v>
      </c>
      <c r="U63" s="59"/>
      <c r="V63" s="1" t="s">
        <v>982</v>
      </c>
    </row>
    <row r="64" customFormat="false" ht="14.25" hidden="false" customHeight="true" outlineLevel="0" collapsed="false">
      <c r="A64" s="18" t="s">
        <v>342</v>
      </c>
      <c r="B64" s="18" t="s">
        <v>342</v>
      </c>
      <c r="C64" s="18" t="s">
        <v>31</v>
      </c>
      <c r="E64" s="66" t="n">
        <v>2</v>
      </c>
      <c r="F64" s="21" t="str">
        <f aca="false">CONCATENATE(B64,"_",C64, TEXT(E64, "000"))</f>
        <v>AGFB_M. laciniatus002</v>
      </c>
      <c r="G64" s="21" t="s">
        <v>365</v>
      </c>
      <c r="H64" s="18" t="n">
        <v>1</v>
      </c>
      <c r="I64" s="22" t="n">
        <v>44673</v>
      </c>
      <c r="J64" s="2" t="s">
        <v>981</v>
      </c>
      <c r="K64" s="61"/>
      <c r="L64" s="2" t="n">
        <v>1</v>
      </c>
      <c r="M64" s="2" t="n">
        <v>1</v>
      </c>
      <c r="N64" s="3" t="n">
        <v>44938</v>
      </c>
      <c r="O64" s="2" t="n">
        <v>3.05</v>
      </c>
      <c r="P64" s="2" t="n">
        <v>2</v>
      </c>
      <c r="Q64" s="62" t="str">
        <f aca="false">IF(ISBLANK(N64),"",IF(N64&lt;DATE(2023,5,1),"OLD","NEW"))</f>
        <v>OLD</v>
      </c>
      <c r="S64" s="33" t="n">
        <f aca="false">IF(COUNTIF('[1]Plate_1-2_LongFormat'!$A$2:$A$193,G64)&gt;0,1,0)</f>
        <v>1</v>
      </c>
      <c r="T64" s="33" t="n">
        <f aca="false">IF(COUNTIF([2]Attached_indexes!$C$2:$C$193,G64)&gt;0,1,0)</f>
        <v>1</v>
      </c>
      <c r="U64" s="59"/>
      <c r="V64" s="1" t="s">
        <v>982</v>
      </c>
    </row>
    <row r="65" customFormat="false" ht="14.25" hidden="false" customHeight="true" outlineLevel="0" collapsed="false">
      <c r="A65" s="18" t="s">
        <v>342</v>
      </c>
      <c r="B65" s="18" t="s">
        <v>342</v>
      </c>
      <c r="C65" s="18" t="s">
        <v>31</v>
      </c>
      <c r="E65" s="66" t="n">
        <v>3</v>
      </c>
      <c r="F65" s="21" t="str">
        <f aca="false">CONCATENATE(B65,"_",C65, TEXT(E65, "000"))</f>
        <v>AGFB_M. laciniatus003</v>
      </c>
      <c r="G65" s="21" t="s">
        <v>368</v>
      </c>
      <c r="H65" s="18" t="n">
        <v>1</v>
      </c>
      <c r="I65" s="22" t="n">
        <v>44673</v>
      </c>
      <c r="J65" s="2" t="s">
        <v>981</v>
      </c>
      <c r="K65" s="67" t="s">
        <v>984</v>
      </c>
      <c r="L65" s="2" t="n">
        <v>1</v>
      </c>
      <c r="M65" s="2" t="n">
        <v>1</v>
      </c>
      <c r="N65" s="3" t="n">
        <v>45058</v>
      </c>
      <c r="O65" s="2" t="n">
        <v>12.2</v>
      </c>
      <c r="P65" s="2" t="n">
        <v>3</v>
      </c>
      <c r="Q65" s="62" t="str">
        <f aca="false">IF(ISBLANK(N65),"",IF(N65&lt;DATE(2023,5,1),"OLD","NEW"))</f>
        <v>NEW</v>
      </c>
      <c r="S65" s="33" t="n">
        <f aca="false">IF(COUNTIF('[1]Plate_1-2_LongFormat'!$A$2:$A$193,G65)&gt;0,1,0)</f>
        <v>0</v>
      </c>
      <c r="T65" s="33" t="n">
        <f aca="false">IF(COUNTIF([2]Attached_indexes!$C$2:$C$193,G65)&gt;0,1,0)</f>
        <v>0</v>
      </c>
      <c r="U65" s="59"/>
      <c r="V65" s="1" t="s">
        <v>982</v>
      </c>
    </row>
    <row r="66" customFormat="false" ht="15.75" hidden="false" customHeight="true" outlineLevel="0" collapsed="false">
      <c r="A66" s="18" t="s">
        <v>342</v>
      </c>
      <c r="B66" s="18" t="s">
        <v>342</v>
      </c>
      <c r="C66" s="18" t="s">
        <v>31</v>
      </c>
      <c r="E66" s="66" t="n">
        <v>3</v>
      </c>
      <c r="F66" s="21" t="str">
        <f aca="false">CONCATENATE(B66,"_",C66, TEXT(E66, "000"))</f>
        <v>AGFB_M. laciniatus003</v>
      </c>
      <c r="G66" s="21" t="s">
        <v>368</v>
      </c>
      <c r="H66" s="18" t="n">
        <v>1</v>
      </c>
      <c r="I66" s="22" t="n">
        <v>44673</v>
      </c>
      <c r="J66" s="2" t="s">
        <v>981</v>
      </c>
      <c r="K66" s="67" t="s">
        <v>984</v>
      </c>
      <c r="L66" s="2" t="n">
        <v>1</v>
      </c>
      <c r="M66" s="2" t="n">
        <v>1</v>
      </c>
      <c r="N66" s="3" t="n">
        <v>45058</v>
      </c>
      <c r="O66" s="2" t="n">
        <v>12.2</v>
      </c>
      <c r="P66" s="2" t="n">
        <v>3</v>
      </c>
      <c r="Q66" s="62" t="str">
        <f aca="false">IF(ISBLANK(N66),"",IF(N66&lt;DATE(2023,5,1),"OLD","NEW"))</f>
        <v>NEW</v>
      </c>
      <c r="S66" s="33" t="n">
        <f aca="false">IF(COUNTIF('[1]Plate_1-2_LongFormat'!$A$2:$A$193,G66)&gt;0,1,0)</f>
        <v>0</v>
      </c>
      <c r="T66" s="33" t="n">
        <f aca="false">IF(COUNTIF([2]Attached_indexes!$C$2:$C$193,G66)&gt;0,1,0)</f>
        <v>0</v>
      </c>
      <c r="U66" s="59"/>
      <c r="V66" s="1" t="s">
        <v>982</v>
      </c>
    </row>
    <row r="67" customFormat="false" ht="15.75" hidden="false" customHeight="true" outlineLevel="0" collapsed="false">
      <c r="A67" s="18" t="s">
        <v>342</v>
      </c>
      <c r="B67" s="18" t="s">
        <v>342</v>
      </c>
      <c r="C67" s="18" t="s">
        <v>31</v>
      </c>
      <c r="E67" s="66" t="n">
        <v>3</v>
      </c>
      <c r="F67" s="21" t="str">
        <f aca="false">CONCATENATE(B67,"_",C67, TEXT(E67, "000"))</f>
        <v>AGFB_M. laciniatus003</v>
      </c>
      <c r="G67" s="21" t="s">
        <v>368</v>
      </c>
      <c r="H67" s="18" t="n">
        <v>1</v>
      </c>
      <c r="I67" s="22" t="n">
        <v>44673</v>
      </c>
      <c r="J67" s="2" t="s">
        <v>981</v>
      </c>
      <c r="K67" s="67" t="s">
        <v>984</v>
      </c>
      <c r="L67" s="2" t="n">
        <v>1</v>
      </c>
      <c r="M67" s="2" t="n">
        <v>1</v>
      </c>
      <c r="N67" s="3" t="n">
        <v>45058</v>
      </c>
      <c r="O67" s="2" t="n">
        <v>12.2</v>
      </c>
      <c r="P67" s="2" t="n">
        <v>3</v>
      </c>
      <c r="Q67" s="62" t="str">
        <f aca="false">IF(ISBLANK(N67),"",IF(N67&lt;DATE(2023,5,1),"OLD","NEW"))</f>
        <v>NEW</v>
      </c>
      <c r="S67" s="33" t="n">
        <f aca="false">IF(COUNTIF('[1]Plate_1-2_LongFormat'!$A$2:$A$193,G67)&gt;0,1,0)</f>
        <v>0</v>
      </c>
      <c r="T67" s="33" t="n">
        <f aca="false">IF(COUNTIF([2]Attached_indexes!$C$2:$C$193,G67)&gt;0,1,0)</f>
        <v>0</v>
      </c>
      <c r="U67" s="59"/>
      <c r="V67" s="1" t="s">
        <v>982</v>
      </c>
    </row>
    <row r="68" customFormat="false" ht="15.75" hidden="false" customHeight="true" outlineLevel="0" collapsed="false">
      <c r="A68" s="18" t="s">
        <v>342</v>
      </c>
      <c r="B68" s="18" t="s">
        <v>342</v>
      </c>
      <c r="C68" s="18" t="s">
        <v>31</v>
      </c>
      <c r="E68" s="66" t="n">
        <v>4</v>
      </c>
      <c r="F68" s="21" t="str">
        <f aca="false">CONCATENATE(B68,"_",C68, TEXT(E68, "000"))</f>
        <v>AGFB_M. laciniatus004</v>
      </c>
      <c r="G68" s="21" t="s">
        <v>371</v>
      </c>
      <c r="H68" s="18" t="n">
        <v>1</v>
      </c>
      <c r="I68" s="22" t="n">
        <v>44673</v>
      </c>
      <c r="J68" s="2" t="s">
        <v>981</v>
      </c>
      <c r="K68" s="67" t="s">
        <v>985</v>
      </c>
      <c r="L68" s="2" t="n">
        <v>1</v>
      </c>
      <c r="M68" s="2" t="n">
        <v>1</v>
      </c>
      <c r="N68" s="3" t="n">
        <v>44945</v>
      </c>
      <c r="O68" s="2" t="n">
        <v>3.45</v>
      </c>
      <c r="P68" s="2" t="n">
        <v>2</v>
      </c>
      <c r="Q68" s="62" t="str">
        <f aca="false">IF(ISBLANK(N68),"",IF(N68&lt;DATE(2023,5,1),"OLD","NEW"))</f>
        <v>OLD</v>
      </c>
      <c r="S68" s="33" t="n">
        <f aca="false">IF(COUNTIF('[1]Plate_1-2_LongFormat'!$A$2:$A$193,G68)&gt;0,1,0)</f>
        <v>1</v>
      </c>
      <c r="T68" s="33" t="n">
        <f aca="false">IF(COUNTIF([2]Attached_indexes!$C$2:$C$193,G68)&gt;0,1,0)</f>
        <v>1</v>
      </c>
      <c r="U68" s="59"/>
      <c r="V68" s="1" t="s">
        <v>982</v>
      </c>
    </row>
    <row r="69" customFormat="false" ht="15.75" hidden="false" customHeight="true" outlineLevel="0" collapsed="false">
      <c r="A69" s="18" t="s">
        <v>342</v>
      </c>
      <c r="B69" s="18" t="s">
        <v>342</v>
      </c>
      <c r="C69" s="18" t="s">
        <v>31</v>
      </c>
      <c r="E69" s="66" t="n">
        <v>4</v>
      </c>
      <c r="F69" s="21" t="str">
        <f aca="false">CONCATENATE(B69,"_",C69, TEXT(E69, "000"))</f>
        <v>AGFB_M. laciniatus004</v>
      </c>
      <c r="G69" s="21" t="s">
        <v>371</v>
      </c>
      <c r="H69" s="18" t="n">
        <v>1</v>
      </c>
      <c r="I69" s="22" t="n">
        <v>44673</v>
      </c>
      <c r="J69" s="2" t="s">
        <v>981</v>
      </c>
      <c r="K69" s="67" t="s">
        <v>985</v>
      </c>
      <c r="L69" s="2" t="n">
        <v>1</v>
      </c>
      <c r="M69" s="2" t="n">
        <v>1</v>
      </c>
      <c r="N69" s="3" t="n">
        <v>44945</v>
      </c>
      <c r="O69" s="2" t="n">
        <v>3.45</v>
      </c>
      <c r="P69" s="2" t="n">
        <v>2</v>
      </c>
      <c r="Q69" s="62" t="str">
        <f aca="false">IF(ISBLANK(N69),"",IF(N69&lt;DATE(2023,5,1),"OLD","NEW"))</f>
        <v>OLD</v>
      </c>
      <c r="S69" s="33" t="n">
        <f aca="false">IF(COUNTIF('[1]Plate_1-2_LongFormat'!$A$2:$A$193,G69)&gt;0,1,0)</f>
        <v>1</v>
      </c>
      <c r="T69" s="33" t="n">
        <f aca="false">IF(COUNTIF([2]Attached_indexes!$C$2:$C$193,G69)&gt;0,1,0)</f>
        <v>1</v>
      </c>
      <c r="U69" s="59"/>
      <c r="V69" s="1" t="s">
        <v>982</v>
      </c>
    </row>
    <row r="70" customFormat="false" ht="15.75" hidden="false" customHeight="true" outlineLevel="0" collapsed="false">
      <c r="A70" s="18" t="s">
        <v>342</v>
      </c>
      <c r="B70" s="18" t="s">
        <v>342</v>
      </c>
      <c r="C70" s="18" t="s">
        <v>31</v>
      </c>
      <c r="E70" s="66" t="n">
        <v>4</v>
      </c>
      <c r="F70" s="21" t="str">
        <f aca="false">CONCATENATE(B70,"_",C70, TEXT(E70, "000"))</f>
        <v>AGFB_M. laciniatus004</v>
      </c>
      <c r="G70" s="21" t="s">
        <v>371</v>
      </c>
      <c r="H70" s="18" t="n">
        <v>1</v>
      </c>
      <c r="I70" s="22" t="n">
        <v>44673</v>
      </c>
      <c r="J70" s="2" t="s">
        <v>981</v>
      </c>
      <c r="K70" s="67" t="s">
        <v>985</v>
      </c>
      <c r="L70" s="2" t="n">
        <v>1</v>
      </c>
      <c r="M70" s="2" t="n">
        <v>1</v>
      </c>
      <c r="N70" s="3" t="n">
        <v>44945</v>
      </c>
      <c r="O70" s="2" t="n">
        <v>3.45</v>
      </c>
      <c r="P70" s="2" t="n">
        <v>2</v>
      </c>
      <c r="Q70" s="62" t="str">
        <f aca="false">IF(ISBLANK(N70),"",IF(N70&lt;DATE(2023,5,1),"OLD","NEW"))</f>
        <v>OLD</v>
      </c>
      <c r="S70" s="33" t="n">
        <f aca="false">IF(COUNTIF('[1]Plate_1-2_LongFormat'!$A$2:$A$193,G70)&gt;0,1,0)</f>
        <v>1</v>
      </c>
      <c r="T70" s="33" t="n">
        <f aca="false">IF(COUNTIF([2]Attached_indexes!$C$2:$C$193,G70)&gt;0,1,0)</f>
        <v>1</v>
      </c>
      <c r="U70" s="59"/>
      <c r="V70" s="1" t="s">
        <v>982</v>
      </c>
    </row>
    <row r="71" customFormat="false" ht="15.75" hidden="false" customHeight="true" outlineLevel="0" collapsed="false">
      <c r="A71" s="18" t="s">
        <v>342</v>
      </c>
      <c r="B71" s="18" t="s">
        <v>342</v>
      </c>
      <c r="C71" s="18" t="s">
        <v>31</v>
      </c>
      <c r="E71" s="66" t="n">
        <v>5</v>
      </c>
      <c r="F71" s="21" t="str">
        <f aca="false">CONCATENATE(B71,"_",C71, TEXT(E71, "000"))</f>
        <v>AGFB_M. laciniatus005</v>
      </c>
      <c r="G71" s="21" t="s">
        <v>374</v>
      </c>
      <c r="H71" s="18" t="n">
        <v>1</v>
      </c>
      <c r="I71" s="22" t="n">
        <v>44673</v>
      </c>
      <c r="J71" s="2" t="s">
        <v>981</v>
      </c>
      <c r="K71" s="61"/>
      <c r="L71" s="2" t="n">
        <v>1</v>
      </c>
      <c r="M71" s="2" t="n">
        <v>1</v>
      </c>
      <c r="N71" s="3" t="n">
        <v>44842</v>
      </c>
      <c r="O71" s="2" t="n">
        <v>7.33</v>
      </c>
      <c r="P71" s="2" t="n">
        <v>1</v>
      </c>
      <c r="Q71" s="62" t="str">
        <f aca="false">IF(ISBLANK(N71),"",IF(N71&lt;DATE(2023,5,1),"OLD","NEW"))</f>
        <v>OLD</v>
      </c>
      <c r="S71" s="33" t="n">
        <f aca="false">IF(COUNTIF('[1]Plate_1-2_LongFormat'!$A$2:$A$193,G71)&gt;0,1,0)</f>
        <v>1</v>
      </c>
      <c r="T71" s="33" t="n">
        <f aca="false">IF(COUNTIF([2]Attached_indexes!$C$2:$C$193,G71)&gt;0,1,0)</f>
        <v>1</v>
      </c>
      <c r="U71" s="59"/>
      <c r="V71" s="1" t="s">
        <v>982</v>
      </c>
    </row>
    <row r="72" customFormat="false" ht="15.75" hidden="false" customHeight="true" outlineLevel="0" collapsed="false">
      <c r="A72" s="18" t="s">
        <v>342</v>
      </c>
      <c r="B72" s="18" t="s">
        <v>342</v>
      </c>
      <c r="C72" s="18" t="s">
        <v>31</v>
      </c>
      <c r="E72" s="66" t="n">
        <v>5</v>
      </c>
      <c r="F72" s="21" t="str">
        <f aca="false">CONCATENATE(B72,"_",C72, TEXT(E72, "000"))</f>
        <v>AGFB_M. laciniatus005</v>
      </c>
      <c r="G72" s="21" t="s">
        <v>374</v>
      </c>
      <c r="H72" s="18" t="n">
        <v>1</v>
      </c>
      <c r="I72" s="22" t="n">
        <v>44673</v>
      </c>
      <c r="J72" s="2" t="s">
        <v>981</v>
      </c>
      <c r="K72" s="61"/>
      <c r="L72" s="2" t="n">
        <v>1</v>
      </c>
      <c r="M72" s="2" t="n">
        <v>1</v>
      </c>
      <c r="N72" s="3" t="n">
        <v>44842</v>
      </c>
      <c r="O72" s="2" t="n">
        <v>7.33</v>
      </c>
      <c r="P72" s="2" t="n">
        <v>1</v>
      </c>
      <c r="Q72" s="62" t="str">
        <f aca="false">IF(ISBLANK(N72),"",IF(N72&lt;DATE(2023,5,1),"OLD","NEW"))</f>
        <v>OLD</v>
      </c>
      <c r="S72" s="33" t="n">
        <f aca="false">IF(COUNTIF('[1]Plate_1-2_LongFormat'!$A$2:$A$193,G72)&gt;0,1,0)</f>
        <v>1</v>
      </c>
      <c r="T72" s="33" t="n">
        <f aca="false">IF(COUNTIF([2]Attached_indexes!$C$2:$C$193,G72)&gt;0,1,0)</f>
        <v>1</v>
      </c>
      <c r="U72" s="59"/>
      <c r="V72" s="1" t="s">
        <v>982</v>
      </c>
    </row>
    <row r="73" customFormat="false" ht="15.75" hidden="false" customHeight="true" outlineLevel="0" collapsed="false">
      <c r="A73" s="18" t="s">
        <v>342</v>
      </c>
      <c r="B73" s="18" t="s">
        <v>342</v>
      </c>
      <c r="C73" s="18" t="s">
        <v>31</v>
      </c>
      <c r="E73" s="66" t="n">
        <v>5</v>
      </c>
      <c r="F73" s="21" t="str">
        <f aca="false">CONCATENATE(B73,"_",C73, TEXT(E73, "000"))</f>
        <v>AGFB_M. laciniatus005</v>
      </c>
      <c r="G73" s="21" t="s">
        <v>374</v>
      </c>
      <c r="H73" s="18" t="n">
        <v>1</v>
      </c>
      <c r="I73" s="22" t="n">
        <v>44673</v>
      </c>
      <c r="J73" s="2" t="s">
        <v>981</v>
      </c>
      <c r="K73" s="61"/>
      <c r="L73" s="2" t="n">
        <v>1</v>
      </c>
      <c r="M73" s="2" t="n">
        <v>1</v>
      </c>
      <c r="N73" s="3" t="n">
        <v>44842</v>
      </c>
      <c r="O73" s="2" t="n">
        <v>7.33</v>
      </c>
      <c r="P73" s="2" t="n">
        <v>1</v>
      </c>
      <c r="Q73" s="62" t="str">
        <f aca="false">IF(ISBLANK(N73),"",IF(N73&lt;DATE(2023,5,1),"OLD","NEW"))</f>
        <v>OLD</v>
      </c>
      <c r="S73" s="33" t="n">
        <f aca="false">IF(COUNTIF('[1]Plate_1-2_LongFormat'!$A$2:$A$193,G73)&gt;0,1,0)</f>
        <v>1</v>
      </c>
      <c r="T73" s="33" t="n">
        <f aca="false">IF(COUNTIF([2]Attached_indexes!$C$2:$C$193,G73)&gt;0,1,0)</f>
        <v>1</v>
      </c>
      <c r="U73" s="59"/>
      <c r="V73" s="1" t="s">
        <v>982</v>
      </c>
    </row>
    <row r="74" customFormat="false" ht="15.75" hidden="false" customHeight="true" outlineLevel="0" collapsed="false">
      <c r="A74" s="18" t="s">
        <v>342</v>
      </c>
      <c r="B74" s="18" t="s">
        <v>342</v>
      </c>
      <c r="C74" s="18" t="s">
        <v>31</v>
      </c>
      <c r="E74" s="66" t="n">
        <v>6</v>
      </c>
      <c r="F74" s="21" t="str">
        <f aca="false">CONCATENATE(B74,"_",C74, TEXT(E74, "000"))</f>
        <v>AGFB_M. laciniatus006</v>
      </c>
      <c r="G74" s="21" t="s">
        <v>377</v>
      </c>
      <c r="H74" s="18" t="n">
        <v>1</v>
      </c>
      <c r="I74" s="22" t="n">
        <v>44673</v>
      </c>
      <c r="J74" s="2" t="s">
        <v>981</v>
      </c>
      <c r="K74" s="67" t="s">
        <v>986</v>
      </c>
      <c r="L74" s="2" t="n">
        <v>1</v>
      </c>
      <c r="M74" s="2" t="n">
        <v>1</v>
      </c>
      <c r="N74" s="3" t="n">
        <v>44945</v>
      </c>
      <c r="O74" s="2" t="n">
        <v>1.86</v>
      </c>
      <c r="P74" s="2" t="n">
        <v>2</v>
      </c>
      <c r="Q74" s="62" t="str">
        <f aca="false">IF(ISBLANK(N74),"",IF(N74&lt;DATE(2023,5,1),"OLD","NEW"))</f>
        <v>OLD</v>
      </c>
      <c r="S74" s="33" t="n">
        <f aca="false">IF(COUNTIF('[1]Plate_1-2_LongFormat'!$A$2:$A$193,G74)&gt;0,1,0)</f>
        <v>1</v>
      </c>
      <c r="T74" s="33" t="n">
        <f aca="false">IF(COUNTIF([2]Attached_indexes!$C$2:$C$193,G74)&gt;0,1,0)</f>
        <v>1</v>
      </c>
      <c r="U74" s="59"/>
      <c r="V74" s="1" t="s">
        <v>982</v>
      </c>
    </row>
    <row r="75" customFormat="false" ht="15.75" hidden="false" customHeight="true" outlineLevel="0" collapsed="false">
      <c r="A75" s="18" t="s">
        <v>342</v>
      </c>
      <c r="B75" s="18" t="s">
        <v>342</v>
      </c>
      <c r="C75" s="18" t="s">
        <v>31</v>
      </c>
      <c r="E75" s="66" t="n">
        <v>6</v>
      </c>
      <c r="F75" s="21" t="str">
        <f aca="false">CONCATENATE(B75,"_",C75, TEXT(E75, "000"))</f>
        <v>AGFB_M. laciniatus006</v>
      </c>
      <c r="G75" s="21" t="s">
        <v>377</v>
      </c>
      <c r="H75" s="18" t="n">
        <v>1</v>
      </c>
      <c r="I75" s="22" t="n">
        <v>44673</v>
      </c>
      <c r="J75" s="2" t="s">
        <v>981</v>
      </c>
      <c r="K75" s="68" t="s">
        <v>986</v>
      </c>
      <c r="L75" s="2" t="n">
        <v>1</v>
      </c>
      <c r="M75" s="2" t="n">
        <v>1</v>
      </c>
      <c r="N75" s="3" t="n">
        <v>44945</v>
      </c>
      <c r="O75" s="2" t="n">
        <v>1.86</v>
      </c>
      <c r="P75" s="2" t="n">
        <v>2</v>
      </c>
      <c r="Q75" s="62" t="str">
        <f aca="false">IF(ISBLANK(N75),"",IF(N75&lt;DATE(2023,5,1),"OLD","NEW"))</f>
        <v>OLD</v>
      </c>
      <c r="S75" s="33" t="n">
        <f aca="false">IF(COUNTIF('[1]Plate_1-2_LongFormat'!$A$2:$A$193,G75)&gt;0,1,0)</f>
        <v>1</v>
      </c>
      <c r="T75" s="33" t="n">
        <f aca="false">IF(COUNTIF([2]Attached_indexes!$C$2:$C$193,G75)&gt;0,1,0)</f>
        <v>1</v>
      </c>
      <c r="U75" s="59"/>
      <c r="V75" s="1" t="s">
        <v>982</v>
      </c>
    </row>
    <row r="76" customFormat="false" ht="15.75" hidden="false" customHeight="true" outlineLevel="0" collapsed="false">
      <c r="A76" s="18" t="s">
        <v>342</v>
      </c>
      <c r="B76" s="18" t="s">
        <v>342</v>
      </c>
      <c r="C76" s="18" t="s">
        <v>31</v>
      </c>
      <c r="E76" s="66" t="n">
        <v>6</v>
      </c>
      <c r="F76" s="21" t="str">
        <f aca="false">CONCATENATE(B76,"_",C76, TEXT(E76, "000"))</f>
        <v>AGFB_M. laciniatus006</v>
      </c>
      <c r="G76" s="21" t="s">
        <v>377</v>
      </c>
      <c r="H76" s="18" t="n">
        <v>1</v>
      </c>
      <c r="I76" s="22" t="n">
        <v>44673</v>
      </c>
      <c r="J76" s="2" t="s">
        <v>981</v>
      </c>
      <c r="K76" s="68" t="s">
        <v>986</v>
      </c>
      <c r="L76" s="2" t="n">
        <v>1</v>
      </c>
      <c r="M76" s="2" t="n">
        <v>1</v>
      </c>
      <c r="N76" s="3" t="n">
        <v>44945</v>
      </c>
      <c r="O76" s="2" t="n">
        <v>1.86</v>
      </c>
      <c r="P76" s="2" t="n">
        <v>2</v>
      </c>
      <c r="Q76" s="62" t="str">
        <f aca="false">IF(ISBLANK(N76),"",IF(N76&lt;DATE(2023,5,1),"OLD","NEW"))</f>
        <v>OLD</v>
      </c>
      <c r="S76" s="33" t="n">
        <f aca="false">IF(COUNTIF('[1]Plate_1-2_LongFormat'!$A$2:$A$193,G76)&gt;0,1,0)</f>
        <v>1</v>
      </c>
      <c r="T76" s="33" t="n">
        <f aca="false">IF(COUNTIF([2]Attached_indexes!$C$2:$C$193,G76)&gt;0,1,0)</f>
        <v>1</v>
      </c>
      <c r="U76" s="59"/>
      <c r="V76" s="1" t="s">
        <v>982</v>
      </c>
    </row>
    <row r="77" customFormat="false" ht="15.75" hidden="false" customHeight="true" outlineLevel="0" collapsed="false">
      <c r="A77" s="18" t="s">
        <v>342</v>
      </c>
      <c r="B77" s="18" t="s">
        <v>342</v>
      </c>
      <c r="C77" s="18" t="s">
        <v>31</v>
      </c>
      <c r="E77" s="66" t="n">
        <v>7</v>
      </c>
      <c r="F77" s="21" t="str">
        <f aca="false">CONCATENATE(B77,"_",C77, TEXT(E77, "000"))</f>
        <v>AGFB_M. laciniatus007</v>
      </c>
      <c r="G77" s="21" t="s">
        <v>379</v>
      </c>
      <c r="H77" s="18" t="n">
        <v>1</v>
      </c>
      <c r="I77" s="22" t="n">
        <v>44673</v>
      </c>
      <c r="J77" s="2" t="s">
        <v>981</v>
      </c>
      <c r="L77" s="2" t="n">
        <v>1</v>
      </c>
      <c r="M77" s="2" t="n">
        <v>1</v>
      </c>
      <c r="N77" s="3" t="n">
        <v>44914</v>
      </c>
      <c r="O77" s="2" t="n">
        <v>5.71</v>
      </c>
      <c r="P77" s="2" t="n">
        <v>2</v>
      </c>
      <c r="Q77" s="62" t="str">
        <f aca="false">IF(ISBLANK(N77),"",IF(N77&lt;DATE(2023,5,1),"OLD","NEW"))</f>
        <v>OLD</v>
      </c>
      <c r="S77" s="33" t="n">
        <f aca="false">IF(COUNTIF('[1]Plate_1-2_LongFormat'!$A$2:$A$193,G77)&gt;0,1,0)</f>
        <v>1</v>
      </c>
      <c r="T77" s="33" t="n">
        <f aca="false">IF(COUNTIF([2]Attached_indexes!$C$2:$C$193,G77)&gt;0,1,0)</f>
        <v>1</v>
      </c>
      <c r="U77" s="59"/>
      <c r="V77" s="1" t="s">
        <v>982</v>
      </c>
    </row>
    <row r="78" customFormat="false" ht="15.75" hidden="false" customHeight="true" outlineLevel="0" collapsed="false">
      <c r="A78" s="18" t="s">
        <v>342</v>
      </c>
      <c r="B78" s="18" t="s">
        <v>342</v>
      </c>
      <c r="C78" s="18" t="s">
        <v>31</v>
      </c>
      <c r="E78" s="66" t="n">
        <v>7</v>
      </c>
      <c r="F78" s="21" t="str">
        <f aca="false">CONCATENATE(B78,"_",C78, TEXT(E78, "000"))</f>
        <v>AGFB_M. laciniatus007</v>
      </c>
      <c r="G78" s="21" t="s">
        <v>379</v>
      </c>
      <c r="H78" s="18" t="n">
        <v>1</v>
      </c>
      <c r="I78" s="22" t="n">
        <v>44673</v>
      </c>
      <c r="J78" s="2" t="s">
        <v>981</v>
      </c>
      <c r="L78" s="2" t="n">
        <v>1</v>
      </c>
      <c r="M78" s="2" t="n">
        <v>1</v>
      </c>
      <c r="N78" s="3" t="n">
        <v>44914</v>
      </c>
      <c r="O78" s="2" t="n">
        <v>5.71</v>
      </c>
      <c r="P78" s="2" t="n">
        <v>2</v>
      </c>
      <c r="Q78" s="62" t="str">
        <f aca="false">IF(ISBLANK(N78),"",IF(N78&lt;DATE(2023,5,1),"OLD","NEW"))</f>
        <v>OLD</v>
      </c>
      <c r="S78" s="33" t="n">
        <f aca="false">IF(COUNTIF('[1]Plate_1-2_LongFormat'!$A$2:$A$193,G78)&gt;0,1,0)</f>
        <v>1</v>
      </c>
      <c r="T78" s="33" t="n">
        <f aca="false">IF(COUNTIF([2]Attached_indexes!$C$2:$C$193,G78)&gt;0,1,0)</f>
        <v>1</v>
      </c>
      <c r="U78" s="59"/>
      <c r="V78" s="1" t="s">
        <v>982</v>
      </c>
    </row>
    <row r="79" customFormat="false" ht="15.75" hidden="false" customHeight="true" outlineLevel="0" collapsed="false">
      <c r="A79" s="18" t="s">
        <v>342</v>
      </c>
      <c r="B79" s="18" t="s">
        <v>342</v>
      </c>
      <c r="C79" s="18" t="s">
        <v>31</v>
      </c>
      <c r="E79" s="66" t="n">
        <v>7</v>
      </c>
      <c r="F79" s="21" t="str">
        <f aca="false">CONCATENATE(B79,"_",C79, TEXT(E79, "000"))</f>
        <v>AGFB_M. laciniatus007</v>
      </c>
      <c r="G79" s="21" t="s">
        <v>379</v>
      </c>
      <c r="H79" s="18" t="n">
        <v>1</v>
      </c>
      <c r="I79" s="22" t="n">
        <v>44673</v>
      </c>
      <c r="J79" s="2" t="s">
        <v>981</v>
      </c>
      <c r="L79" s="2" t="n">
        <v>1</v>
      </c>
      <c r="M79" s="2" t="n">
        <v>1</v>
      </c>
      <c r="N79" s="3" t="n">
        <v>44914</v>
      </c>
      <c r="O79" s="2" t="n">
        <v>5.71</v>
      </c>
      <c r="P79" s="2" t="n">
        <v>2</v>
      </c>
      <c r="Q79" s="62" t="str">
        <f aca="false">IF(ISBLANK(N79),"",IF(N79&lt;DATE(2023,5,1),"OLD","NEW"))</f>
        <v>OLD</v>
      </c>
      <c r="S79" s="33" t="n">
        <f aca="false">IF(COUNTIF('[1]Plate_1-2_LongFormat'!$A$2:$A$193,G79)&gt;0,1,0)</f>
        <v>1</v>
      </c>
      <c r="T79" s="33" t="n">
        <f aca="false">IF(COUNTIF([2]Attached_indexes!$C$2:$C$193,G79)&gt;0,1,0)</f>
        <v>1</v>
      </c>
      <c r="U79" s="59"/>
      <c r="V79" s="1" t="s">
        <v>982</v>
      </c>
    </row>
    <row r="80" customFormat="false" ht="15.75" hidden="false" customHeight="true" outlineLevel="0" collapsed="false">
      <c r="A80" s="18" t="s">
        <v>342</v>
      </c>
      <c r="B80" s="18" t="s">
        <v>342</v>
      </c>
      <c r="C80" s="18" t="s">
        <v>31</v>
      </c>
      <c r="E80" s="66" t="n">
        <v>8</v>
      </c>
      <c r="F80" s="21" t="str">
        <f aca="false">CONCATENATE(B80,"_",C80, TEXT(E80, "000"))</f>
        <v>AGFB_M. laciniatus008</v>
      </c>
      <c r="G80" s="21" t="s">
        <v>382</v>
      </c>
      <c r="H80" s="18" t="n">
        <v>1</v>
      </c>
      <c r="I80" s="22" t="n">
        <v>44673</v>
      </c>
      <c r="J80" s="2" t="s">
        <v>981</v>
      </c>
      <c r="K80" s="68" t="s">
        <v>987</v>
      </c>
      <c r="L80" s="2" t="n">
        <v>1</v>
      </c>
      <c r="M80" s="2" t="n">
        <v>1</v>
      </c>
      <c r="N80" s="3" t="n">
        <v>45071</v>
      </c>
      <c r="O80" s="2" t="n">
        <v>8.42</v>
      </c>
      <c r="P80" s="2" t="n">
        <v>4</v>
      </c>
      <c r="Q80" s="62" t="str">
        <f aca="false">IF(ISBLANK(N80),"",IF(N80&lt;DATE(2023,5,1),"OLD","NEW"))</f>
        <v>NEW</v>
      </c>
      <c r="S80" s="33" t="n">
        <f aca="false">IF(COUNTIF('[1]Plate_1-2_LongFormat'!$A$2:$A$193,G80)&gt;0,1,0)</f>
        <v>0</v>
      </c>
      <c r="T80" s="33" t="n">
        <f aca="false">IF(COUNTIF([2]Attached_indexes!$C$2:$C$193,G80)&gt;0,1,0)</f>
        <v>0</v>
      </c>
      <c r="U80" s="59"/>
      <c r="V80" s="1" t="s">
        <v>982</v>
      </c>
    </row>
    <row r="81" customFormat="false" ht="15.75" hidden="false" customHeight="true" outlineLevel="0" collapsed="false">
      <c r="A81" s="18" t="s">
        <v>342</v>
      </c>
      <c r="B81" s="18" t="s">
        <v>342</v>
      </c>
      <c r="C81" s="18" t="s">
        <v>31</v>
      </c>
      <c r="E81" s="66" t="n">
        <v>8</v>
      </c>
      <c r="F81" s="21" t="str">
        <f aca="false">CONCATENATE(B81,"_",C81, TEXT(E81, "000"))</f>
        <v>AGFB_M. laciniatus008</v>
      </c>
      <c r="G81" s="21" t="s">
        <v>382</v>
      </c>
      <c r="H81" s="18" t="n">
        <v>1</v>
      </c>
      <c r="I81" s="22" t="n">
        <v>44673</v>
      </c>
      <c r="J81" s="2" t="s">
        <v>981</v>
      </c>
      <c r="K81" s="68" t="s">
        <v>987</v>
      </c>
      <c r="L81" s="2" t="n">
        <v>1</v>
      </c>
      <c r="M81" s="2" t="n">
        <v>1</v>
      </c>
      <c r="N81" s="3" t="n">
        <v>45071</v>
      </c>
      <c r="O81" s="2" t="n">
        <v>8.42</v>
      </c>
      <c r="P81" s="2" t="n">
        <v>4</v>
      </c>
      <c r="Q81" s="62" t="str">
        <f aca="false">IF(ISBLANK(N81),"",IF(N81&lt;DATE(2023,5,1),"OLD","NEW"))</f>
        <v>NEW</v>
      </c>
      <c r="S81" s="33" t="n">
        <f aca="false">IF(COUNTIF('[1]Plate_1-2_LongFormat'!$A$2:$A$193,G81)&gt;0,1,0)</f>
        <v>0</v>
      </c>
      <c r="T81" s="33" t="n">
        <f aca="false">IF(COUNTIF([2]Attached_indexes!$C$2:$C$193,G81)&gt;0,1,0)</f>
        <v>0</v>
      </c>
      <c r="U81" s="59"/>
      <c r="V81" s="1" t="s">
        <v>982</v>
      </c>
    </row>
    <row r="82" customFormat="false" ht="15.75" hidden="false" customHeight="true" outlineLevel="0" collapsed="false">
      <c r="A82" s="18" t="s">
        <v>342</v>
      </c>
      <c r="B82" s="18" t="s">
        <v>342</v>
      </c>
      <c r="C82" s="18" t="s">
        <v>31</v>
      </c>
      <c r="E82" s="66" t="n">
        <v>8</v>
      </c>
      <c r="F82" s="21" t="str">
        <f aca="false">CONCATENATE(B82,"_",C82, TEXT(E82, "000"))</f>
        <v>AGFB_M. laciniatus008</v>
      </c>
      <c r="G82" s="21" t="s">
        <v>382</v>
      </c>
      <c r="H82" s="18" t="n">
        <v>1</v>
      </c>
      <c r="I82" s="22" t="n">
        <v>44673</v>
      </c>
      <c r="J82" s="2" t="s">
        <v>981</v>
      </c>
      <c r="K82" s="68" t="s">
        <v>987</v>
      </c>
      <c r="L82" s="2" t="n">
        <v>1</v>
      </c>
      <c r="M82" s="2" t="n">
        <v>1</v>
      </c>
      <c r="N82" s="3" t="n">
        <v>45071</v>
      </c>
      <c r="O82" s="2" t="n">
        <v>8.42</v>
      </c>
      <c r="P82" s="2" t="n">
        <v>4</v>
      </c>
      <c r="Q82" s="62" t="str">
        <f aca="false">IF(ISBLANK(N82),"",IF(N82&lt;DATE(2023,5,1),"OLD","NEW"))</f>
        <v>NEW</v>
      </c>
      <c r="S82" s="33" t="n">
        <f aca="false">IF(COUNTIF('[1]Plate_1-2_LongFormat'!$A$2:$A$193,G82)&gt;0,1,0)</f>
        <v>0</v>
      </c>
      <c r="T82" s="33" t="n">
        <f aca="false">IF(COUNTIF([2]Attached_indexes!$C$2:$C$193,G82)&gt;0,1,0)</f>
        <v>0</v>
      </c>
      <c r="U82" s="59"/>
      <c r="V82" s="1" t="s">
        <v>982</v>
      </c>
    </row>
    <row r="83" customFormat="false" ht="15.75" hidden="false" customHeight="true" outlineLevel="0" collapsed="false">
      <c r="A83" s="18" t="s">
        <v>342</v>
      </c>
      <c r="B83" s="18" t="s">
        <v>342</v>
      </c>
      <c r="C83" s="18" t="s">
        <v>31</v>
      </c>
      <c r="E83" s="66" t="n">
        <v>9</v>
      </c>
      <c r="F83" s="21" t="str">
        <f aca="false">CONCATENATE(B83,"_",C83, TEXT(E83, "000"))</f>
        <v>AGFB_M. laciniatus009</v>
      </c>
      <c r="G83" s="21" t="s">
        <v>383</v>
      </c>
      <c r="H83" s="18" t="n">
        <v>1</v>
      </c>
      <c r="I83" s="22" t="n">
        <v>44673</v>
      </c>
      <c r="J83" s="2" t="s">
        <v>981</v>
      </c>
      <c r="K83" s="68" t="s">
        <v>988</v>
      </c>
      <c r="L83" s="2" t="n">
        <v>1</v>
      </c>
      <c r="M83" s="2" t="n">
        <v>1</v>
      </c>
      <c r="N83" s="3" t="n">
        <v>45071</v>
      </c>
      <c r="O83" s="2" t="n">
        <v>5.67</v>
      </c>
      <c r="P83" s="2" t="n">
        <v>4</v>
      </c>
      <c r="Q83" s="62" t="str">
        <f aca="false">IF(ISBLANK(N83),"",IF(N83&lt;DATE(2023,5,1),"OLD","NEW"))</f>
        <v>NEW</v>
      </c>
      <c r="S83" s="33" t="n">
        <f aca="false">IF(COUNTIF('[1]Plate_1-2_LongFormat'!$A$2:$A$193,G83)&gt;0,1,0)</f>
        <v>0</v>
      </c>
      <c r="T83" s="33" t="n">
        <f aca="false">IF(COUNTIF([2]Attached_indexes!$C$2:$C$193,G83)&gt;0,1,0)</f>
        <v>0</v>
      </c>
      <c r="U83" s="59"/>
      <c r="V83" s="1" t="s">
        <v>982</v>
      </c>
    </row>
    <row r="84" customFormat="false" ht="15.75" hidden="false" customHeight="true" outlineLevel="0" collapsed="false">
      <c r="A84" s="18" t="s">
        <v>342</v>
      </c>
      <c r="B84" s="18" t="s">
        <v>342</v>
      </c>
      <c r="C84" s="18" t="s">
        <v>31</v>
      </c>
      <c r="E84" s="66" t="n">
        <v>9</v>
      </c>
      <c r="F84" s="21" t="str">
        <f aca="false">CONCATENATE(B84,"_",C84, TEXT(E84, "000"))</f>
        <v>AGFB_M. laciniatus009</v>
      </c>
      <c r="G84" s="21" t="s">
        <v>383</v>
      </c>
      <c r="H84" s="18" t="n">
        <v>1</v>
      </c>
      <c r="I84" s="22" t="n">
        <v>44673</v>
      </c>
      <c r="J84" s="2" t="s">
        <v>981</v>
      </c>
      <c r="K84" s="68" t="s">
        <v>988</v>
      </c>
      <c r="L84" s="2" t="n">
        <v>1</v>
      </c>
      <c r="M84" s="2" t="n">
        <v>1</v>
      </c>
      <c r="N84" s="3" t="n">
        <v>45071</v>
      </c>
      <c r="O84" s="2" t="n">
        <v>5.67</v>
      </c>
      <c r="P84" s="2" t="n">
        <v>4</v>
      </c>
      <c r="Q84" s="62" t="str">
        <f aca="false">IF(ISBLANK(N84),"",IF(N84&lt;DATE(2023,5,1),"OLD","NEW"))</f>
        <v>NEW</v>
      </c>
      <c r="S84" s="33" t="n">
        <f aca="false">IF(COUNTIF('[1]Plate_1-2_LongFormat'!$A$2:$A$193,G84)&gt;0,1,0)</f>
        <v>0</v>
      </c>
      <c r="T84" s="33" t="n">
        <f aca="false">IF(COUNTIF([2]Attached_indexes!$C$2:$C$193,G84)&gt;0,1,0)</f>
        <v>0</v>
      </c>
      <c r="U84" s="59"/>
      <c r="V84" s="1" t="s">
        <v>982</v>
      </c>
    </row>
    <row r="85" customFormat="false" ht="15.75" hidden="false" customHeight="true" outlineLevel="0" collapsed="false">
      <c r="A85" s="18" t="s">
        <v>342</v>
      </c>
      <c r="B85" s="18" t="s">
        <v>342</v>
      </c>
      <c r="C85" s="18" t="s">
        <v>31</v>
      </c>
      <c r="E85" s="66" t="n">
        <v>9</v>
      </c>
      <c r="F85" s="21" t="str">
        <f aca="false">CONCATENATE(B85,"_",C85, TEXT(E85, "000"))</f>
        <v>AGFB_M. laciniatus009</v>
      </c>
      <c r="G85" s="21" t="s">
        <v>383</v>
      </c>
      <c r="H85" s="18" t="n">
        <v>1</v>
      </c>
      <c r="I85" s="22" t="n">
        <v>44673</v>
      </c>
      <c r="J85" s="2" t="s">
        <v>981</v>
      </c>
      <c r="K85" s="68" t="s">
        <v>988</v>
      </c>
      <c r="L85" s="2" t="n">
        <v>1</v>
      </c>
      <c r="M85" s="2" t="n">
        <v>1</v>
      </c>
      <c r="N85" s="3" t="n">
        <v>45071</v>
      </c>
      <c r="O85" s="2" t="n">
        <v>5.67</v>
      </c>
      <c r="P85" s="2" t="n">
        <v>4</v>
      </c>
      <c r="Q85" s="62" t="str">
        <f aca="false">IF(ISBLANK(N85),"",IF(N85&lt;DATE(2023,5,1),"OLD","NEW"))</f>
        <v>NEW</v>
      </c>
      <c r="S85" s="33" t="n">
        <f aca="false">IF(COUNTIF('[1]Plate_1-2_LongFormat'!$A$2:$A$193,G85)&gt;0,1,0)</f>
        <v>0</v>
      </c>
      <c r="T85" s="33" t="n">
        <f aca="false">IF(COUNTIF([2]Attached_indexes!$C$2:$C$193,G85)&gt;0,1,0)</f>
        <v>0</v>
      </c>
      <c r="U85" s="59"/>
      <c r="V85" s="1" t="s">
        <v>982</v>
      </c>
    </row>
    <row r="86" customFormat="false" ht="15.75" hidden="false" customHeight="true" outlineLevel="0" collapsed="false">
      <c r="A86" s="18" t="s">
        <v>342</v>
      </c>
      <c r="B86" s="18" t="s">
        <v>342</v>
      </c>
      <c r="C86" s="18" t="s">
        <v>159</v>
      </c>
      <c r="E86" s="66" t="n">
        <v>1</v>
      </c>
      <c r="F86" s="21" t="str">
        <f aca="false">CONCATENATE(B86,"_",C86, TEXT(E86, "000"))</f>
        <v>AGFB_M. nasutus001</v>
      </c>
      <c r="G86" s="21" t="s">
        <v>343</v>
      </c>
      <c r="H86" s="18" t="n">
        <v>1</v>
      </c>
      <c r="I86" s="22" t="n">
        <v>44673</v>
      </c>
      <c r="J86" s="2" t="s">
        <v>981</v>
      </c>
      <c r="K86" s="68" t="s">
        <v>988</v>
      </c>
      <c r="L86" s="2" t="n">
        <v>1</v>
      </c>
      <c r="M86" s="2" t="n">
        <v>1</v>
      </c>
      <c r="N86" s="3" t="n">
        <v>45071</v>
      </c>
      <c r="O86" s="2" t="n">
        <v>9.74</v>
      </c>
      <c r="P86" s="2" t="n">
        <v>4</v>
      </c>
      <c r="Q86" s="62" t="str">
        <f aca="false">IF(ISBLANK(N86),"",IF(N86&lt;DATE(2023,5,1),"OLD","NEW"))</f>
        <v>NEW</v>
      </c>
      <c r="S86" s="33" t="n">
        <f aca="false">IF(COUNTIF('[1]Plate_1-2_LongFormat'!$A$2:$A$193,G86)&gt;0,1,0)</f>
        <v>0</v>
      </c>
      <c r="T86" s="33" t="n">
        <f aca="false">IF(COUNTIF([2]Attached_indexes!$C$2:$C$193,G86)&gt;0,1,0)</f>
        <v>0</v>
      </c>
      <c r="U86" s="59"/>
      <c r="V86" s="1" t="s">
        <v>982</v>
      </c>
    </row>
    <row r="87" customFormat="false" ht="15.75" hidden="false" customHeight="true" outlineLevel="0" collapsed="false">
      <c r="A87" s="18" t="s">
        <v>342</v>
      </c>
      <c r="B87" s="18" t="s">
        <v>342</v>
      </c>
      <c r="C87" s="18" t="s">
        <v>159</v>
      </c>
      <c r="E87" s="66" t="n">
        <v>1</v>
      </c>
      <c r="F87" s="21" t="str">
        <f aca="false">CONCATENATE(B87,"_",C87, TEXT(E87, "000"))</f>
        <v>AGFB_M. nasutus001</v>
      </c>
      <c r="G87" s="21" t="s">
        <v>343</v>
      </c>
      <c r="H87" s="18" t="n">
        <v>1</v>
      </c>
      <c r="I87" s="22" t="n">
        <v>44673</v>
      </c>
      <c r="J87" s="2" t="s">
        <v>981</v>
      </c>
      <c r="K87" s="68" t="s">
        <v>988</v>
      </c>
      <c r="L87" s="2" t="n">
        <v>1</v>
      </c>
      <c r="M87" s="2" t="n">
        <v>1</v>
      </c>
      <c r="N87" s="3" t="n">
        <v>45071</v>
      </c>
      <c r="O87" s="2" t="n">
        <v>9.74</v>
      </c>
      <c r="P87" s="2" t="n">
        <v>4</v>
      </c>
      <c r="Q87" s="62" t="str">
        <f aca="false">IF(ISBLANK(N87),"",IF(N87&lt;DATE(2023,5,1),"OLD","NEW"))</f>
        <v>NEW</v>
      </c>
      <c r="S87" s="33" t="n">
        <f aca="false">IF(COUNTIF('[1]Plate_1-2_LongFormat'!$A$2:$A$193,G87)&gt;0,1,0)</f>
        <v>0</v>
      </c>
      <c r="T87" s="33" t="n">
        <f aca="false">IF(COUNTIF([2]Attached_indexes!$C$2:$C$193,G87)&gt;0,1,0)</f>
        <v>0</v>
      </c>
      <c r="U87" s="59"/>
      <c r="V87" s="1" t="s">
        <v>982</v>
      </c>
    </row>
    <row r="88" customFormat="false" ht="15.75" hidden="false" customHeight="true" outlineLevel="0" collapsed="false">
      <c r="A88" s="18" t="s">
        <v>342</v>
      </c>
      <c r="B88" s="18" t="s">
        <v>342</v>
      </c>
      <c r="C88" s="18" t="s">
        <v>159</v>
      </c>
      <c r="E88" s="66" t="n">
        <v>1</v>
      </c>
      <c r="F88" s="21" t="str">
        <f aca="false">CONCATENATE(B88,"_",C88, TEXT(E88, "000"))</f>
        <v>AGFB_M. nasutus001</v>
      </c>
      <c r="G88" s="21" t="s">
        <v>343</v>
      </c>
      <c r="H88" s="18" t="n">
        <v>1</v>
      </c>
      <c r="I88" s="22" t="n">
        <v>44673</v>
      </c>
      <c r="J88" s="2" t="s">
        <v>981</v>
      </c>
      <c r="K88" s="68" t="s">
        <v>988</v>
      </c>
      <c r="L88" s="2" t="n">
        <v>1</v>
      </c>
      <c r="M88" s="2" t="n">
        <v>1</v>
      </c>
      <c r="N88" s="3" t="n">
        <v>45071</v>
      </c>
      <c r="O88" s="2" t="n">
        <v>9.74</v>
      </c>
      <c r="P88" s="2" t="n">
        <v>4</v>
      </c>
      <c r="Q88" s="62" t="str">
        <f aca="false">IF(ISBLANK(N88),"",IF(N88&lt;DATE(2023,5,1),"OLD","NEW"))</f>
        <v>NEW</v>
      </c>
      <c r="S88" s="33" t="n">
        <f aca="false">IF(COUNTIF('[1]Plate_1-2_LongFormat'!$A$2:$A$193,G88)&gt;0,1,0)</f>
        <v>0</v>
      </c>
      <c r="T88" s="33" t="n">
        <f aca="false">IF(COUNTIF([2]Attached_indexes!$C$2:$C$193,G88)&gt;0,1,0)</f>
        <v>0</v>
      </c>
      <c r="U88" s="59"/>
      <c r="V88" s="1" t="s">
        <v>982</v>
      </c>
    </row>
    <row r="89" customFormat="false" ht="15.75" hidden="false" customHeight="true" outlineLevel="0" collapsed="false">
      <c r="A89" s="18" t="s">
        <v>342</v>
      </c>
      <c r="B89" s="18" t="s">
        <v>342</v>
      </c>
      <c r="C89" s="18" t="s">
        <v>159</v>
      </c>
      <c r="E89" s="66" t="n">
        <v>10</v>
      </c>
      <c r="F89" s="21" t="str">
        <f aca="false">CONCATENATE(B89,"_",C89, TEXT(E89, "000"))</f>
        <v>AGFB_M. nasutus010</v>
      </c>
      <c r="G89" s="21" t="s">
        <v>361</v>
      </c>
      <c r="H89" s="18" t="n">
        <v>1</v>
      </c>
      <c r="I89" s="22" t="n">
        <v>44673</v>
      </c>
      <c r="J89" s="2" t="s">
        <v>981</v>
      </c>
      <c r="K89" s="68" t="s">
        <v>984</v>
      </c>
      <c r="L89" s="2" t="n">
        <v>1</v>
      </c>
      <c r="M89" s="2" t="n">
        <v>1</v>
      </c>
      <c r="N89" s="3" t="n">
        <v>45053</v>
      </c>
      <c r="O89" s="2" t="n">
        <v>16.3</v>
      </c>
      <c r="P89" s="2" t="n">
        <v>3</v>
      </c>
      <c r="Q89" s="62" t="str">
        <f aca="false">IF(ISBLANK(N89),"",IF(N89&lt;DATE(2023,5,1),"OLD","NEW"))</f>
        <v>NEW</v>
      </c>
      <c r="S89" s="33" t="n">
        <f aca="false">IF(COUNTIF('[1]Plate_1-2_LongFormat'!$A$2:$A$193,G89)&gt;0,1,0)</f>
        <v>0</v>
      </c>
      <c r="T89" s="33" t="n">
        <f aca="false">IF(COUNTIF([2]Attached_indexes!$C$2:$C$193,G89)&gt;0,1,0)</f>
        <v>0</v>
      </c>
      <c r="U89" s="59"/>
      <c r="V89" s="1" t="s">
        <v>982</v>
      </c>
    </row>
    <row r="90" customFormat="false" ht="15.75" hidden="false" customHeight="true" outlineLevel="0" collapsed="false">
      <c r="A90" s="18" t="s">
        <v>342</v>
      </c>
      <c r="B90" s="18" t="s">
        <v>342</v>
      </c>
      <c r="C90" s="18" t="s">
        <v>159</v>
      </c>
      <c r="E90" s="66" t="n">
        <v>10</v>
      </c>
      <c r="F90" s="21" t="str">
        <f aca="false">CONCATENATE(B90,"_",C90, TEXT(E90, "000"))</f>
        <v>AGFB_M. nasutus010</v>
      </c>
      <c r="G90" s="21" t="s">
        <v>361</v>
      </c>
      <c r="H90" s="18" t="n">
        <v>1</v>
      </c>
      <c r="I90" s="22" t="n">
        <v>44673</v>
      </c>
      <c r="J90" s="2" t="s">
        <v>981</v>
      </c>
      <c r="K90" s="68" t="s">
        <v>984</v>
      </c>
      <c r="L90" s="2" t="n">
        <v>1</v>
      </c>
      <c r="M90" s="2" t="n">
        <v>1</v>
      </c>
      <c r="N90" s="3" t="n">
        <v>45053</v>
      </c>
      <c r="O90" s="2" t="n">
        <v>16.3</v>
      </c>
      <c r="P90" s="2" t="n">
        <v>3</v>
      </c>
      <c r="Q90" s="62" t="str">
        <f aca="false">IF(ISBLANK(N90),"",IF(N90&lt;DATE(2023,5,1),"OLD","NEW"))</f>
        <v>NEW</v>
      </c>
      <c r="S90" s="33" t="n">
        <f aca="false">IF(COUNTIF('[1]Plate_1-2_LongFormat'!$A$2:$A$193,G90)&gt;0,1,0)</f>
        <v>0</v>
      </c>
      <c r="T90" s="33" t="n">
        <f aca="false">IF(COUNTIF([2]Attached_indexes!$C$2:$C$193,G90)&gt;0,1,0)</f>
        <v>0</v>
      </c>
      <c r="U90" s="59"/>
      <c r="V90" s="1" t="s">
        <v>982</v>
      </c>
    </row>
    <row r="91" customFormat="false" ht="15.75" hidden="false" customHeight="true" outlineLevel="0" collapsed="false">
      <c r="A91" s="18" t="s">
        <v>342</v>
      </c>
      <c r="B91" s="18" t="s">
        <v>342</v>
      </c>
      <c r="C91" s="18" t="s">
        <v>159</v>
      </c>
      <c r="E91" s="66" t="n">
        <v>10</v>
      </c>
      <c r="F91" s="21" t="str">
        <f aca="false">CONCATENATE(B91,"_",C91, TEXT(E91, "000"))</f>
        <v>AGFB_M. nasutus010</v>
      </c>
      <c r="G91" s="21" t="s">
        <v>361</v>
      </c>
      <c r="H91" s="18" t="n">
        <v>1</v>
      </c>
      <c r="I91" s="22" t="n">
        <v>44673</v>
      </c>
      <c r="J91" s="2" t="s">
        <v>981</v>
      </c>
      <c r="K91" s="68" t="s">
        <v>984</v>
      </c>
      <c r="L91" s="2" t="n">
        <v>1</v>
      </c>
      <c r="M91" s="2" t="n">
        <v>1</v>
      </c>
      <c r="N91" s="3" t="n">
        <v>45053</v>
      </c>
      <c r="O91" s="2" t="n">
        <v>16.3</v>
      </c>
      <c r="P91" s="2" t="n">
        <v>3</v>
      </c>
      <c r="Q91" s="62" t="str">
        <f aca="false">IF(ISBLANK(N91),"",IF(N91&lt;DATE(2023,5,1),"OLD","NEW"))</f>
        <v>NEW</v>
      </c>
      <c r="S91" s="33" t="n">
        <f aca="false">IF(COUNTIF('[1]Plate_1-2_LongFormat'!$A$2:$A$193,G91)&gt;0,1,0)</f>
        <v>0</v>
      </c>
      <c r="T91" s="33" t="n">
        <f aca="false">IF(COUNTIF([2]Attached_indexes!$C$2:$C$193,G91)&gt;0,1,0)</f>
        <v>0</v>
      </c>
      <c r="U91" s="59"/>
      <c r="V91" s="1" t="s">
        <v>982</v>
      </c>
    </row>
    <row r="92" customFormat="false" ht="15.75" hidden="false" customHeight="true" outlineLevel="0" collapsed="false">
      <c r="A92" s="18" t="s">
        <v>342</v>
      </c>
      <c r="B92" s="18" t="s">
        <v>342</v>
      </c>
      <c r="C92" s="18" t="s">
        <v>159</v>
      </c>
      <c r="E92" s="66" t="n">
        <v>2</v>
      </c>
      <c r="F92" s="21" t="str">
        <f aca="false">CONCATENATE(B92,"_",C92, TEXT(E92, "000"))</f>
        <v>AGFB_M. nasutus002</v>
      </c>
      <c r="G92" s="21" t="s">
        <v>344</v>
      </c>
      <c r="H92" s="18" t="n">
        <v>1</v>
      </c>
      <c r="I92" s="22" t="n">
        <v>44673</v>
      </c>
      <c r="J92" s="2" t="s">
        <v>981</v>
      </c>
      <c r="L92" s="2" t="n">
        <v>1</v>
      </c>
      <c r="M92" s="2" t="n">
        <v>1</v>
      </c>
      <c r="N92" s="3" t="n">
        <v>45058</v>
      </c>
      <c r="O92" s="2" t="n">
        <v>18.4</v>
      </c>
      <c r="P92" s="2" t="n">
        <v>3</v>
      </c>
      <c r="Q92" s="62" t="str">
        <f aca="false">IF(ISBLANK(N92),"",IF(N92&lt;DATE(2023,5,1),"OLD","NEW"))</f>
        <v>NEW</v>
      </c>
      <c r="S92" s="33" t="n">
        <f aca="false">IF(COUNTIF('[1]Plate_1-2_LongFormat'!$A$2:$A$193,G92)&gt;0,1,0)</f>
        <v>0</v>
      </c>
      <c r="T92" s="33" t="n">
        <f aca="false">IF(COUNTIF([2]Attached_indexes!$C$2:$C$193,G92)&gt;0,1,0)</f>
        <v>0</v>
      </c>
      <c r="U92" s="59"/>
      <c r="V92" s="1" t="s">
        <v>982</v>
      </c>
    </row>
    <row r="93" customFormat="false" ht="15.75" hidden="false" customHeight="true" outlineLevel="0" collapsed="false">
      <c r="A93" s="18" t="s">
        <v>342</v>
      </c>
      <c r="B93" s="18" t="s">
        <v>342</v>
      </c>
      <c r="C93" s="18" t="s">
        <v>159</v>
      </c>
      <c r="E93" s="66" t="n">
        <v>2</v>
      </c>
      <c r="F93" s="21" t="str">
        <f aca="false">CONCATENATE(B93,"_",C93, TEXT(E93, "000"))</f>
        <v>AGFB_M. nasutus002</v>
      </c>
      <c r="G93" s="21" t="s">
        <v>344</v>
      </c>
      <c r="H93" s="18" t="n">
        <v>1</v>
      </c>
      <c r="I93" s="22" t="n">
        <v>44673</v>
      </c>
      <c r="J93" s="2" t="s">
        <v>981</v>
      </c>
      <c r="L93" s="2" t="n">
        <v>1</v>
      </c>
      <c r="M93" s="2" t="n">
        <v>1</v>
      </c>
      <c r="N93" s="3" t="n">
        <v>45058</v>
      </c>
      <c r="O93" s="2" t="n">
        <v>18.4</v>
      </c>
      <c r="P93" s="2" t="n">
        <v>3</v>
      </c>
      <c r="Q93" s="62" t="str">
        <f aca="false">IF(ISBLANK(N93),"",IF(N93&lt;DATE(2023,5,1),"OLD","NEW"))</f>
        <v>NEW</v>
      </c>
      <c r="S93" s="33" t="n">
        <f aca="false">IF(COUNTIF('[1]Plate_1-2_LongFormat'!$A$2:$A$193,G93)&gt;0,1,0)</f>
        <v>0</v>
      </c>
      <c r="T93" s="33" t="n">
        <f aca="false">IF(COUNTIF([2]Attached_indexes!$C$2:$C$193,G93)&gt;0,1,0)</f>
        <v>0</v>
      </c>
      <c r="U93" s="59"/>
      <c r="V93" s="1" t="s">
        <v>982</v>
      </c>
    </row>
    <row r="94" customFormat="false" ht="15.75" hidden="false" customHeight="true" outlineLevel="0" collapsed="false">
      <c r="A94" s="18" t="s">
        <v>342</v>
      </c>
      <c r="B94" s="18" t="s">
        <v>342</v>
      </c>
      <c r="C94" s="18" t="s">
        <v>159</v>
      </c>
      <c r="E94" s="66" t="n">
        <v>2</v>
      </c>
      <c r="F94" s="21" t="str">
        <f aca="false">CONCATENATE(B94,"_",C94, TEXT(E94, "000"))</f>
        <v>AGFB_M. nasutus002</v>
      </c>
      <c r="G94" s="21" t="s">
        <v>344</v>
      </c>
      <c r="H94" s="18" t="n">
        <v>1</v>
      </c>
      <c r="I94" s="22" t="n">
        <v>44673</v>
      </c>
      <c r="J94" s="2" t="s">
        <v>981</v>
      </c>
      <c r="L94" s="2" t="n">
        <v>1</v>
      </c>
      <c r="M94" s="2" t="n">
        <v>1</v>
      </c>
      <c r="N94" s="3" t="n">
        <v>45058</v>
      </c>
      <c r="O94" s="2" t="n">
        <v>18.4</v>
      </c>
      <c r="P94" s="2" t="n">
        <v>3</v>
      </c>
      <c r="Q94" s="62" t="str">
        <f aca="false">IF(ISBLANK(N94),"",IF(N94&lt;DATE(2023,5,1),"OLD","NEW"))</f>
        <v>NEW</v>
      </c>
      <c r="S94" s="33" t="n">
        <f aca="false">IF(COUNTIF('[1]Plate_1-2_LongFormat'!$A$2:$A$193,G94)&gt;0,1,0)</f>
        <v>0</v>
      </c>
      <c r="T94" s="33" t="n">
        <f aca="false">IF(COUNTIF([2]Attached_indexes!$C$2:$C$193,G94)&gt;0,1,0)</f>
        <v>0</v>
      </c>
      <c r="U94" s="59"/>
      <c r="V94" s="1" t="s">
        <v>982</v>
      </c>
    </row>
    <row r="95" customFormat="false" ht="15.75" hidden="false" customHeight="true" outlineLevel="0" collapsed="false">
      <c r="A95" s="18" t="s">
        <v>342</v>
      </c>
      <c r="B95" s="18" t="s">
        <v>342</v>
      </c>
      <c r="C95" s="18" t="s">
        <v>159</v>
      </c>
      <c r="E95" s="66" t="n">
        <v>3</v>
      </c>
      <c r="F95" s="21" t="str">
        <f aca="false">CONCATENATE(B95,"_",C95, TEXT(E95, "000"))</f>
        <v>AGFB_M. nasutus003</v>
      </c>
      <c r="G95" s="21" t="s">
        <v>346</v>
      </c>
      <c r="H95" s="18" t="n">
        <v>1</v>
      </c>
      <c r="I95" s="22" t="n">
        <v>44673</v>
      </c>
      <c r="J95" s="2" t="s">
        <v>981</v>
      </c>
      <c r="L95" s="2" t="n">
        <v>1</v>
      </c>
      <c r="M95" s="2" t="n">
        <v>1</v>
      </c>
      <c r="N95" s="3" t="n">
        <v>44842</v>
      </c>
      <c r="O95" s="2" t="n">
        <v>0.947</v>
      </c>
      <c r="P95" s="2" t="n">
        <v>1</v>
      </c>
      <c r="Q95" s="62" t="str">
        <f aca="false">IF(ISBLANK(N95),"",IF(N95&lt;DATE(2023,5,1),"OLD","NEW"))</f>
        <v>OLD</v>
      </c>
      <c r="S95" s="33" t="n">
        <f aca="false">IF(COUNTIF('[1]Plate_1-2_LongFormat'!$A$2:$A$193,G95)&gt;0,1,0)</f>
        <v>1</v>
      </c>
      <c r="T95" s="33" t="n">
        <f aca="false">IF(COUNTIF([2]Attached_indexes!$C$2:$C$193,G95)&gt;0,1,0)</f>
        <v>1</v>
      </c>
      <c r="U95" s="59"/>
      <c r="V95" s="1" t="s">
        <v>982</v>
      </c>
    </row>
    <row r="96" customFormat="false" ht="15.75" hidden="false" customHeight="true" outlineLevel="0" collapsed="false">
      <c r="A96" s="18" t="s">
        <v>342</v>
      </c>
      <c r="B96" s="18" t="s">
        <v>342</v>
      </c>
      <c r="C96" s="18" t="s">
        <v>159</v>
      </c>
      <c r="E96" s="66" t="n">
        <v>3</v>
      </c>
      <c r="F96" s="21" t="str">
        <f aca="false">CONCATENATE(B96,"_",C96, TEXT(E96, "000"))</f>
        <v>AGFB_M. nasutus003</v>
      </c>
      <c r="G96" s="21" t="s">
        <v>346</v>
      </c>
      <c r="H96" s="18" t="n">
        <v>1</v>
      </c>
      <c r="I96" s="22" t="n">
        <v>44673</v>
      </c>
      <c r="J96" s="2" t="s">
        <v>981</v>
      </c>
      <c r="L96" s="2" t="n">
        <v>1</v>
      </c>
      <c r="M96" s="2" t="n">
        <v>1</v>
      </c>
      <c r="N96" s="3" t="n">
        <v>44842</v>
      </c>
      <c r="O96" s="2" t="n">
        <v>0.947</v>
      </c>
      <c r="P96" s="2" t="n">
        <v>1</v>
      </c>
      <c r="Q96" s="62" t="str">
        <f aca="false">IF(ISBLANK(N96),"",IF(N96&lt;DATE(2023,5,1),"OLD","NEW"))</f>
        <v>OLD</v>
      </c>
      <c r="S96" s="33" t="n">
        <f aca="false">IF(COUNTIF('[1]Plate_1-2_LongFormat'!$A$2:$A$193,G96)&gt;0,1,0)</f>
        <v>1</v>
      </c>
      <c r="T96" s="33" t="n">
        <f aca="false">IF(COUNTIF([2]Attached_indexes!$C$2:$C$193,G96)&gt;0,1,0)</f>
        <v>1</v>
      </c>
      <c r="U96" s="59"/>
      <c r="V96" s="1" t="s">
        <v>982</v>
      </c>
    </row>
    <row r="97" customFormat="false" ht="15.75" hidden="false" customHeight="true" outlineLevel="0" collapsed="false">
      <c r="A97" s="18" t="s">
        <v>342</v>
      </c>
      <c r="B97" s="18" t="s">
        <v>342</v>
      </c>
      <c r="C97" s="18" t="s">
        <v>159</v>
      </c>
      <c r="E97" s="66" t="n">
        <v>3</v>
      </c>
      <c r="F97" s="21" t="str">
        <f aca="false">CONCATENATE(B97,"_",C97, TEXT(E97, "000"))</f>
        <v>AGFB_M. nasutus003</v>
      </c>
      <c r="G97" s="21" t="s">
        <v>346</v>
      </c>
      <c r="H97" s="18" t="n">
        <v>1</v>
      </c>
      <c r="I97" s="22" t="n">
        <v>44673</v>
      </c>
      <c r="J97" s="2" t="s">
        <v>981</v>
      </c>
      <c r="L97" s="2" t="n">
        <v>1</v>
      </c>
      <c r="M97" s="2" t="n">
        <v>1</v>
      </c>
      <c r="N97" s="3" t="n">
        <v>44842</v>
      </c>
      <c r="O97" s="2" t="n">
        <v>0.947</v>
      </c>
      <c r="P97" s="2" t="n">
        <v>1</v>
      </c>
      <c r="Q97" s="62" t="str">
        <f aca="false">IF(ISBLANK(N97),"",IF(N97&lt;DATE(2023,5,1),"OLD","NEW"))</f>
        <v>OLD</v>
      </c>
      <c r="S97" s="33" t="n">
        <f aca="false">IF(COUNTIF('[1]Plate_1-2_LongFormat'!$A$2:$A$193,G97)&gt;0,1,0)</f>
        <v>1</v>
      </c>
      <c r="T97" s="33" t="n">
        <f aca="false">IF(COUNTIF([2]Attached_indexes!$C$2:$C$193,G97)&gt;0,1,0)</f>
        <v>1</v>
      </c>
      <c r="U97" s="59"/>
      <c r="V97" s="1" t="s">
        <v>982</v>
      </c>
    </row>
    <row r="98" customFormat="false" ht="15.75" hidden="false" customHeight="true" outlineLevel="0" collapsed="false">
      <c r="A98" s="18" t="s">
        <v>342</v>
      </c>
      <c r="B98" s="18" t="s">
        <v>342</v>
      </c>
      <c r="C98" s="18" t="s">
        <v>159</v>
      </c>
      <c r="E98" s="66" t="n">
        <v>4</v>
      </c>
      <c r="F98" s="21" t="str">
        <f aca="false">CONCATENATE(B98,"_",C98, TEXT(E98, "000"))</f>
        <v>AGFB_M. nasutus004</v>
      </c>
      <c r="G98" s="21" t="s">
        <v>348</v>
      </c>
      <c r="H98" s="18" t="n">
        <v>1</v>
      </c>
      <c r="I98" s="22" t="n">
        <v>44673</v>
      </c>
      <c r="J98" s="2" t="s">
        <v>981</v>
      </c>
      <c r="K98" s="68" t="s">
        <v>989</v>
      </c>
      <c r="L98" s="2" t="n">
        <v>1</v>
      </c>
      <c r="M98" s="2" t="n">
        <v>1</v>
      </c>
      <c r="N98" s="3" t="n">
        <v>44961</v>
      </c>
      <c r="O98" s="2" t="n">
        <v>3.36</v>
      </c>
      <c r="P98" s="2" t="n">
        <v>3</v>
      </c>
      <c r="Q98" s="62" t="str">
        <f aca="false">IF(ISBLANK(N98),"",IF(N98&lt;DATE(2023,5,1),"OLD","NEW"))</f>
        <v>OLD</v>
      </c>
      <c r="S98" s="33" t="n">
        <f aca="false">IF(COUNTIF('[1]Plate_1-2_LongFormat'!$A$2:$A$193,G98)&gt;0,1,0)</f>
        <v>1</v>
      </c>
      <c r="T98" s="33" t="n">
        <f aca="false">IF(COUNTIF([2]Attached_indexes!$C$2:$C$193,G98)&gt;0,1,0)</f>
        <v>1</v>
      </c>
      <c r="U98" s="59"/>
      <c r="V98" s="1" t="s">
        <v>982</v>
      </c>
    </row>
    <row r="99" customFormat="false" ht="15.75" hidden="false" customHeight="true" outlineLevel="0" collapsed="false">
      <c r="A99" s="18" t="s">
        <v>342</v>
      </c>
      <c r="B99" s="18" t="s">
        <v>342</v>
      </c>
      <c r="C99" s="18" t="s">
        <v>159</v>
      </c>
      <c r="E99" s="66" t="n">
        <v>4</v>
      </c>
      <c r="F99" s="21" t="str">
        <f aca="false">CONCATENATE(B99,"_",C99, TEXT(E99, "000"))</f>
        <v>AGFB_M. nasutus004</v>
      </c>
      <c r="G99" s="21" t="s">
        <v>348</v>
      </c>
      <c r="H99" s="18" t="n">
        <v>1</v>
      </c>
      <c r="I99" s="22" t="n">
        <v>44673</v>
      </c>
      <c r="J99" s="2" t="s">
        <v>981</v>
      </c>
      <c r="K99" s="68" t="s">
        <v>989</v>
      </c>
      <c r="L99" s="2" t="n">
        <v>1</v>
      </c>
      <c r="M99" s="2" t="n">
        <v>1</v>
      </c>
      <c r="N99" s="3" t="n">
        <v>44961</v>
      </c>
      <c r="O99" s="2" t="n">
        <v>3.36</v>
      </c>
      <c r="P99" s="2" t="n">
        <v>3</v>
      </c>
      <c r="Q99" s="62" t="str">
        <f aca="false">IF(ISBLANK(N99),"",IF(N99&lt;DATE(2023,5,1),"OLD","NEW"))</f>
        <v>OLD</v>
      </c>
      <c r="S99" s="33" t="n">
        <f aca="false">IF(COUNTIF('[1]Plate_1-2_LongFormat'!$A$2:$A$193,G99)&gt;0,1,0)</f>
        <v>1</v>
      </c>
      <c r="T99" s="33" t="n">
        <f aca="false">IF(COUNTIF([2]Attached_indexes!$C$2:$C$193,G99)&gt;0,1,0)</f>
        <v>1</v>
      </c>
      <c r="U99" s="59"/>
      <c r="V99" s="1" t="s">
        <v>982</v>
      </c>
    </row>
    <row r="100" customFormat="false" ht="15.75" hidden="false" customHeight="true" outlineLevel="0" collapsed="false">
      <c r="A100" s="18" t="s">
        <v>342</v>
      </c>
      <c r="B100" s="18" t="s">
        <v>342</v>
      </c>
      <c r="C100" s="18" t="s">
        <v>159</v>
      </c>
      <c r="E100" s="66" t="n">
        <v>4</v>
      </c>
      <c r="F100" s="21" t="str">
        <f aca="false">CONCATENATE(B100,"_",C100, TEXT(E100, "000"))</f>
        <v>AGFB_M. nasutus004</v>
      </c>
      <c r="G100" s="21" t="s">
        <v>348</v>
      </c>
      <c r="H100" s="18" t="n">
        <v>1</v>
      </c>
      <c r="I100" s="22" t="n">
        <v>44673</v>
      </c>
      <c r="J100" s="2" t="s">
        <v>981</v>
      </c>
      <c r="K100" s="68" t="s">
        <v>989</v>
      </c>
      <c r="L100" s="2" t="n">
        <v>1</v>
      </c>
      <c r="M100" s="2" t="n">
        <v>1</v>
      </c>
      <c r="N100" s="3" t="n">
        <v>44961</v>
      </c>
      <c r="O100" s="2" t="n">
        <v>3.36</v>
      </c>
      <c r="P100" s="2" t="n">
        <v>3</v>
      </c>
      <c r="Q100" s="62" t="str">
        <f aca="false">IF(ISBLANK(N100),"",IF(N100&lt;DATE(2023,5,1),"OLD","NEW"))</f>
        <v>OLD</v>
      </c>
      <c r="S100" s="33" t="n">
        <f aca="false">IF(COUNTIF('[1]Plate_1-2_LongFormat'!$A$2:$A$193,G100)&gt;0,1,0)</f>
        <v>1</v>
      </c>
      <c r="T100" s="33" t="n">
        <f aca="false">IF(COUNTIF([2]Attached_indexes!$C$2:$C$193,G100)&gt;0,1,0)</f>
        <v>1</v>
      </c>
      <c r="U100" s="59"/>
      <c r="V100" s="1" t="s">
        <v>982</v>
      </c>
    </row>
    <row r="101" customFormat="false" ht="15.75" hidden="false" customHeight="true" outlineLevel="0" collapsed="false">
      <c r="A101" s="18" t="s">
        <v>342</v>
      </c>
      <c r="B101" s="18" t="s">
        <v>342</v>
      </c>
      <c r="C101" s="18" t="s">
        <v>159</v>
      </c>
      <c r="E101" s="66" t="n">
        <v>5</v>
      </c>
      <c r="F101" s="21" t="str">
        <f aca="false">CONCATENATE(B101,"_",C101, TEXT(E101, "000"))</f>
        <v>AGFB_M. nasutus005</v>
      </c>
      <c r="G101" s="21" t="s">
        <v>351</v>
      </c>
      <c r="H101" s="18" t="n">
        <v>1</v>
      </c>
      <c r="I101" s="22" t="n">
        <v>44673</v>
      </c>
      <c r="J101" s="2" t="s">
        <v>981</v>
      </c>
      <c r="K101" s="68" t="s">
        <v>990</v>
      </c>
      <c r="L101" s="2" t="n">
        <v>1</v>
      </c>
      <c r="M101" s="2" t="n">
        <v>1</v>
      </c>
      <c r="N101" s="3" t="n">
        <v>44945</v>
      </c>
      <c r="O101" s="2" t="n">
        <v>4.39</v>
      </c>
      <c r="P101" s="2" t="n">
        <v>2</v>
      </c>
      <c r="Q101" s="62" t="str">
        <f aca="false">IF(ISBLANK(N101),"",IF(N101&lt;DATE(2023,5,1),"OLD","NEW"))</f>
        <v>OLD</v>
      </c>
      <c r="S101" s="33" t="n">
        <f aca="false">IF(COUNTIF('[1]Plate_1-2_LongFormat'!$A$2:$A$193,G101)&gt;0,1,0)</f>
        <v>1</v>
      </c>
      <c r="T101" s="33" t="n">
        <f aca="false">IF(COUNTIF([2]Attached_indexes!$C$2:$C$193,G101)&gt;0,1,0)</f>
        <v>1</v>
      </c>
      <c r="U101" s="59"/>
      <c r="V101" s="1" t="s">
        <v>982</v>
      </c>
    </row>
    <row r="102" customFormat="false" ht="15.75" hidden="false" customHeight="true" outlineLevel="0" collapsed="false">
      <c r="A102" s="18" t="s">
        <v>342</v>
      </c>
      <c r="B102" s="18" t="s">
        <v>342</v>
      </c>
      <c r="C102" s="18" t="s">
        <v>159</v>
      </c>
      <c r="E102" s="66" t="n">
        <v>5</v>
      </c>
      <c r="F102" s="21" t="str">
        <f aca="false">CONCATENATE(B102,"_",C102, TEXT(E102, "000"))</f>
        <v>AGFB_M. nasutus005</v>
      </c>
      <c r="G102" s="21" t="s">
        <v>351</v>
      </c>
      <c r="H102" s="18" t="n">
        <v>1</v>
      </c>
      <c r="I102" s="22" t="n">
        <v>44673</v>
      </c>
      <c r="J102" s="2" t="s">
        <v>981</v>
      </c>
      <c r="K102" s="68" t="s">
        <v>990</v>
      </c>
      <c r="L102" s="2" t="n">
        <v>1</v>
      </c>
      <c r="M102" s="2" t="n">
        <v>1</v>
      </c>
      <c r="N102" s="3" t="n">
        <v>44945</v>
      </c>
      <c r="O102" s="2" t="n">
        <v>4.39</v>
      </c>
      <c r="P102" s="2" t="n">
        <v>2</v>
      </c>
      <c r="Q102" s="62" t="str">
        <f aca="false">IF(ISBLANK(N102),"",IF(N102&lt;DATE(2023,5,1),"OLD","NEW"))</f>
        <v>OLD</v>
      </c>
      <c r="S102" s="33" t="n">
        <f aca="false">IF(COUNTIF('[1]Plate_1-2_LongFormat'!$A$2:$A$193,G102)&gt;0,1,0)</f>
        <v>1</v>
      </c>
      <c r="T102" s="33" t="n">
        <f aca="false">IF(COUNTIF([2]Attached_indexes!$C$2:$C$193,G102)&gt;0,1,0)</f>
        <v>1</v>
      </c>
      <c r="U102" s="59"/>
      <c r="V102" s="1" t="s">
        <v>982</v>
      </c>
    </row>
    <row r="103" customFormat="false" ht="15.75" hidden="false" customHeight="true" outlineLevel="0" collapsed="false">
      <c r="A103" s="18" t="s">
        <v>342</v>
      </c>
      <c r="B103" s="18" t="s">
        <v>342</v>
      </c>
      <c r="C103" s="18" t="s">
        <v>159</v>
      </c>
      <c r="E103" s="66" t="n">
        <v>5</v>
      </c>
      <c r="F103" s="21" t="str">
        <f aca="false">CONCATENATE(B103,"_",C103, TEXT(E103, "000"))</f>
        <v>AGFB_M. nasutus005</v>
      </c>
      <c r="G103" s="21" t="s">
        <v>351</v>
      </c>
      <c r="H103" s="18" t="n">
        <v>1</v>
      </c>
      <c r="I103" s="22" t="n">
        <v>44673</v>
      </c>
      <c r="J103" s="2" t="s">
        <v>981</v>
      </c>
      <c r="K103" s="68" t="s">
        <v>990</v>
      </c>
      <c r="L103" s="2" t="n">
        <v>1</v>
      </c>
      <c r="M103" s="2" t="n">
        <v>1</v>
      </c>
      <c r="N103" s="3" t="n">
        <v>44945</v>
      </c>
      <c r="O103" s="2" t="n">
        <v>4.39</v>
      </c>
      <c r="P103" s="2" t="n">
        <v>2</v>
      </c>
      <c r="Q103" s="62" t="str">
        <f aca="false">IF(ISBLANK(N103),"",IF(N103&lt;DATE(2023,5,1),"OLD","NEW"))</f>
        <v>OLD</v>
      </c>
      <c r="S103" s="33" t="n">
        <f aca="false">IF(COUNTIF('[1]Plate_1-2_LongFormat'!$A$2:$A$193,G103)&gt;0,1,0)</f>
        <v>1</v>
      </c>
      <c r="T103" s="33" t="n">
        <f aca="false">IF(COUNTIF([2]Attached_indexes!$C$2:$C$193,G103)&gt;0,1,0)</f>
        <v>1</v>
      </c>
      <c r="U103" s="59"/>
      <c r="V103" s="1" t="s">
        <v>982</v>
      </c>
    </row>
    <row r="104" customFormat="false" ht="15.75" hidden="false" customHeight="true" outlineLevel="0" collapsed="false">
      <c r="A104" s="18" t="s">
        <v>342</v>
      </c>
      <c r="B104" s="18" t="s">
        <v>342</v>
      </c>
      <c r="C104" s="18" t="s">
        <v>159</v>
      </c>
      <c r="E104" s="66" t="n">
        <v>6</v>
      </c>
      <c r="F104" s="21" t="str">
        <f aca="false">CONCATENATE(B104,"_",C104, TEXT(E104, "000"))</f>
        <v>AGFB_M. nasutus006</v>
      </c>
      <c r="G104" s="21" t="s">
        <v>353</v>
      </c>
      <c r="H104" s="18" t="n">
        <v>1</v>
      </c>
      <c r="I104" s="22" t="n">
        <v>44673</v>
      </c>
      <c r="J104" s="2" t="s">
        <v>981</v>
      </c>
      <c r="L104" s="2" t="n">
        <v>1</v>
      </c>
      <c r="M104" s="2" t="n">
        <v>1</v>
      </c>
      <c r="N104" s="3" t="n">
        <v>45061</v>
      </c>
      <c r="O104" s="2" t="n">
        <v>28.4</v>
      </c>
      <c r="P104" s="2" t="n">
        <v>3</v>
      </c>
      <c r="Q104" s="62" t="str">
        <f aca="false">IF(ISBLANK(N104),"",IF(N104&lt;DATE(2023,5,1),"OLD","NEW"))</f>
        <v>NEW</v>
      </c>
      <c r="S104" s="33" t="n">
        <f aca="false">IF(COUNTIF('[1]Plate_1-2_LongFormat'!$A$2:$A$193,G104)&gt;0,1,0)</f>
        <v>0</v>
      </c>
      <c r="T104" s="33" t="n">
        <f aca="false">IF(COUNTIF([2]Attached_indexes!$C$2:$C$193,G104)&gt;0,1,0)</f>
        <v>0</v>
      </c>
      <c r="U104" s="59"/>
      <c r="V104" s="1" t="s">
        <v>982</v>
      </c>
    </row>
    <row r="105" customFormat="false" ht="15.75" hidden="false" customHeight="true" outlineLevel="0" collapsed="false">
      <c r="A105" s="18" t="s">
        <v>342</v>
      </c>
      <c r="B105" s="18" t="s">
        <v>342</v>
      </c>
      <c r="C105" s="18" t="s">
        <v>159</v>
      </c>
      <c r="E105" s="66" t="n">
        <v>6</v>
      </c>
      <c r="F105" s="21" t="str">
        <f aca="false">CONCATENATE(B105,"_",C105, TEXT(E105, "000"))</f>
        <v>AGFB_M. nasutus006</v>
      </c>
      <c r="G105" s="21" t="s">
        <v>353</v>
      </c>
      <c r="H105" s="18" t="n">
        <v>1</v>
      </c>
      <c r="I105" s="22" t="n">
        <v>44673</v>
      </c>
      <c r="J105" s="2" t="s">
        <v>981</v>
      </c>
      <c r="L105" s="2" t="n">
        <v>1</v>
      </c>
      <c r="M105" s="2" t="n">
        <v>1</v>
      </c>
      <c r="N105" s="3" t="n">
        <v>45061</v>
      </c>
      <c r="O105" s="2" t="n">
        <v>28.4</v>
      </c>
      <c r="P105" s="2" t="n">
        <v>3</v>
      </c>
      <c r="Q105" s="62" t="str">
        <f aca="false">IF(ISBLANK(N105),"",IF(N105&lt;DATE(2023,5,1),"OLD","NEW"))</f>
        <v>NEW</v>
      </c>
      <c r="S105" s="33" t="n">
        <f aca="false">IF(COUNTIF('[1]Plate_1-2_LongFormat'!$A$2:$A$193,G105)&gt;0,1,0)</f>
        <v>0</v>
      </c>
      <c r="T105" s="33" t="n">
        <f aca="false">IF(COUNTIF([2]Attached_indexes!$C$2:$C$193,G105)&gt;0,1,0)</f>
        <v>0</v>
      </c>
      <c r="U105" s="59"/>
      <c r="V105" s="1" t="s">
        <v>982</v>
      </c>
    </row>
    <row r="106" customFormat="false" ht="15.75" hidden="false" customHeight="true" outlineLevel="0" collapsed="false">
      <c r="A106" s="18" t="s">
        <v>342</v>
      </c>
      <c r="B106" s="18" t="s">
        <v>342</v>
      </c>
      <c r="C106" s="18" t="s">
        <v>159</v>
      </c>
      <c r="E106" s="66" t="n">
        <v>6</v>
      </c>
      <c r="F106" s="21" t="str">
        <f aca="false">CONCATENATE(B106,"_",C106, TEXT(E106, "000"))</f>
        <v>AGFB_M. nasutus006</v>
      </c>
      <c r="G106" s="21" t="s">
        <v>353</v>
      </c>
      <c r="H106" s="18" t="n">
        <v>1</v>
      </c>
      <c r="I106" s="22" t="n">
        <v>44673</v>
      </c>
      <c r="J106" s="2" t="s">
        <v>981</v>
      </c>
      <c r="L106" s="2" t="n">
        <v>1</v>
      </c>
      <c r="M106" s="2" t="n">
        <v>1</v>
      </c>
      <c r="N106" s="3" t="n">
        <v>45061</v>
      </c>
      <c r="O106" s="2" t="n">
        <v>28.4</v>
      </c>
      <c r="P106" s="2" t="n">
        <v>3</v>
      </c>
      <c r="Q106" s="62" t="str">
        <f aca="false">IF(ISBLANK(N106),"",IF(N106&lt;DATE(2023,5,1),"OLD","NEW"))</f>
        <v>NEW</v>
      </c>
      <c r="S106" s="33" t="n">
        <f aca="false">IF(COUNTIF('[1]Plate_1-2_LongFormat'!$A$2:$A$193,G106)&gt;0,1,0)</f>
        <v>0</v>
      </c>
      <c r="T106" s="33" t="n">
        <f aca="false">IF(COUNTIF([2]Attached_indexes!$C$2:$C$193,G106)&gt;0,1,0)</f>
        <v>0</v>
      </c>
      <c r="U106" s="59"/>
      <c r="V106" s="1" t="s">
        <v>982</v>
      </c>
    </row>
    <row r="107" customFormat="false" ht="15.75" hidden="false" customHeight="true" outlineLevel="0" collapsed="false">
      <c r="A107" s="18" t="s">
        <v>342</v>
      </c>
      <c r="B107" s="18" t="s">
        <v>342</v>
      </c>
      <c r="C107" s="18" t="s">
        <v>159</v>
      </c>
      <c r="E107" s="66" t="n">
        <v>7</v>
      </c>
      <c r="F107" s="21" t="str">
        <f aca="false">CONCATENATE(B107,"_",C107, TEXT(E107, "000"))</f>
        <v>AGFB_M. nasutus007</v>
      </c>
      <c r="G107" s="21" t="s">
        <v>355</v>
      </c>
      <c r="H107" s="18" t="n">
        <v>1</v>
      </c>
      <c r="I107" s="22" t="n">
        <v>44673</v>
      </c>
      <c r="J107" s="2" t="s">
        <v>981</v>
      </c>
      <c r="K107" s="68" t="s">
        <v>991</v>
      </c>
      <c r="L107" s="2" t="n">
        <v>1</v>
      </c>
      <c r="M107" s="2" t="n">
        <v>1</v>
      </c>
      <c r="N107" s="3" t="n">
        <v>44945</v>
      </c>
      <c r="O107" s="2" t="n">
        <v>1.48</v>
      </c>
      <c r="P107" s="2" t="n">
        <v>2</v>
      </c>
      <c r="Q107" s="62" t="str">
        <f aca="false">IF(ISBLANK(N107),"",IF(N107&lt;DATE(2023,5,1),"OLD","NEW"))</f>
        <v>OLD</v>
      </c>
      <c r="S107" s="33" t="n">
        <f aca="false">IF(COUNTIF('[1]Plate_1-2_LongFormat'!$A$2:$A$193,G107)&gt;0,1,0)</f>
        <v>1</v>
      </c>
      <c r="T107" s="33" t="n">
        <f aca="false">IF(COUNTIF([2]Attached_indexes!$C$2:$C$193,G107)&gt;0,1,0)</f>
        <v>1</v>
      </c>
      <c r="U107" s="59"/>
      <c r="V107" s="1" t="s">
        <v>982</v>
      </c>
    </row>
    <row r="108" customFormat="false" ht="15.75" hidden="false" customHeight="true" outlineLevel="0" collapsed="false">
      <c r="A108" s="18" t="s">
        <v>342</v>
      </c>
      <c r="B108" s="18" t="s">
        <v>342</v>
      </c>
      <c r="C108" s="18" t="s">
        <v>159</v>
      </c>
      <c r="E108" s="66" t="n">
        <v>7</v>
      </c>
      <c r="F108" s="21" t="str">
        <f aca="false">CONCATENATE(B108,"_",C108, TEXT(E108, "000"))</f>
        <v>AGFB_M. nasutus007</v>
      </c>
      <c r="G108" s="21" t="s">
        <v>355</v>
      </c>
      <c r="H108" s="18" t="n">
        <v>1</v>
      </c>
      <c r="I108" s="22" t="n">
        <v>44673</v>
      </c>
      <c r="J108" s="2" t="s">
        <v>981</v>
      </c>
      <c r="K108" s="68" t="s">
        <v>991</v>
      </c>
      <c r="L108" s="2" t="n">
        <v>1</v>
      </c>
      <c r="M108" s="2" t="n">
        <v>1</v>
      </c>
      <c r="N108" s="3" t="n">
        <v>44945</v>
      </c>
      <c r="O108" s="2" t="n">
        <v>1.48</v>
      </c>
      <c r="P108" s="2" t="n">
        <v>2</v>
      </c>
      <c r="Q108" s="62" t="str">
        <f aca="false">IF(ISBLANK(N108),"",IF(N108&lt;DATE(2023,5,1),"OLD","NEW"))</f>
        <v>OLD</v>
      </c>
      <c r="S108" s="33" t="n">
        <f aca="false">IF(COUNTIF('[1]Plate_1-2_LongFormat'!$A$2:$A$193,G108)&gt;0,1,0)</f>
        <v>1</v>
      </c>
      <c r="T108" s="33" t="n">
        <f aca="false">IF(COUNTIF([2]Attached_indexes!$C$2:$C$193,G108)&gt;0,1,0)</f>
        <v>1</v>
      </c>
      <c r="U108" s="59"/>
      <c r="V108" s="1" t="s">
        <v>982</v>
      </c>
    </row>
    <row r="109" customFormat="false" ht="15.75" hidden="false" customHeight="true" outlineLevel="0" collapsed="false">
      <c r="A109" s="18" t="s">
        <v>342</v>
      </c>
      <c r="B109" s="18" t="s">
        <v>342</v>
      </c>
      <c r="C109" s="18" t="s">
        <v>159</v>
      </c>
      <c r="E109" s="66" t="n">
        <v>7</v>
      </c>
      <c r="F109" s="21" t="str">
        <f aca="false">CONCATENATE(B109,"_",C109, TEXT(E109, "000"))</f>
        <v>AGFB_M. nasutus007</v>
      </c>
      <c r="G109" s="21" t="s">
        <v>355</v>
      </c>
      <c r="H109" s="18" t="n">
        <v>1</v>
      </c>
      <c r="I109" s="22" t="n">
        <v>44673</v>
      </c>
      <c r="J109" s="2" t="s">
        <v>981</v>
      </c>
      <c r="K109" s="68" t="s">
        <v>991</v>
      </c>
      <c r="L109" s="2" t="n">
        <v>1</v>
      </c>
      <c r="M109" s="2" t="n">
        <v>1</v>
      </c>
      <c r="N109" s="3" t="n">
        <v>44945</v>
      </c>
      <c r="O109" s="2" t="n">
        <v>1.48</v>
      </c>
      <c r="P109" s="2" t="n">
        <v>2</v>
      </c>
      <c r="Q109" s="62" t="str">
        <f aca="false">IF(ISBLANK(N109),"",IF(N109&lt;DATE(2023,5,1),"OLD","NEW"))</f>
        <v>OLD</v>
      </c>
      <c r="S109" s="33" t="n">
        <f aca="false">IF(COUNTIF('[1]Plate_1-2_LongFormat'!$A$2:$A$193,G109)&gt;0,1,0)</f>
        <v>1</v>
      </c>
      <c r="T109" s="33" t="n">
        <f aca="false">IF(COUNTIF([2]Attached_indexes!$C$2:$C$193,G109)&gt;0,1,0)</f>
        <v>1</v>
      </c>
      <c r="U109" s="59"/>
      <c r="V109" s="1" t="s">
        <v>982</v>
      </c>
    </row>
    <row r="110" customFormat="false" ht="15.75" hidden="false" customHeight="true" outlineLevel="0" collapsed="false">
      <c r="A110" s="18" t="s">
        <v>342</v>
      </c>
      <c r="B110" s="18" t="s">
        <v>342</v>
      </c>
      <c r="C110" s="18" t="s">
        <v>159</v>
      </c>
      <c r="E110" s="66" t="n">
        <v>8</v>
      </c>
      <c r="F110" s="21" t="str">
        <f aca="false">CONCATENATE(B110,"_",C110, TEXT(E110, "000"))</f>
        <v>AGFB_M. nasutus008</v>
      </c>
      <c r="G110" s="21" t="s">
        <v>357</v>
      </c>
      <c r="H110" s="18" t="n">
        <v>1</v>
      </c>
      <c r="I110" s="22" t="n">
        <v>44673</v>
      </c>
      <c r="J110" s="2" t="s">
        <v>981</v>
      </c>
      <c r="K110" s="68" t="s">
        <v>990</v>
      </c>
      <c r="L110" s="2" t="n">
        <v>1</v>
      </c>
      <c r="M110" s="2" t="n">
        <v>1</v>
      </c>
      <c r="N110" s="3" t="n">
        <v>44961</v>
      </c>
      <c r="O110" s="2" t="n">
        <v>3.97</v>
      </c>
      <c r="P110" s="2" t="n">
        <v>2</v>
      </c>
      <c r="Q110" s="62" t="str">
        <f aca="false">IF(ISBLANK(N110),"",IF(N110&lt;DATE(2023,5,1),"OLD","NEW"))</f>
        <v>OLD</v>
      </c>
      <c r="S110" s="33" t="n">
        <f aca="false">IF(COUNTIF('[1]Plate_1-2_LongFormat'!$A$2:$A$193,G110)&gt;0,1,0)</f>
        <v>1</v>
      </c>
      <c r="T110" s="33" t="n">
        <f aca="false">IF(COUNTIF([2]Attached_indexes!$C$2:$C$193,G110)&gt;0,1,0)</f>
        <v>1</v>
      </c>
      <c r="U110" s="59"/>
      <c r="V110" s="1" t="s">
        <v>982</v>
      </c>
    </row>
    <row r="111" customFormat="false" ht="15.75" hidden="false" customHeight="true" outlineLevel="0" collapsed="false">
      <c r="A111" s="18" t="s">
        <v>342</v>
      </c>
      <c r="B111" s="18" t="s">
        <v>342</v>
      </c>
      <c r="C111" s="18" t="s">
        <v>159</v>
      </c>
      <c r="E111" s="66" t="n">
        <v>8</v>
      </c>
      <c r="F111" s="21" t="str">
        <f aca="false">CONCATENATE(B111,"_",C111, TEXT(E111, "000"))</f>
        <v>AGFB_M. nasutus008</v>
      </c>
      <c r="G111" s="21" t="s">
        <v>357</v>
      </c>
      <c r="H111" s="18" t="n">
        <v>1</v>
      </c>
      <c r="I111" s="22" t="n">
        <v>44673</v>
      </c>
      <c r="J111" s="2" t="s">
        <v>981</v>
      </c>
      <c r="K111" s="68" t="s">
        <v>990</v>
      </c>
      <c r="L111" s="2" t="n">
        <v>1</v>
      </c>
      <c r="M111" s="2" t="n">
        <v>1</v>
      </c>
      <c r="N111" s="3" t="n">
        <v>44961</v>
      </c>
      <c r="O111" s="2" t="n">
        <v>3.97</v>
      </c>
      <c r="P111" s="2" t="n">
        <v>2</v>
      </c>
      <c r="Q111" s="62" t="str">
        <f aca="false">IF(ISBLANK(N111),"",IF(N111&lt;DATE(2023,5,1),"OLD","NEW"))</f>
        <v>OLD</v>
      </c>
      <c r="S111" s="33" t="n">
        <f aca="false">IF(COUNTIF('[1]Plate_1-2_LongFormat'!$A$2:$A$193,G111)&gt;0,1,0)</f>
        <v>1</v>
      </c>
      <c r="T111" s="33" t="n">
        <f aca="false">IF(COUNTIF([2]Attached_indexes!$C$2:$C$193,G111)&gt;0,1,0)</f>
        <v>1</v>
      </c>
      <c r="U111" s="59"/>
      <c r="V111" s="1" t="s">
        <v>982</v>
      </c>
    </row>
    <row r="112" customFormat="false" ht="15.75" hidden="false" customHeight="true" outlineLevel="0" collapsed="false">
      <c r="A112" s="18" t="s">
        <v>342</v>
      </c>
      <c r="B112" s="18" t="s">
        <v>342</v>
      </c>
      <c r="C112" s="18" t="s">
        <v>159</v>
      </c>
      <c r="E112" s="66" t="n">
        <v>8</v>
      </c>
      <c r="F112" s="21" t="str">
        <f aca="false">CONCATENATE(B112,"_",C112, TEXT(E112, "000"))</f>
        <v>AGFB_M. nasutus008</v>
      </c>
      <c r="G112" s="21" t="s">
        <v>357</v>
      </c>
      <c r="H112" s="18" t="n">
        <v>1</v>
      </c>
      <c r="I112" s="22" t="n">
        <v>44673</v>
      </c>
      <c r="J112" s="2" t="s">
        <v>981</v>
      </c>
      <c r="K112" s="68" t="s">
        <v>990</v>
      </c>
      <c r="L112" s="2" t="n">
        <v>1</v>
      </c>
      <c r="M112" s="2" t="n">
        <v>1</v>
      </c>
      <c r="N112" s="3" t="n">
        <v>44961</v>
      </c>
      <c r="O112" s="2" t="n">
        <v>3.97</v>
      </c>
      <c r="P112" s="2" t="n">
        <v>2</v>
      </c>
      <c r="Q112" s="62" t="str">
        <f aca="false">IF(ISBLANK(N112),"",IF(N112&lt;DATE(2023,5,1),"OLD","NEW"))</f>
        <v>OLD</v>
      </c>
      <c r="S112" s="33" t="n">
        <f aca="false">IF(COUNTIF('[1]Plate_1-2_LongFormat'!$A$2:$A$193,G112)&gt;0,1,0)</f>
        <v>1</v>
      </c>
      <c r="T112" s="33" t="n">
        <f aca="false">IF(COUNTIF([2]Attached_indexes!$C$2:$C$193,G112)&gt;0,1,0)</f>
        <v>1</v>
      </c>
      <c r="U112" s="59"/>
      <c r="V112" s="1" t="s">
        <v>982</v>
      </c>
    </row>
    <row r="113" customFormat="false" ht="15.75" hidden="false" customHeight="true" outlineLevel="0" collapsed="false">
      <c r="A113" s="18" t="s">
        <v>342</v>
      </c>
      <c r="B113" s="18" t="s">
        <v>342</v>
      </c>
      <c r="C113" s="18" t="s">
        <v>159</v>
      </c>
      <c r="E113" s="66" t="n">
        <v>9</v>
      </c>
      <c r="F113" s="21" t="str">
        <f aca="false">CONCATENATE(B113,"_",C113, TEXT(E113, "000"))</f>
        <v>AGFB_M. nasutus009</v>
      </c>
      <c r="G113" s="21" t="s">
        <v>359</v>
      </c>
      <c r="H113" s="18" t="n">
        <v>1</v>
      </c>
      <c r="I113" s="22" t="n">
        <v>44673</v>
      </c>
      <c r="J113" s="2" t="s">
        <v>981</v>
      </c>
      <c r="L113" s="2" t="n">
        <v>1</v>
      </c>
      <c r="M113" s="2" t="n">
        <v>1</v>
      </c>
      <c r="N113" s="3" t="n">
        <v>44945</v>
      </c>
      <c r="O113" s="2" t="n">
        <v>5.54</v>
      </c>
      <c r="P113" s="2" t="n">
        <v>2</v>
      </c>
      <c r="Q113" s="62" t="str">
        <f aca="false">IF(ISBLANK(N113),"",IF(N113&lt;DATE(2023,5,1),"OLD","NEW"))</f>
        <v>OLD</v>
      </c>
      <c r="S113" s="33" t="n">
        <f aca="false">IF(COUNTIF('[1]Plate_1-2_LongFormat'!$A$2:$A$193,G113)&gt;0,1,0)</f>
        <v>1</v>
      </c>
      <c r="T113" s="33" t="n">
        <f aca="false">IF(COUNTIF([2]Attached_indexes!$C$2:$C$193,G113)&gt;0,1,0)</f>
        <v>1</v>
      </c>
      <c r="U113" s="59"/>
      <c r="V113" s="1" t="s">
        <v>982</v>
      </c>
    </row>
    <row r="114" customFormat="false" ht="15.75" hidden="false" customHeight="true" outlineLevel="0" collapsed="false">
      <c r="A114" s="18" t="s">
        <v>342</v>
      </c>
      <c r="B114" s="18" t="s">
        <v>342</v>
      </c>
      <c r="C114" s="18" t="s">
        <v>159</v>
      </c>
      <c r="E114" s="66" t="n">
        <v>9</v>
      </c>
      <c r="F114" s="21" t="str">
        <f aca="false">CONCATENATE(B114,"_",C114, TEXT(E114, "000"))</f>
        <v>AGFB_M. nasutus009</v>
      </c>
      <c r="G114" s="21" t="s">
        <v>359</v>
      </c>
      <c r="H114" s="18" t="n">
        <v>1</v>
      </c>
      <c r="I114" s="22" t="n">
        <v>44673</v>
      </c>
      <c r="J114" s="2" t="s">
        <v>981</v>
      </c>
      <c r="L114" s="2" t="n">
        <v>1</v>
      </c>
      <c r="M114" s="2" t="n">
        <v>1</v>
      </c>
      <c r="N114" s="3" t="n">
        <v>44945</v>
      </c>
      <c r="O114" s="2" t="n">
        <v>5.54</v>
      </c>
      <c r="P114" s="2" t="n">
        <v>2</v>
      </c>
      <c r="Q114" s="62" t="str">
        <f aca="false">IF(ISBLANK(N114),"",IF(N114&lt;DATE(2023,5,1),"OLD","NEW"))</f>
        <v>OLD</v>
      </c>
      <c r="S114" s="33" t="n">
        <f aca="false">IF(COUNTIF('[1]Plate_1-2_LongFormat'!$A$2:$A$193,G114)&gt;0,1,0)</f>
        <v>1</v>
      </c>
      <c r="T114" s="33" t="n">
        <f aca="false">IF(COUNTIF([2]Attached_indexes!$C$2:$C$193,G114)&gt;0,1,0)</f>
        <v>1</v>
      </c>
      <c r="U114" s="59"/>
      <c r="V114" s="1" t="s">
        <v>982</v>
      </c>
    </row>
    <row r="115" customFormat="false" ht="15.75" hidden="false" customHeight="true" outlineLevel="0" collapsed="false">
      <c r="A115" s="18" t="s">
        <v>342</v>
      </c>
      <c r="B115" s="18" t="s">
        <v>342</v>
      </c>
      <c r="C115" s="18" t="s">
        <v>159</v>
      </c>
      <c r="E115" s="66" t="n">
        <v>9</v>
      </c>
      <c r="F115" s="21" t="str">
        <f aca="false">CONCATENATE(B115,"_",C115, TEXT(E115, "000"))</f>
        <v>AGFB_M. nasutus009</v>
      </c>
      <c r="G115" s="21" t="s">
        <v>359</v>
      </c>
      <c r="H115" s="18" t="n">
        <v>1</v>
      </c>
      <c r="I115" s="22" t="n">
        <v>44673</v>
      </c>
      <c r="J115" s="2" t="s">
        <v>981</v>
      </c>
      <c r="L115" s="2" t="n">
        <v>1</v>
      </c>
      <c r="M115" s="2" t="n">
        <v>1</v>
      </c>
      <c r="N115" s="3" t="n">
        <v>44945</v>
      </c>
      <c r="O115" s="2" t="n">
        <v>5.54</v>
      </c>
      <c r="P115" s="2" t="n">
        <v>2</v>
      </c>
      <c r="Q115" s="62" t="str">
        <f aca="false">IF(ISBLANK(N115),"",IF(N115&lt;DATE(2023,5,1),"OLD","NEW"))</f>
        <v>OLD</v>
      </c>
      <c r="S115" s="33" t="n">
        <f aca="false">IF(COUNTIF('[1]Plate_1-2_LongFormat'!$A$2:$A$193,G115)&gt;0,1,0)</f>
        <v>1</v>
      </c>
      <c r="T115" s="33" t="n">
        <f aca="false">IF(COUNTIF([2]Attached_indexes!$C$2:$C$193,G115)&gt;0,1,0)</f>
        <v>1</v>
      </c>
      <c r="U115" s="59"/>
      <c r="V115" s="1" t="s">
        <v>982</v>
      </c>
    </row>
    <row r="116" customFormat="false" ht="15.75" hidden="false" customHeight="true" outlineLevel="0" collapsed="false">
      <c r="A116" s="18" t="s">
        <v>302</v>
      </c>
      <c r="B116" s="18" t="s">
        <v>302</v>
      </c>
      <c r="C116" s="18" t="s">
        <v>40</v>
      </c>
      <c r="E116" s="66" t="n">
        <v>1</v>
      </c>
      <c r="F116" s="21" t="str">
        <f aca="false">CONCATENATE(B116,"_",C116, TEXT(E116, "000"))</f>
        <v>BHEB_M. guttatus001</v>
      </c>
      <c r="G116" s="21" t="s">
        <v>303</v>
      </c>
      <c r="H116" s="18" t="n">
        <v>1</v>
      </c>
      <c r="I116" s="22" t="n">
        <v>44673</v>
      </c>
      <c r="J116" s="2" t="s">
        <v>981</v>
      </c>
      <c r="L116" s="2" t="n">
        <v>1</v>
      </c>
      <c r="M116" s="2" t="n">
        <v>1</v>
      </c>
      <c r="N116" s="3" t="n">
        <v>44938</v>
      </c>
      <c r="O116" s="2" t="n">
        <v>7.33</v>
      </c>
      <c r="P116" s="2" t="n">
        <v>2</v>
      </c>
      <c r="Q116" s="62" t="str">
        <f aca="false">IF(ISBLANK(N116),"",IF(N116&lt;DATE(2023,5,1),"OLD","NEW"))</f>
        <v>OLD</v>
      </c>
      <c r="S116" s="33" t="n">
        <f aca="false">IF(COUNTIF('[1]Plate_1-2_LongFormat'!$A$2:$A$193,G116)&gt;0,1,0)</f>
        <v>1</v>
      </c>
      <c r="T116" s="33" t="n">
        <f aca="false">IF(COUNTIF([2]Attached_indexes!$C$2:$C$193,G116)&gt;0,1,0)</f>
        <v>1</v>
      </c>
      <c r="U116" s="59"/>
      <c r="V116" s="1" t="s">
        <v>982</v>
      </c>
    </row>
    <row r="117" customFormat="false" ht="15.75" hidden="false" customHeight="true" outlineLevel="0" collapsed="false">
      <c r="A117" s="18" t="s">
        <v>302</v>
      </c>
      <c r="B117" s="18" t="s">
        <v>302</v>
      </c>
      <c r="C117" s="18" t="s">
        <v>40</v>
      </c>
      <c r="E117" s="66" t="n">
        <v>1</v>
      </c>
      <c r="F117" s="21" t="str">
        <f aca="false">CONCATENATE(B117,"_",C117, TEXT(E117, "000"))</f>
        <v>BHEB_M. guttatus001</v>
      </c>
      <c r="G117" s="21" t="s">
        <v>303</v>
      </c>
      <c r="H117" s="18" t="n">
        <v>1</v>
      </c>
      <c r="I117" s="22" t="n">
        <v>44673</v>
      </c>
      <c r="J117" s="2" t="s">
        <v>981</v>
      </c>
      <c r="L117" s="2" t="n">
        <v>1</v>
      </c>
      <c r="M117" s="2" t="n">
        <v>1</v>
      </c>
      <c r="N117" s="3" t="n">
        <v>44938</v>
      </c>
      <c r="O117" s="2" t="n">
        <v>7.33</v>
      </c>
      <c r="P117" s="2" t="n">
        <v>2</v>
      </c>
      <c r="Q117" s="62" t="str">
        <f aca="false">IF(ISBLANK(N117),"",IF(N117&lt;DATE(2023,5,1),"OLD","NEW"))</f>
        <v>OLD</v>
      </c>
      <c r="S117" s="33" t="n">
        <f aca="false">IF(COUNTIF('[1]Plate_1-2_LongFormat'!$A$2:$A$193,G117)&gt;0,1,0)</f>
        <v>1</v>
      </c>
      <c r="T117" s="33" t="n">
        <f aca="false">IF(COUNTIF([2]Attached_indexes!$C$2:$C$193,G117)&gt;0,1,0)</f>
        <v>1</v>
      </c>
      <c r="U117" s="59"/>
      <c r="V117" s="1" t="s">
        <v>982</v>
      </c>
    </row>
    <row r="118" customFormat="false" ht="15.75" hidden="false" customHeight="true" outlineLevel="0" collapsed="false">
      <c r="A118" s="18" t="s">
        <v>302</v>
      </c>
      <c r="B118" s="18" t="s">
        <v>302</v>
      </c>
      <c r="C118" s="18" t="s">
        <v>40</v>
      </c>
      <c r="E118" s="66" t="n">
        <v>1</v>
      </c>
      <c r="F118" s="21" t="str">
        <f aca="false">CONCATENATE(B118,"_",C118, TEXT(E118, "000"))</f>
        <v>BHEB_M. guttatus001</v>
      </c>
      <c r="G118" s="21" t="s">
        <v>303</v>
      </c>
      <c r="H118" s="18" t="n">
        <v>1</v>
      </c>
      <c r="I118" s="22" t="n">
        <v>44673</v>
      </c>
      <c r="J118" s="2" t="s">
        <v>981</v>
      </c>
      <c r="L118" s="2" t="n">
        <v>1</v>
      </c>
      <c r="M118" s="2" t="n">
        <v>1</v>
      </c>
      <c r="N118" s="3" t="n">
        <v>44938</v>
      </c>
      <c r="O118" s="2" t="n">
        <v>7.33</v>
      </c>
      <c r="P118" s="2" t="n">
        <v>2</v>
      </c>
      <c r="Q118" s="62" t="str">
        <f aca="false">IF(ISBLANK(N118),"",IF(N118&lt;DATE(2023,5,1),"OLD","NEW"))</f>
        <v>OLD</v>
      </c>
      <c r="S118" s="33" t="n">
        <f aca="false">IF(COUNTIF('[1]Plate_1-2_LongFormat'!$A$2:$A$193,G118)&gt;0,1,0)</f>
        <v>1</v>
      </c>
      <c r="T118" s="33" t="n">
        <f aca="false">IF(COUNTIF([2]Attached_indexes!$C$2:$C$193,G118)&gt;0,1,0)</f>
        <v>1</v>
      </c>
      <c r="U118" s="59"/>
      <c r="V118" s="1" t="s">
        <v>982</v>
      </c>
    </row>
    <row r="119" customFormat="false" ht="15.75" hidden="false" customHeight="true" outlineLevel="0" collapsed="false">
      <c r="A119" s="18" t="s">
        <v>302</v>
      </c>
      <c r="B119" s="18" t="s">
        <v>302</v>
      </c>
      <c r="C119" s="18" t="s">
        <v>40</v>
      </c>
      <c r="E119" s="66" t="n">
        <v>10</v>
      </c>
      <c r="F119" s="21" t="str">
        <f aca="false">CONCATENATE(B119,"_",C119, TEXT(E119, "000"))</f>
        <v>BHEB_M. guttatus010</v>
      </c>
      <c r="G119" s="21" t="s">
        <v>324</v>
      </c>
      <c r="H119" s="18" t="n">
        <v>1</v>
      </c>
      <c r="I119" s="22" t="n">
        <v>44673</v>
      </c>
      <c r="J119" s="2" t="s">
        <v>981</v>
      </c>
      <c r="L119" s="2" t="n">
        <v>1</v>
      </c>
      <c r="M119" s="2" t="n">
        <v>1</v>
      </c>
      <c r="N119" s="3" t="n">
        <v>44999</v>
      </c>
      <c r="O119" s="2" t="n">
        <v>4.41</v>
      </c>
      <c r="P119" s="2" t="n">
        <v>3</v>
      </c>
      <c r="Q119" s="62" t="str">
        <f aca="false">IF(ISBLANK(N119),"",IF(N119&lt;DATE(2023,5,1),"OLD","NEW"))</f>
        <v>OLD</v>
      </c>
      <c r="S119" s="33" t="n">
        <f aca="false">IF(COUNTIF('[1]Plate_1-2_LongFormat'!$A$2:$A$193,G119)&gt;0,1,0)</f>
        <v>0</v>
      </c>
      <c r="T119" s="33" t="n">
        <f aca="false">IF(COUNTIF([2]Attached_indexes!$C$2:$C$193,G119)&gt;0,1,0)</f>
        <v>0</v>
      </c>
      <c r="U119" s="59"/>
      <c r="V119" s="1" t="s">
        <v>982</v>
      </c>
    </row>
    <row r="120" customFormat="false" ht="15.75" hidden="false" customHeight="true" outlineLevel="0" collapsed="false">
      <c r="A120" s="18" t="s">
        <v>302</v>
      </c>
      <c r="B120" s="18" t="s">
        <v>302</v>
      </c>
      <c r="C120" s="18" t="s">
        <v>40</v>
      </c>
      <c r="E120" s="66" t="n">
        <v>10</v>
      </c>
      <c r="F120" s="21" t="str">
        <f aca="false">CONCATENATE(B120,"_",C120, TEXT(E120, "000"))</f>
        <v>BHEB_M. guttatus010</v>
      </c>
      <c r="G120" s="21" t="s">
        <v>324</v>
      </c>
      <c r="H120" s="18" t="n">
        <v>1</v>
      </c>
      <c r="I120" s="22" t="n">
        <v>44673</v>
      </c>
      <c r="J120" s="2" t="s">
        <v>981</v>
      </c>
      <c r="L120" s="2" t="n">
        <v>1</v>
      </c>
      <c r="M120" s="2" t="n">
        <v>1</v>
      </c>
      <c r="N120" s="3" t="n">
        <v>44999</v>
      </c>
      <c r="O120" s="2" t="n">
        <v>4.41</v>
      </c>
      <c r="P120" s="2" t="n">
        <v>3</v>
      </c>
      <c r="Q120" s="62" t="str">
        <f aca="false">IF(ISBLANK(N120),"",IF(N120&lt;DATE(2023,5,1),"OLD","NEW"))</f>
        <v>OLD</v>
      </c>
      <c r="S120" s="33" t="n">
        <f aca="false">IF(COUNTIF('[1]Plate_1-2_LongFormat'!$A$2:$A$193,G120)&gt;0,1,0)</f>
        <v>0</v>
      </c>
      <c r="T120" s="33" t="n">
        <f aca="false">IF(COUNTIF([2]Attached_indexes!$C$2:$C$193,G120)&gt;0,1,0)</f>
        <v>0</v>
      </c>
      <c r="U120" s="59"/>
      <c r="V120" s="1" t="s">
        <v>982</v>
      </c>
    </row>
    <row r="121" customFormat="false" ht="15.75" hidden="false" customHeight="true" outlineLevel="0" collapsed="false">
      <c r="A121" s="18" t="s">
        <v>302</v>
      </c>
      <c r="B121" s="18" t="s">
        <v>302</v>
      </c>
      <c r="C121" s="18" t="s">
        <v>40</v>
      </c>
      <c r="E121" s="66" t="n">
        <v>10</v>
      </c>
      <c r="F121" s="21" t="str">
        <f aca="false">CONCATENATE(B121,"_",C121, TEXT(E121, "000"))</f>
        <v>BHEB_M. guttatus010</v>
      </c>
      <c r="G121" s="21" t="s">
        <v>324</v>
      </c>
      <c r="H121" s="18" t="n">
        <v>1</v>
      </c>
      <c r="I121" s="22" t="n">
        <v>44673</v>
      </c>
      <c r="J121" s="2" t="s">
        <v>981</v>
      </c>
      <c r="L121" s="2" t="n">
        <v>1</v>
      </c>
      <c r="M121" s="2" t="n">
        <v>1</v>
      </c>
      <c r="N121" s="3" t="n">
        <v>44999</v>
      </c>
      <c r="O121" s="2" t="n">
        <v>4.41</v>
      </c>
      <c r="P121" s="2" t="n">
        <v>3</v>
      </c>
      <c r="Q121" s="62" t="str">
        <f aca="false">IF(ISBLANK(N121),"",IF(N121&lt;DATE(2023,5,1),"OLD","NEW"))</f>
        <v>OLD</v>
      </c>
      <c r="S121" s="33" t="n">
        <f aca="false">IF(COUNTIF('[1]Plate_1-2_LongFormat'!$A$2:$A$193,G121)&gt;0,1,0)</f>
        <v>0</v>
      </c>
      <c r="T121" s="33" t="n">
        <f aca="false">IF(COUNTIF([2]Attached_indexes!$C$2:$C$193,G121)&gt;0,1,0)</f>
        <v>0</v>
      </c>
      <c r="U121" s="59"/>
      <c r="V121" s="1" t="s">
        <v>982</v>
      </c>
    </row>
    <row r="122" customFormat="false" ht="15.75" hidden="false" customHeight="true" outlineLevel="0" collapsed="false">
      <c r="A122" s="18" t="s">
        <v>302</v>
      </c>
      <c r="B122" s="18" t="s">
        <v>302</v>
      </c>
      <c r="C122" s="18" t="s">
        <v>40</v>
      </c>
      <c r="E122" s="66" t="n">
        <v>2</v>
      </c>
      <c r="F122" s="21" t="str">
        <f aca="false">CONCATENATE(B122,"_",C122, TEXT(E122, "000"))</f>
        <v>BHEB_M. guttatus002</v>
      </c>
      <c r="G122" s="21" t="s">
        <v>308</v>
      </c>
      <c r="H122" s="18" t="n">
        <v>1</v>
      </c>
      <c r="I122" s="22" t="n">
        <v>44673</v>
      </c>
      <c r="J122" s="2" t="s">
        <v>981</v>
      </c>
      <c r="L122" s="2" t="n">
        <v>1</v>
      </c>
      <c r="M122" s="2" t="n">
        <v>1</v>
      </c>
      <c r="N122" s="3" t="n">
        <v>44870</v>
      </c>
      <c r="O122" s="2" t="n">
        <v>16.4</v>
      </c>
      <c r="P122" s="2" t="n">
        <v>1</v>
      </c>
      <c r="Q122" s="62" t="str">
        <f aca="false">IF(ISBLANK(N122),"",IF(N122&lt;DATE(2023,5,1),"OLD","NEW"))</f>
        <v>OLD</v>
      </c>
      <c r="S122" s="33" t="n">
        <f aca="false">IF(COUNTIF('[1]Plate_1-2_LongFormat'!$A$2:$A$193,G122)&gt;0,1,0)</f>
        <v>1</v>
      </c>
      <c r="T122" s="33" t="n">
        <f aca="false">IF(COUNTIF([2]Attached_indexes!$C$2:$C$193,G122)&gt;0,1,0)</f>
        <v>1</v>
      </c>
      <c r="U122" s="59"/>
      <c r="V122" s="1" t="s">
        <v>982</v>
      </c>
    </row>
    <row r="123" customFormat="false" ht="15.75" hidden="false" customHeight="true" outlineLevel="0" collapsed="false">
      <c r="A123" s="18" t="s">
        <v>302</v>
      </c>
      <c r="B123" s="18" t="s">
        <v>302</v>
      </c>
      <c r="C123" s="18" t="s">
        <v>40</v>
      </c>
      <c r="E123" s="66" t="n">
        <v>2</v>
      </c>
      <c r="F123" s="21" t="str">
        <f aca="false">CONCATENATE(B123,"_",C123, TEXT(E123, "000"))</f>
        <v>BHEB_M. guttatus002</v>
      </c>
      <c r="G123" s="21" t="s">
        <v>308</v>
      </c>
      <c r="H123" s="18" t="n">
        <v>1</v>
      </c>
      <c r="I123" s="22" t="n">
        <v>44673</v>
      </c>
      <c r="J123" s="2" t="s">
        <v>981</v>
      </c>
      <c r="L123" s="2" t="n">
        <v>1</v>
      </c>
      <c r="M123" s="2" t="n">
        <v>1</v>
      </c>
      <c r="N123" s="3" t="n">
        <v>44870</v>
      </c>
      <c r="O123" s="2" t="n">
        <v>16.4</v>
      </c>
      <c r="P123" s="2" t="n">
        <v>1</v>
      </c>
      <c r="Q123" s="62" t="str">
        <f aca="false">IF(ISBLANK(N123),"",IF(N123&lt;DATE(2023,5,1),"OLD","NEW"))</f>
        <v>OLD</v>
      </c>
      <c r="S123" s="33" t="n">
        <f aca="false">IF(COUNTIF('[1]Plate_1-2_LongFormat'!$A$2:$A$193,G123)&gt;0,1,0)</f>
        <v>1</v>
      </c>
      <c r="T123" s="33" t="n">
        <f aca="false">IF(COUNTIF([2]Attached_indexes!$C$2:$C$193,G123)&gt;0,1,0)</f>
        <v>1</v>
      </c>
      <c r="U123" s="59"/>
      <c r="V123" s="1" t="s">
        <v>982</v>
      </c>
    </row>
    <row r="124" customFormat="false" ht="15.75" hidden="false" customHeight="true" outlineLevel="0" collapsed="false">
      <c r="A124" s="18" t="s">
        <v>302</v>
      </c>
      <c r="B124" s="18" t="s">
        <v>302</v>
      </c>
      <c r="C124" s="18" t="s">
        <v>40</v>
      </c>
      <c r="E124" s="66" t="n">
        <v>2</v>
      </c>
      <c r="F124" s="21" t="str">
        <f aca="false">CONCATENATE(B124,"_",C124, TEXT(E124, "000"))</f>
        <v>BHEB_M. guttatus002</v>
      </c>
      <c r="G124" s="21" t="s">
        <v>308</v>
      </c>
      <c r="H124" s="18" t="n">
        <v>1</v>
      </c>
      <c r="I124" s="22" t="n">
        <v>44673</v>
      </c>
      <c r="J124" s="2" t="s">
        <v>981</v>
      </c>
      <c r="L124" s="2" t="n">
        <v>1</v>
      </c>
      <c r="M124" s="2" t="n">
        <v>1</v>
      </c>
      <c r="N124" s="3" t="n">
        <v>44870</v>
      </c>
      <c r="O124" s="2" t="n">
        <v>16.4</v>
      </c>
      <c r="P124" s="2" t="n">
        <v>1</v>
      </c>
      <c r="Q124" s="62" t="str">
        <f aca="false">IF(ISBLANK(N124),"",IF(N124&lt;DATE(2023,5,1),"OLD","NEW"))</f>
        <v>OLD</v>
      </c>
      <c r="S124" s="33" t="n">
        <f aca="false">IF(COUNTIF('[1]Plate_1-2_LongFormat'!$A$2:$A$193,G124)&gt;0,1,0)</f>
        <v>1</v>
      </c>
      <c r="T124" s="33" t="n">
        <f aca="false">IF(COUNTIF([2]Attached_indexes!$C$2:$C$193,G124)&gt;0,1,0)</f>
        <v>1</v>
      </c>
      <c r="U124" s="59"/>
      <c r="V124" s="1" t="s">
        <v>982</v>
      </c>
    </row>
    <row r="125" customFormat="false" ht="15.75" hidden="false" customHeight="true" outlineLevel="0" collapsed="false">
      <c r="A125" s="18" t="s">
        <v>302</v>
      </c>
      <c r="B125" s="18" t="s">
        <v>302</v>
      </c>
      <c r="C125" s="18" t="s">
        <v>40</v>
      </c>
      <c r="E125" s="66" t="n">
        <v>3</v>
      </c>
      <c r="F125" s="21" t="str">
        <f aca="false">CONCATENATE(B125,"_",C125, TEXT(E125, "000"))</f>
        <v>BHEB_M. guttatus003</v>
      </c>
      <c r="G125" s="21" t="s">
        <v>310</v>
      </c>
      <c r="H125" s="18" t="n">
        <v>1</v>
      </c>
      <c r="I125" s="22" t="n">
        <v>44673</v>
      </c>
      <c r="J125" s="2" t="s">
        <v>981</v>
      </c>
      <c r="L125" s="2" t="n">
        <v>1</v>
      </c>
      <c r="M125" s="2" t="n">
        <v>1</v>
      </c>
      <c r="N125" s="3" t="n">
        <v>44842</v>
      </c>
      <c r="O125" s="2" t="n">
        <v>14.5</v>
      </c>
      <c r="P125" s="2" t="n">
        <v>1</v>
      </c>
      <c r="Q125" s="62" t="str">
        <f aca="false">IF(ISBLANK(N125),"",IF(N125&lt;DATE(2023,5,1),"OLD","NEW"))</f>
        <v>OLD</v>
      </c>
      <c r="S125" s="33" t="n">
        <f aca="false">IF(COUNTIF('[1]Plate_1-2_LongFormat'!$A$2:$A$193,G125)&gt;0,1,0)</f>
        <v>1</v>
      </c>
      <c r="T125" s="33" t="n">
        <f aca="false">IF(COUNTIF([2]Attached_indexes!$C$2:$C$193,G125)&gt;0,1,0)</f>
        <v>1</v>
      </c>
      <c r="U125" s="59"/>
      <c r="V125" s="1" t="s">
        <v>982</v>
      </c>
    </row>
    <row r="126" customFormat="false" ht="15.75" hidden="false" customHeight="true" outlineLevel="0" collapsed="false">
      <c r="A126" s="18" t="s">
        <v>302</v>
      </c>
      <c r="B126" s="18" t="s">
        <v>302</v>
      </c>
      <c r="C126" s="18" t="s">
        <v>40</v>
      </c>
      <c r="E126" s="66" t="n">
        <v>3</v>
      </c>
      <c r="F126" s="21" t="str">
        <f aca="false">CONCATENATE(B126,"_",C126, TEXT(E126, "000"))</f>
        <v>BHEB_M. guttatus003</v>
      </c>
      <c r="G126" s="21" t="s">
        <v>310</v>
      </c>
      <c r="H126" s="18" t="n">
        <v>1</v>
      </c>
      <c r="I126" s="22" t="n">
        <v>44673</v>
      </c>
      <c r="J126" s="2" t="s">
        <v>981</v>
      </c>
      <c r="L126" s="2" t="n">
        <v>1</v>
      </c>
      <c r="M126" s="2" t="n">
        <v>1</v>
      </c>
      <c r="N126" s="3" t="n">
        <v>44842</v>
      </c>
      <c r="O126" s="2" t="n">
        <v>14.5</v>
      </c>
      <c r="P126" s="2" t="n">
        <v>1</v>
      </c>
      <c r="Q126" s="62" t="str">
        <f aca="false">IF(ISBLANK(N126),"",IF(N126&lt;DATE(2023,5,1),"OLD","NEW"))</f>
        <v>OLD</v>
      </c>
      <c r="S126" s="33" t="n">
        <f aca="false">IF(COUNTIF('[1]Plate_1-2_LongFormat'!$A$2:$A$193,G126)&gt;0,1,0)</f>
        <v>1</v>
      </c>
      <c r="T126" s="33" t="n">
        <f aca="false">IF(COUNTIF([2]Attached_indexes!$C$2:$C$193,G126)&gt;0,1,0)</f>
        <v>1</v>
      </c>
      <c r="U126" s="59"/>
      <c r="V126" s="1" t="s">
        <v>982</v>
      </c>
    </row>
    <row r="127" customFormat="false" ht="15.75" hidden="false" customHeight="true" outlineLevel="0" collapsed="false">
      <c r="A127" s="18" t="s">
        <v>302</v>
      </c>
      <c r="B127" s="18" t="s">
        <v>302</v>
      </c>
      <c r="C127" s="18" t="s">
        <v>40</v>
      </c>
      <c r="E127" s="66" t="n">
        <v>3</v>
      </c>
      <c r="F127" s="21" t="str">
        <f aca="false">CONCATENATE(B127,"_",C127, TEXT(E127, "000"))</f>
        <v>BHEB_M. guttatus003</v>
      </c>
      <c r="G127" s="21" t="s">
        <v>310</v>
      </c>
      <c r="H127" s="18" t="n">
        <v>1</v>
      </c>
      <c r="I127" s="22" t="n">
        <v>44673</v>
      </c>
      <c r="J127" s="2" t="s">
        <v>981</v>
      </c>
      <c r="L127" s="2" t="n">
        <v>1</v>
      </c>
      <c r="M127" s="2" t="n">
        <v>1</v>
      </c>
      <c r="N127" s="3" t="n">
        <v>44842</v>
      </c>
      <c r="O127" s="2" t="n">
        <v>14.5</v>
      </c>
      <c r="P127" s="2" t="n">
        <v>1</v>
      </c>
      <c r="Q127" s="62" t="str">
        <f aca="false">IF(ISBLANK(N127),"",IF(N127&lt;DATE(2023,5,1),"OLD","NEW"))</f>
        <v>OLD</v>
      </c>
      <c r="S127" s="33" t="n">
        <f aca="false">IF(COUNTIF('[1]Plate_1-2_LongFormat'!$A$2:$A$193,G127)&gt;0,1,0)</f>
        <v>1</v>
      </c>
      <c r="T127" s="33" t="n">
        <f aca="false">IF(COUNTIF([2]Attached_indexes!$C$2:$C$193,G127)&gt;0,1,0)</f>
        <v>1</v>
      </c>
      <c r="U127" s="59"/>
      <c r="V127" s="1" t="s">
        <v>982</v>
      </c>
    </row>
    <row r="128" customFormat="false" ht="15.75" hidden="false" customHeight="true" outlineLevel="0" collapsed="false">
      <c r="A128" s="18" t="s">
        <v>302</v>
      </c>
      <c r="B128" s="18" t="s">
        <v>302</v>
      </c>
      <c r="C128" s="18" t="s">
        <v>40</v>
      </c>
      <c r="E128" s="66" t="n">
        <v>4</v>
      </c>
      <c r="F128" s="21" t="str">
        <f aca="false">CONCATENATE(B128,"_",C128, TEXT(E128, "000"))</f>
        <v>BHEB_M. guttatus004</v>
      </c>
      <c r="G128" s="21" t="s">
        <v>312</v>
      </c>
      <c r="H128" s="18" t="n">
        <v>1</v>
      </c>
      <c r="I128" s="22" t="n">
        <v>44673</v>
      </c>
      <c r="J128" s="2" t="s">
        <v>981</v>
      </c>
      <c r="L128" s="2" t="n">
        <v>1</v>
      </c>
      <c r="M128" s="2" t="n">
        <v>1</v>
      </c>
      <c r="N128" s="3" t="n">
        <v>45058</v>
      </c>
      <c r="O128" s="2" t="n">
        <v>41</v>
      </c>
      <c r="P128" s="2" t="n">
        <v>3</v>
      </c>
      <c r="Q128" s="62" t="str">
        <f aca="false">IF(ISBLANK(N128),"",IF(N128&lt;DATE(2023,5,1),"OLD","NEW"))</f>
        <v>NEW</v>
      </c>
      <c r="S128" s="33" t="n">
        <f aca="false">IF(COUNTIF('[1]Plate_1-2_LongFormat'!$A$2:$A$193,G128)&gt;0,1,0)</f>
        <v>0</v>
      </c>
      <c r="T128" s="33" t="n">
        <f aca="false">IF(COUNTIF([2]Attached_indexes!$C$2:$C$193,G128)&gt;0,1,0)</f>
        <v>0</v>
      </c>
      <c r="U128" s="59"/>
      <c r="V128" s="1" t="s">
        <v>982</v>
      </c>
    </row>
    <row r="129" customFormat="false" ht="15.75" hidden="false" customHeight="true" outlineLevel="0" collapsed="false">
      <c r="A129" s="18" t="s">
        <v>302</v>
      </c>
      <c r="B129" s="18" t="s">
        <v>302</v>
      </c>
      <c r="C129" s="18" t="s">
        <v>40</v>
      </c>
      <c r="E129" s="66" t="n">
        <v>4</v>
      </c>
      <c r="F129" s="21" t="str">
        <f aca="false">CONCATENATE(B129,"_",C129, TEXT(E129, "000"))</f>
        <v>BHEB_M. guttatus004</v>
      </c>
      <c r="G129" s="21" t="s">
        <v>312</v>
      </c>
      <c r="H129" s="18" t="n">
        <v>1</v>
      </c>
      <c r="I129" s="22" t="n">
        <v>44673</v>
      </c>
      <c r="J129" s="2" t="s">
        <v>981</v>
      </c>
      <c r="L129" s="2" t="n">
        <v>1</v>
      </c>
      <c r="M129" s="2" t="n">
        <v>1</v>
      </c>
      <c r="N129" s="3" t="n">
        <v>45058</v>
      </c>
      <c r="O129" s="2" t="n">
        <v>41</v>
      </c>
      <c r="P129" s="2" t="n">
        <v>3</v>
      </c>
      <c r="Q129" s="62" t="str">
        <f aca="false">IF(ISBLANK(N129),"",IF(N129&lt;DATE(2023,5,1),"OLD","NEW"))</f>
        <v>NEW</v>
      </c>
      <c r="S129" s="33" t="n">
        <f aca="false">IF(COUNTIF('[1]Plate_1-2_LongFormat'!$A$2:$A$193,G129)&gt;0,1,0)</f>
        <v>0</v>
      </c>
      <c r="T129" s="33" t="n">
        <f aca="false">IF(COUNTIF([2]Attached_indexes!$C$2:$C$193,G129)&gt;0,1,0)</f>
        <v>0</v>
      </c>
      <c r="U129" s="59"/>
      <c r="V129" s="1" t="s">
        <v>982</v>
      </c>
    </row>
    <row r="130" customFormat="false" ht="15.75" hidden="false" customHeight="true" outlineLevel="0" collapsed="false">
      <c r="A130" s="18" t="s">
        <v>302</v>
      </c>
      <c r="B130" s="18" t="s">
        <v>302</v>
      </c>
      <c r="C130" s="18" t="s">
        <v>40</v>
      </c>
      <c r="E130" s="66" t="n">
        <v>4</v>
      </c>
      <c r="F130" s="21" t="str">
        <f aca="false">CONCATENATE(B130,"_",C130, TEXT(E130, "000"))</f>
        <v>BHEB_M. guttatus004</v>
      </c>
      <c r="G130" s="21" t="s">
        <v>312</v>
      </c>
      <c r="H130" s="18" t="n">
        <v>1</v>
      </c>
      <c r="I130" s="22" t="n">
        <v>44673</v>
      </c>
      <c r="J130" s="2" t="s">
        <v>981</v>
      </c>
      <c r="L130" s="2" t="n">
        <v>1</v>
      </c>
      <c r="M130" s="2" t="n">
        <v>1</v>
      </c>
      <c r="N130" s="3" t="n">
        <v>45058</v>
      </c>
      <c r="O130" s="2" t="n">
        <v>41</v>
      </c>
      <c r="P130" s="2" t="n">
        <v>3</v>
      </c>
      <c r="Q130" s="62" t="str">
        <f aca="false">IF(ISBLANK(N130),"",IF(N130&lt;DATE(2023,5,1),"OLD","NEW"))</f>
        <v>NEW</v>
      </c>
      <c r="S130" s="33" t="n">
        <f aca="false">IF(COUNTIF('[1]Plate_1-2_LongFormat'!$A$2:$A$193,G130)&gt;0,1,0)</f>
        <v>0</v>
      </c>
      <c r="T130" s="33" t="n">
        <f aca="false">IF(COUNTIF([2]Attached_indexes!$C$2:$C$193,G130)&gt;0,1,0)</f>
        <v>0</v>
      </c>
      <c r="U130" s="59"/>
      <c r="V130" s="1" t="s">
        <v>982</v>
      </c>
    </row>
    <row r="131" customFormat="false" ht="15.75" hidden="false" customHeight="true" outlineLevel="0" collapsed="false">
      <c r="A131" s="18" t="s">
        <v>302</v>
      </c>
      <c r="B131" s="18" t="s">
        <v>302</v>
      </c>
      <c r="C131" s="18" t="s">
        <v>40</v>
      </c>
      <c r="E131" s="66" t="n">
        <v>5</v>
      </c>
      <c r="F131" s="21" t="str">
        <f aca="false">CONCATENATE(B131,"_",C131, TEXT(E131, "000"))</f>
        <v>BHEB_M. guttatus005</v>
      </c>
      <c r="G131" s="21" t="s">
        <v>314</v>
      </c>
      <c r="H131" s="18" t="n">
        <v>1</v>
      </c>
      <c r="I131" s="22" t="n">
        <v>44673</v>
      </c>
      <c r="J131" s="2" t="s">
        <v>981</v>
      </c>
      <c r="L131" s="2" t="n">
        <v>1</v>
      </c>
      <c r="M131" s="2" t="n">
        <v>1</v>
      </c>
      <c r="N131" s="3" t="n">
        <v>44945</v>
      </c>
      <c r="O131" s="2" t="n">
        <v>3.05</v>
      </c>
      <c r="P131" s="2" t="n">
        <v>2</v>
      </c>
      <c r="Q131" s="62" t="str">
        <f aca="false">IF(ISBLANK(N131),"",IF(N131&lt;DATE(2023,5,1),"OLD","NEW"))</f>
        <v>OLD</v>
      </c>
      <c r="S131" s="33" t="n">
        <f aca="false">IF(COUNTIF('[1]Plate_1-2_LongFormat'!$A$2:$A$193,G131)&gt;0,1,0)</f>
        <v>1</v>
      </c>
      <c r="T131" s="33" t="n">
        <f aca="false">IF(COUNTIF([2]Attached_indexes!$C$2:$C$193,G131)&gt;0,1,0)</f>
        <v>1</v>
      </c>
      <c r="U131" s="59"/>
      <c r="V131" s="1" t="s">
        <v>982</v>
      </c>
    </row>
    <row r="132" customFormat="false" ht="15.75" hidden="false" customHeight="true" outlineLevel="0" collapsed="false">
      <c r="A132" s="18" t="s">
        <v>302</v>
      </c>
      <c r="B132" s="18" t="s">
        <v>302</v>
      </c>
      <c r="C132" s="18" t="s">
        <v>40</v>
      </c>
      <c r="E132" s="66" t="n">
        <v>5</v>
      </c>
      <c r="F132" s="21" t="str">
        <f aca="false">CONCATENATE(B132,"_",C132, TEXT(E132, "000"))</f>
        <v>BHEB_M. guttatus005</v>
      </c>
      <c r="G132" s="21" t="s">
        <v>314</v>
      </c>
      <c r="H132" s="18" t="n">
        <v>1</v>
      </c>
      <c r="I132" s="22" t="n">
        <v>44673</v>
      </c>
      <c r="J132" s="2" t="s">
        <v>981</v>
      </c>
      <c r="L132" s="2" t="n">
        <v>1</v>
      </c>
      <c r="M132" s="2" t="n">
        <v>1</v>
      </c>
      <c r="N132" s="3" t="n">
        <v>44945</v>
      </c>
      <c r="O132" s="2" t="n">
        <v>3.05</v>
      </c>
      <c r="P132" s="2" t="n">
        <v>2</v>
      </c>
      <c r="Q132" s="62" t="str">
        <f aca="false">IF(ISBLANK(N132),"",IF(N132&lt;DATE(2023,5,1),"OLD","NEW"))</f>
        <v>OLD</v>
      </c>
      <c r="S132" s="33" t="n">
        <f aca="false">IF(COUNTIF('[1]Plate_1-2_LongFormat'!$A$2:$A$193,G132)&gt;0,1,0)</f>
        <v>1</v>
      </c>
      <c r="T132" s="33" t="n">
        <f aca="false">IF(COUNTIF([2]Attached_indexes!$C$2:$C$193,G132)&gt;0,1,0)</f>
        <v>1</v>
      </c>
      <c r="U132" s="59"/>
      <c r="V132" s="1" t="s">
        <v>982</v>
      </c>
    </row>
    <row r="133" customFormat="false" ht="15.75" hidden="false" customHeight="true" outlineLevel="0" collapsed="false">
      <c r="A133" s="18" t="s">
        <v>302</v>
      </c>
      <c r="B133" s="18" t="s">
        <v>302</v>
      </c>
      <c r="C133" s="18" t="s">
        <v>40</v>
      </c>
      <c r="E133" s="66" t="n">
        <v>5</v>
      </c>
      <c r="F133" s="21" t="str">
        <f aca="false">CONCATENATE(B133,"_",C133, TEXT(E133, "000"))</f>
        <v>BHEB_M. guttatus005</v>
      </c>
      <c r="G133" s="21" t="s">
        <v>314</v>
      </c>
      <c r="H133" s="18" t="n">
        <v>1</v>
      </c>
      <c r="I133" s="22" t="n">
        <v>44673</v>
      </c>
      <c r="J133" s="2" t="s">
        <v>981</v>
      </c>
      <c r="L133" s="2" t="n">
        <v>1</v>
      </c>
      <c r="M133" s="2" t="n">
        <v>1</v>
      </c>
      <c r="N133" s="3" t="n">
        <v>44945</v>
      </c>
      <c r="O133" s="2" t="n">
        <v>3.05</v>
      </c>
      <c r="P133" s="2" t="n">
        <v>2</v>
      </c>
      <c r="Q133" s="62" t="str">
        <f aca="false">IF(ISBLANK(N133),"",IF(N133&lt;DATE(2023,5,1),"OLD","NEW"))</f>
        <v>OLD</v>
      </c>
      <c r="S133" s="33" t="n">
        <f aca="false">IF(COUNTIF('[1]Plate_1-2_LongFormat'!$A$2:$A$193,G133)&gt;0,1,0)</f>
        <v>1</v>
      </c>
      <c r="T133" s="33" t="n">
        <f aca="false">IF(COUNTIF([2]Attached_indexes!$C$2:$C$193,G133)&gt;0,1,0)</f>
        <v>1</v>
      </c>
      <c r="U133" s="59"/>
      <c r="V133" s="1" t="s">
        <v>982</v>
      </c>
    </row>
    <row r="134" customFormat="false" ht="15.75" hidden="false" customHeight="true" outlineLevel="0" collapsed="false">
      <c r="A134" s="18" t="s">
        <v>302</v>
      </c>
      <c r="B134" s="18" t="s">
        <v>302</v>
      </c>
      <c r="C134" s="18" t="s">
        <v>40</v>
      </c>
      <c r="E134" s="66" t="n">
        <v>6</v>
      </c>
      <c r="F134" s="21" t="str">
        <f aca="false">CONCATENATE(B134,"_",C134, TEXT(E134, "000"))</f>
        <v>BHEB_M. guttatus006</v>
      </c>
      <c r="G134" s="21" t="s">
        <v>316</v>
      </c>
      <c r="H134" s="18" t="n">
        <v>1</v>
      </c>
      <c r="I134" s="22" t="n">
        <v>44673</v>
      </c>
      <c r="J134" s="2" t="s">
        <v>981</v>
      </c>
      <c r="L134" s="2" t="n">
        <v>1</v>
      </c>
      <c r="M134" s="2" t="n">
        <v>1</v>
      </c>
      <c r="N134" s="3" t="n">
        <v>44870</v>
      </c>
      <c r="O134" s="2" t="n">
        <v>15.1</v>
      </c>
      <c r="P134" s="2" t="n">
        <v>1</v>
      </c>
      <c r="Q134" s="62" t="str">
        <f aca="false">IF(ISBLANK(N134),"",IF(N134&lt;DATE(2023,5,1),"OLD","NEW"))</f>
        <v>OLD</v>
      </c>
      <c r="R134" s="2" t="s">
        <v>992</v>
      </c>
      <c r="S134" s="33" t="n">
        <f aca="false">IF(COUNTIF('[1]Plate_1-2_LongFormat'!$A$2:$A$193,G134)&gt;0,1,0)</f>
        <v>1</v>
      </c>
      <c r="T134" s="33" t="n">
        <f aca="false">IF(COUNTIF([2]Attached_indexes!$C$2:$C$193,G134)&gt;0,1,0)</f>
        <v>1</v>
      </c>
      <c r="U134" s="59"/>
      <c r="V134" s="1" t="s">
        <v>982</v>
      </c>
    </row>
    <row r="135" customFormat="false" ht="15.75" hidden="false" customHeight="true" outlineLevel="0" collapsed="false">
      <c r="A135" s="18" t="s">
        <v>302</v>
      </c>
      <c r="B135" s="18" t="s">
        <v>302</v>
      </c>
      <c r="C135" s="18" t="s">
        <v>40</v>
      </c>
      <c r="E135" s="66" t="n">
        <v>6</v>
      </c>
      <c r="F135" s="21" t="str">
        <f aca="false">CONCATENATE(B135,"_",C135, TEXT(E135, "000"))</f>
        <v>BHEB_M. guttatus006</v>
      </c>
      <c r="G135" s="21" t="s">
        <v>316</v>
      </c>
      <c r="H135" s="18" t="n">
        <v>1</v>
      </c>
      <c r="I135" s="22" t="n">
        <v>44673</v>
      </c>
      <c r="J135" s="2" t="s">
        <v>981</v>
      </c>
      <c r="L135" s="2" t="n">
        <v>1</v>
      </c>
      <c r="M135" s="2" t="n">
        <v>1</v>
      </c>
      <c r="N135" s="3" t="n">
        <v>44870</v>
      </c>
      <c r="O135" s="2" t="n">
        <v>15.1</v>
      </c>
      <c r="P135" s="2" t="n">
        <v>1</v>
      </c>
      <c r="Q135" s="62" t="str">
        <f aca="false">IF(ISBLANK(N135),"",IF(N135&lt;DATE(2023,5,1),"OLD","NEW"))</f>
        <v>OLD</v>
      </c>
      <c r="R135" s="2" t="s">
        <v>992</v>
      </c>
      <c r="S135" s="33" t="n">
        <f aca="false">IF(COUNTIF('[1]Plate_1-2_LongFormat'!$A$2:$A$193,G135)&gt;0,1,0)</f>
        <v>1</v>
      </c>
      <c r="T135" s="33" t="n">
        <f aca="false">IF(COUNTIF([2]Attached_indexes!$C$2:$C$193,G135)&gt;0,1,0)</f>
        <v>1</v>
      </c>
      <c r="U135" s="59"/>
      <c r="V135" s="1" t="s">
        <v>982</v>
      </c>
    </row>
    <row r="136" customFormat="false" ht="15.75" hidden="false" customHeight="true" outlineLevel="0" collapsed="false">
      <c r="A136" s="18" t="s">
        <v>302</v>
      </c>
      <c r="B136" s="18" t="s">
        <v>302</v>
      </c>
      <c r="C136" s="18" t="s">
        <v>40</v>
      </c>
      <c r="E136" s="66" t="n">
        <v>6</v>
      </c>
      <c r="F136" s="21" t="str">
        <f aca="false">CONCATENATE(B136,"_",C136, TEXT(E136, "000"))</f>
        <v>BHEB_M. guttatus006</v>
      </c>
      <c r="G136" s="21" t="s">
        <v>316</v>
      </c>
      <c r="H136" s="18" t="n">
        <v>1</v>
      </c>
      <c r="I136" s="22" t="n">
        <v>44673</v>
      </c>
      <c r="J136" s="2" t="s">
        <v>981</v>
      </c>
      <c r="L136" s="2" t="n">
        <v>1</v>
      </c>
      <c r="M136" s="2" t="n">
        <v>1</v>
      </c>
      <c r="N136" s="3" t="n">
        <v>44870</v>
      </c>
      <c r="O136" s="2" t="n">
        <v>15.1</v>
      </c>
      <c r="P136" s="2" t="n">
        <v>1</v>
      </c>
      <c r="Q136" s="62" t="str">
        <f aca="false">IF(ISBLANK(N136),"",IF(N136&lt;DATE(2023,5,1),"OLD","NEW"))</f>
        <v>OLD</v>
      </c>
      <c r="R136" s="2" t="s">
        <v>992</v>
      </c>
      <c r="S136" s="33" t="n">
        <f aca="false">IF(COUNTIF('[1]Plate_1-2_LongFormat'!$A$2:$A$193,G136)&gt;0,1,0)</f>
        <v>1</v>
      </c>
      <c r="T136" s="33" t="n">
        <f aca="false">IF(COUNTIF([2]Attached_indexes!$C$2:$C$193,G136)&gt;0,1,0)</f>
        <v>1</v>
      </c>
      <c r="U136" s="59"/>
      <c r="V136" s="1" t="s">
        <v>982</v>
      </c>
    </row>
    <row r="137" customFormat="false" ht="15.75" hidden="false" customHeight="true" outlineLevel="0" collapsed="false">
      <c r="A137" s="18" t="s">
        <v>302</v>
      </c>
      <c r="B137" s="18" t="s">
        <v>302</v>
      </c>
      <c r="C137" s="18" t="s">
        <v>40</v>
      </c>
      <c r="E137" s="66" t="n">
        <v>7</v>
      </c>
      <c r="F137" s="21" t="str">
        <f aca="false">CONCATENATE(B137,"_",C137, TEXT(E137, "000"))</f>
        <v>BHEB_M. guttatus007</v>
      </c>
      <c r="G137" s="21" t="s">
        <v>318</v>
      </c>
      <c r="H137" s="18" t="n">
        <v>1</v>
      </c>
      <c r="I137" s="22" t="n">
        <v>44673</v>
      </c>
      <c r="J137" s="2" t="s">
        <v>981</v>
      </c>
      <c r="L137" s="2" t="n">
        <v>1</v>
      </c>
      <c r="M137" s="2" t="n">
        <v>1</v>
      </c>
      <c r="N137" s="3" t="n">
        <v>44842</v>
      </c>
      <c r="O137" s="2" t="n">
        <v>17</v>
      </c>
      <c r="P137" s="2" t="n">
        <v>1</v>
      </c>
      <c r="Q137" s="62" t="str">
        <f aca="false">IF(ISBLANK(N137),"",IF(N137&lt;DATE(2023,5,1),"OLD","NEW"))</f>
        <v>OLD</v>
      </c>
      <c r="S137" s="33" t="n">
        <f aca="false">IF(COUNTIF('[1]Plate_1-2_LongFormat'!$A$2:$A$193,G137)&gt;0,1,0)</f>
        <v>1</v>
      </c>
      <c r="T137" s="33" t="n">
        <f aca="false">IF(COUNTIF([2]Attached_indexes!$C$2:$C$193,G137)&gt;0,1,0)</f>
        <v>1</v>
      </c>
      <c r="U137" s="59"/>
      <c r="V137" s="1" t="s">
        <v>982</v>
      </c>
    </row>
    <row r="138" customFormat="false" ht="15.75" hidden="false" customHeight="true" outlineLevel="0" collapsed="false">
      <c r="A138" s="18" t="s">
        <v>302</v>
      </c>
      <c r="B138" s="18" t="s">
        <v>302</v>
      </c>
      <c r="C138" s="18" t="s">
        <v>40</v>
      </c>
      <c r="E138" s="66" t="n">
        <v>7</v>
      </c>
      <c r="F138" s="21" t="str">
        <f aca="false">CONCATENATE(B138,"_",C138, TEXT(E138, "000"))</f>
        <v>BHEB_M. guttatus007</v>
      </c>
      <c r="G138" s="21" t="s">
        <v>318</v>
      </c>
      <c r="H138" s="18" t="n">
        <v>1</v>
      </c>
      <c r="I138" s="22" t="n">
        <v>44673</v>
      </c>
      <c r="J138" s="2" t="s">
        <v>981</v>
      </c>
      <c r="L138" s="2" t="n">
        <v>1</v>
      </c>
      <c r="M138" s="2" t="n">
        <v>1</v>
      </c>
      <c r="N138" s="3" t="n">
        <v>44842</v>
      </c>
      <c r="O138" s="2" t="n">
        <v>17</v>
      </c>
      <c r="P138" s="2" t="n">
        <v>1</v>
      </c>
      <c r="Q138" s="62" t="str">
        <f aca="false">IF(ISBLANK(N138),"",IF(N138&lt;DATE(2023,5,1),"OLD","NEW"))</f>
        <v>OLD</v>
      </c>
      <c r="S138" s="33" t="n">
        <f aca="false">IF(COUNTIF('[1]Plate_1-2_LongFormat'!$A$2:$A$193,G138)&gt;0,1,0)</f>
        <v>1</v>
      </c>
      <c r="T138" s="33" t="n">
        <f aca="false">IF(COUNTIF([2]Attached_indexes!$C$2:$C$193,G138)&gt;0,1,0)</f>
        <v>1</v>
      </c>
      <c r="U138" s="59"/>
      <c r="V138" s="1" t="s">
        <v>982</v>
      </c>
    </row>
    <row r="139" customFormat="false" ht="15.75" hidden="false" customHeight="true" outlineLevel="0" collapsed="false">
      <c r="A139" s="18" t="s">
        <v>302</v>
      </c>
      <c r="B139" s="18" t="s">
        <v>302</v>
      </c>
      <c r="C139" s="18" t="s">
        <v>40</v>
      </c>
      <c r="E139" s="66" t="n">
        <v>7</v>
      </c>
      <c r="F139" s="21" t="str">
        <f aca="false">CONCATENATE(B139,"_",C139, TEXT(E139, "000"))</f>
        <v>BHEB_M. guttatus007</v>
      </c>
      <c r="G139" s="21" t="s">
        <v>318</v>
      </c>
      <c r="H139" s="18" t="n">
        <v>1</v>
      </c>
      <c r="I139" s="22" t="n">
        <v>44673</v>
      </c>
      <c r="J139" s="2" t="s">
        <v>981</v>
      </c>
      <c r="L139" s="2" t="n">
        <v>1</v>
      </c>
      <c r="M139" s="2" t="n">
        <v>1</v>
      </c>
      <c r="N139" s="3" t="n">
        <v>44842</v>
      </c>
      <c r="O139" s="2" t="n">
        <v>17</v>
      </c>
      <c r="P139" s="2" t="n">
        <v>1</v>
      </c>
      <c r="Q139" s="62" t="str">
        <f aca="false">IF(ISBLANK(N139),"",IF(N139&lt;DATE(2023,5,1),"OLD","NEW"))</f>
        <v>OLD</v>
      </c>
      <c r="S139" s="33" t="n">
        <f aca="false">IF(COUNTIF('[1]Plate_1-2_LongFormat'!$A$2:$A$193,G139)&gt;0,1,0)</f>
        <v>1</v>
      </c>
      <c r="T139" s="33" t="n">
        <f aca="false">IF(COUNTIF([2]Attached_indexes!$C$2:$C$193,G139)&gt;0,1,0)</f>
        <v>1</v>
      </c>
      <c r="U139" s="59"/>
      <c r="V139" s="1" t="s">
        <v>982</v>
      </c>
    </row>
    <row r="140" customFormat="false" ht="15.75" hidden="false" customHeight="true" outlineLevel="0" collapsed="false">
      <c r="A140" s="18" t="s">
        <v>302</v>
      </c>
      <c r="B140" s="18" t="s">
        <v>302</v>
      </c>
      <c r="C140" s="18" t="s">
        <v>40</v>
      </c>
      <c r="E140" s="66" t="n">
        <v>8</v>
      </c>
      <c r="F140" s="21" t="str">
        <f aca="false">CONCATENATE(B140,"_",C140, TEXT(E140, "000"))</f>
        <v>BHEB_M. guttatus008</v>
      </c>
      <c r="G140" s="21" t="s">
        <v>320</v>
      </c>
      <c r="H140" s="18" t="n">
        <v>1</v>
      </c>
      <c r="I140" s="22" t="n">
        <v>44673</v>
      </c>
      <c r="J140" s="2" t="s">
        <v>981</v>
      </c>
      <c r="L140" s="2" t="n">
        <v>1</v>
      </c>
      <c r="M140" s="2" t="n">
        <v>1</v>
      </c>
      <c r="N140" s="3" t="n">
        <v>44870</v>
      </c>
      <c r="O140" s="2" t="n">
        <v>8.07</v>
      </c>
      <c r="P140" s="2" t="n">
        <v>1</v>
      </c>
      <c r="Q140" s="62" t="str">
        <f aca="false">IF(ISBLANK(N140),"",IF(N140&lt;DATE(2023,5,1),"OLD","NEW"))</f>
        <v>OLD</v>
      </c>
      <c r="S140" s="33" t="n">
        <f aca="false">IF(COUNTIF('[1]Plate_1-2_LongFormat'!$A$2:$A$193,G140)&gt;0,1,0)</f>
        <v>1</v>
      </c>
      <c r="T140" s="33" t="n">
        <f aca="false">IF(COUNTIF([2]Attached_indexes!$C$2:$C$193,G140)&gt;0,1,0)</f>
        <v>1</v>
      </c>
      <c r="U140" s="59"/>
      <c r="V140" s="1" t="s">
        <v>982</v>
      </c>
    </row>
    <row r="141" customFormat="false" ht="15.75" hidden="false" customHeight="true" outlineLevel="0" collapsed="false">
      <c r="A141" s="18" t="s">
        <v>302</v>
      </c>
      <c r="B141" s="18" t="s">
        <v>302</v>
      </c>
      <c r="C141" s="18" t="s">
        <v>40</v>
      </c>
      <c r="E141" s="66" t="n">
        <v>8</v>
      </c>
      <c r="F141" s="21" t="str">
        <f aca="false">CONCATENATE(B141,"_",C141, TEXT(E141, "000"))</f>
        <v>BHEB_M. guttatus008</v>
      </c>
      <c r="G141" s="21" t="s">
        <v>320</v>
      </c>
      <c r="H141" s="18" t="n">
        <v>1</v>
      </c>
      <c r="I141" s="22" t="n">
        <v>44673</v>
      </c>
      <c r="J141" s="2" t="s">
        <v>981</v>
      </c>
      <c r="L141" s="2" t="n">
        <v>1</v>
      </c>
      <c r="M141" s="2" t="n">
        <v>1</v>
      </c>
      <c r="N141" s="3" t="n">
        <v>44870</v>
      </c>
      <c r="O141" s="2" t="n">
        <v>8.07</v>
      </c>
      <c r="P141" s="2" t="n">
        <v>1</v>
      </c>
      <c r="Q141" s="62" t="str">
        <f aca="false">IF(ISBLANK(N141),"",IF(N141&lt;DATE(2023,5,1),"OLD","NEW"))</f>
        <v>OLD</v>
      </c>
      <c r="S141" s="33" t="n">
        <f aca="false">IF(COUNTIF('[1]Plate_1-2_LongFormat'!$A$2:$A$193,G141)&gt;0,1,0)</f>
        <v>1</v>
      </c>
      <c r="T141" s="33" t="n">
        <f aca="false">IF(COUNTIF([2]Attached_indexes!$C$2:$C$193,G141)&gt;0,1,0)</f>
        <v>1</v>
      </c>
      <c r="U141" s="59"/>
      <c r="V141" s="1" t="s">
        <v>982</v>
      </c>
    </row>
    <row r="142" customFormat="false" ht="15.75" hidden="false" customHeight="true" outlineLevel="0" collapsed="false">
      <c r="A142" s="18" t="s">
        <v>302</v>
      </c>
      <c r="B142" s="18" t="s">
        <v>302</v>
      </c>
      <c r="C142" s="18" t="s">
        <v>40</v>
      </c>
      <c r="E142" s="66" t="n">
        <v>8</v>
      </c>
      <c r="F142" s="21" t="str">
        <f aca="false">CONCATENATE(B142,"_",C142, TEXT(E142, "000"))</f>
        <v>BHEB_M. guttatus008</v>
      </c>
      <c r="G142" s="21" t="s">
        <v>320</v>
      </c>
      <c r="H142" s="18" t="n">
        <v>1</v>
      </c>
      <c r="I142" s="22" t="n">
        <v>44673</v>
      </c>
      <c r="J142" s="2" t="s">
        <v>981</v>
      </c>
      <c r="L142" s="2" t="n">
        <v>1</v>
      </c>
      <c r="M142" s="2" t="n">
        <v>1</v>
      </c>
      <c r="N142" s="3" t="n">
        <v>44870</v>
      </c>
      <c r="O142" s="2" t="n">
        <v>8.07</v>
      </c>
      <c r="P142" s="2" t="n">
        <v>1</v>
      </c>
      <c r="Q142" s="62" t="str">
        <f aca="false">IF(ISBLANK(N142),"",IF(N142&lt;DATE(2023,5,1),"OLD","NEW"))</f>
        <v>OLD</v>
      </c>
      <c r="S142" s="33" t="n">
        <f aca="false">IF(COUNTIF('[1]Plate_1-2_LongFormat'!$A$2:$A$193,G142)&gt;0,1,0)</f>
        <v>1</v>
      </c>
      <c r="T142" s="33" t="n">
        <f aca="false">IF(COUNTIF([2]Attached_indexes!$C$2:$C$193,G142)&gt;0,1,0)</f>
        <v>1</v>
      </c>
      <c r="U142" s="59"/>
      <c r="V142" s="1" t="s">
        <v>982</v>
      </c>
    </row>
    <row r="143" customFormat="false" ht="15.75" hidden="false" customHeight="true" outlineLevel="0" collapsed="false">
      <c r="A143" s="18" t="s">
        <v>302</v>
      </c>
      <c r="B143" s="18" t="s">
        <v>302</v>
      </c>
      <c r="C143" s="18" t="s">
        <v>40</v>
      </c>
      <c r="E143" s="66" t="n">
        <v>9</v>
      </c>
      <c r="F143" s="21" t="str">
        <f aca="false">CONCATENATE(B143,"_",C143, TEXT(E143, "000"))</f>
        <v>BHEB_M. guttatus009</v>
      </c>
      <c r="G143" s="21" t="s">
        <v>322</v>
      </c>
      <c r="H143" s="18" t="n">
        <v>1</v>
      </c>
      <c r="I143" s="22" t="n">
        <v>44673</v>
      </c>
      <c r="J143" s="2" t="s">
        <v>981</v>
      </c>
      <c r="L143" s="2" t="n">
        <v>1</v>
      </c>
      <c r="M143" s="2" t="n">
        <v>1</v>
      </c>
      <c r="N143" s="3" t="n">
        <v>44870</v>
      </c>
      <c r="O143" s="2" t="n">
        <v>7.67</v>
      </c>
      <c r="P143" s="2" t="n">
        <v>1</v>
      </c>
      <c r="Q143" s="62" t="str">
        <f aca="false">IF(ISBLANK(N143),"",IF(N143&lt;DATE(2023,5,1),"OLD","NEW"))</f>
        <v>OLD</v>
      </c>
      <c r="R143" s="2" t="s">
        <v>993</v>
      </c>
      <c r="S143" s="33" t="n">
        <f aca="false">IF(COUNTIF('[1]Plate_1-2_LongFormat'!$A$2:$A$193,G143)&gt;0,1,0)</f>
        <v>1</v>
      </c>
      <c r="T143" s="33" t="n">
        <f aca="false">IF(COUNTIF([2]Attached_indexes!$C$2:$C$193,G143)&gt;0,1,0)</f>
        <v>1</v>
      </c>
      <c r="U143" s="59"/>
      <c r="V143" s="1" t="s">
        <v>982</v>
      </c>
    </row>
    <row r="144" customFormat="false" ht="15.75" hidden="false" customHeight="true" outlineLevel="0" collapsed="false">
      <c r="A144" s="18" t="s">
        <v>302</v>
      </c>
      <c r="B144" s="18" t="s">
        <v>302</v>
      </c>
      <c r="C144" s="18" t="s">
        <v>40</v>
      </c>
      <c r="E144" s="66" t="n">
        <v>9</v>
      </c>
      <c r="F144" s="21" t="str">
        <f aca="false">CONCATENATE(B144,"_",C144, TEXT(E144, "000"))</f>
        <v>BHEB_M. guttatus009</v>
      </c>
      <c r="G144" s="21" t="s">
        <v>322</v>
      </c>
      <c r="H144" s="18" t="n">
        <v>1</v>
      </c>
      <c r="I144" s="22" t="n">
        <v>44673</v>
      </c>
      <c r="J144" s="2" t="s">
        <v>981</v>
      </c>
      <c r="L144" s="2" t="n">
        <v>1</v>
      </c>
      <c r="M144" s="2" t="n">
        <v>1</v>
      </c>
      <c r="N144" s="3" t="n">
        <v>44870</v>
      </c>
      <c r="O144" s="2" t="n">
        <v>7.67</v>
      </c>
      <c r="P144" s="2" t="n">
        <v>1</v>
      </c>
      <c r="Q144" s="62" t="str">
        <f aca="false">IF(ISBLANK(N144),"",IF(N144&lt;DATE(2023,5,1),"OLD","NEW"))</f>
        <v>OLD</v>
      </c>
      <c r="R144" s="2" t="s">
        <v>993</v>
      </c>
      <c r="S144" s="33" t="n">
        <f aca="false">IF(COUNTIF('[1]Plate_1-2_LongFormat'!$A$2:$A$193,G144)&gt;0,1,0)</f>
        <v>1</v>
      </c>
      <c r="T144" s="33" t="n">
        <f aca="false">IF(COUNTIF([2]Attached_indexes!$C$2:$C$193,G144)&gt;0,1,0)</f>
        <v>1</v>
      </c>
      <c r="U144" s="59"/>
      <c r="V144" s="1" t="s">
        <v>982</v>
      </c>
    </row>
    <row r="145" customFormat="false" ht="15.75" hidden="false" customHeight="true" outlineLevel="0" collapsed="false">
      <c r="A145" s="18" t="s">
        <v>302</v>
      </c>
      <c r="B145" s="18" t="s">
        <v>302</v>
      </c>
      <c r="C145" s="18" t="s">
        <v>40</v>
      </c>
      <c r="E145" s="66" t="n">
        <v>9</v>
      </c>
      <c r="F145" s="21" t="str">
        <f aca="false">CONCATENATE(B145,"_",C145, TEXT(E145, "000"))</f>
        <v>BHEB_M. guttatus009</v>
      </c>
      <c r="G145" s="21" t="s">
        <v>322</v>
      </c>
      <c r="H145" s="18" t="n">
        <v>1</v>
      </c>
      <c r="I145" s="22" t="n">
        <v>44673</v>
      </c>
      <c r="J145" s="2" t="s">
        <v>981</v>
      </c>
      <c r="L145" s="2" t="n">
        <v>1</v>
      </c>
      <c r="M145" s="2" t="n">
        <v>1</v>
      </c>
      <c r="N145" s="3" t="n">
        <v>44870</v>
      </c>
      <c r="O145" s="2" t="n">
        <v>7.67</v>
      </c>
      <c r="P145" s="2" t="n">
        <v>1</v>
      </c>
      <c r="Q145" s="62" t="str">
        <f aca="false">IF(ISBLANK(N145),"",IF(N145&lt;DATE(2023,5,1),"OLD","NEW"))</f>
        <v>OLD</v>
      </c>
      <c r="R145" s="2" t="s">
        <v>993</v>
      </c>
      <c r="S145" s="33" t="n">
        <f aca="false">IF(COUNTIF('[1]Plate_1-2_LongFormat'!$A$2:$A$193,G145)&gt;0,1,0)</f>
        <v>1</v>
      </c>
      <c r="T145" s="33" t="n">
        <f aca="false">IF(COUNTIF([2]Attached_indexes!$C$2:$C$193,G145)&gt;0,1,0)</f>
        <v>1</v>
      </c>
      <c r="U145" s="59"/>
      <c r="V145" s="1" t="s">
        <v>982</v>
      </c>
    </row>
    <row r="146" customFormat="false" ht="15.75" hidden="false" customHeight="true" outlineLevel="0" collapsed="false">
      <c r="A146" s="18" t="s">
        <v>302</v>
      </c>
      <c r="B146" s="18" t="s">
        <v>302</v>
      </c>
      <c r="C146" s="18" t="s">
        <v>159</v>
      </c>
      <c r="E146" s="66" t="n">
        <v>1</v>
      </c>
      <c r="F146" s="21" t="str">
        <f aca="false">CONCATENATE(B146,"_",C146, TEXT(E146, "000"))</f>
        <v>BHEB_M. nasutus001</v>
      </c>
      <c r="G146" s="21" t="s">
        <v>326</v>
      </c>
      <c r="H146" s="18" t="n">
        <v>1</v>
      </c>
      <c r="I146" s="22" t="n">
        <v>44673</v>
      </c>
      <c r="J146" s="2" t="s">
        <v>981</v>
      </c>
      <c r="L146" s="2" t="n">
        <v>1</v>
      </c>
      <c r="M146" s="2" t="n">
        <v>1</v>
      </c>
      <c r="N146" s="3" t="n">
        <v>44961</v>
      </c>
      <c r="O146" s="2" t="n">
        <v>3.75</v>
      </c>
      <c r="P146" s="2" t="n">
        <v>2</v>
      </c>
      <c r="Q146" s="62" t="str">
        <f aca="false">IF(ISBLANK(N146),"",IF(N146&lt;DATE(2023,5,1),"OLD","NEW"))</f>
        <v>OLD</v>
      </c>
      <c r="S146" s="33" t="n">
        <f aca="false">IF(COUNTIF('[1]Plate_1-2_LongFormat'!$A$2:$A$193,G146)&gt;0,1,0)</f>
        <v>1</v>
      </c>
      <c r="T146" s="33" t="n">
        <f aca="false">IF(COUNTIF([2]Attached_indexes!$C$2:$C$193,G146)&gt;0,1,0)</f>
        <v>1</v>
      </c>
      <c r="U146" s="59"/>
      <c r="V146" s="1" t="s">
        <v>982</v>
      </c>
    </row>
    <row r="147" customFormat="false" ht="15.75" hidden="false" customHeight="true" outlineLevel="0" collapsed="false">
      <c r="A147" s="18" t="s">
        <v>302</v>
      </c>
      <c r="B147" s="18" t="s">
        <v>302</v>
      </c>
      <c r="C147" s="18" t="s">
        <v>159</v>
      </c>
      <c r="E147" s="66" t="n">
        <v>1</v>
      </c>
      <c r="F147" s="21" t="str">
        <f aca="false">CONCATENATE(B147,"_",C147, TEXT(E147, "000"))</f>
        <v>BHEB_M. nasutus001</v>
      </c>
      <c r="G147" s="21" t="s">
        <v>326</v>
      </c>
      <c r="H147" s="18" t="n">
        <v>1</v>
      </c>
      <c r="I147" s="22" t="n">
        <v>44673</v>
      </c>
      <c r="J147" s="2" t="s">
        <v>981</v>
      </c>
      <c r="L147" s="2" t="n">
        <v>1</v>
      </c>
      <c r="M147" s="2" t="n">
        <v>1</v>
      </c>
      <c r="N147" s="3" t="n">
        <v>44961</v>
      </c>
      <c r="O147" s="2" t="n">
        <v>3.75</v>
      </c>
      <c r="P147" s="2" t="n">
        <v>2</v>
      </c>
      <c r="Q147" s="62" t="str">
        <f aca="false">IF(ISBLANK(N147),"",IF(N147&lt;DATE(2023,5,1),"OLD","NEW"))</f>
        <v>OLD</v>
      </c>
      <c r="S147" s="33" t="n">
        <f aca="false">IF(COUNTIF('[1]Plate_1-2_LongFormat'!$A$2:$A$193,G147)&gt;0,1,0)</f>
        <v>1</v>
      </c>
      <c r="T147" s="33" t="n">
        <f aca="false">IF(COUNTIF([2]Attached_indexes!$C$2:$C$193,G147)&gt;0,1,0)</f>
        <v>1</v>
      </c>
      <c r="U147" s="59"/>
      <c r="V147" s="1" t="s">
        <v>982</v>
      </c>
    </row>
    <row r="148" customFormat="false" ht="15.75" hidden="false" customHeight="true" outlineLevel="0" collapsed="false">
      <c r="A148" s="18" t="s">
        <v>302</v>
      </c>
      <c r="B148" s="18" t="s">
        <v>302</v>
      </c>
      <c r="C148" s="18" t="s">
        <v>159</v>
      </c>
      <c r="E148" s="66" t="n">
        <v>1</v>
      </c>
      <c r="F148" s="21" t="str">
        <f aca="false">CONCATENATE(B148,"_",C148, TEXT(E148, "000"))</f>
        <v>BHEB_M. nasutus001</v>
      </c>
      <c r="G148" s="21" t="s">
        <v>326</v>
      </c>
      <c r="H148" s="18" t="n">
        <v>1</v>
      </c>
      <c r="I148" s="22" t="n">
        <v>44673</v>
      </c>
      <c r="J148" s="2" t="s">
        <v>981</v>
      </c>
      <c r="L148" s="2" t="n">
        <v>1</v>
      </c>
      <c r="M148" s="2" t="n">
        <v>1</v>
      </c>
      <c r="N148" s="3" t="n">
        <v>44961</v>
      </c>
      <c r="O148" s="2" t="n">
        <v>3.75</v>
      </c>
      <c r="P148" s="2" t="n">
        <v>2</v>
      </c>
      <c r="Q148" s="62" t="str">
        <f aca="false">IF(ISBLANK(N148),"",IF(N148&lt;DATE(2023,5,1),"OLD","NEW"))</f>
        <v>OLD</v>
      </c>
      <c r="S148" s="33" t="n">
        <f aca="false">IF(COUNTIF('[1]Plate_1-2_LongFormat'!$A$2:$A$193,G148)&gt;0,1,0)</f>
        <v>1</v>
      </c>
      <c r="T148" s="33" t="n">
        <f aca="false">IF(COUNTIF([2]Attached_indexes!$C$2:$C$193,G148)&gt;0,1,0)</f>
        <v>1</v>
      </c>
      <c r="U148" s="59"/>
      <c r="V148" s="1" t="s">
        <v>982</v>
      </c>
    </row>
    <row r="149" customFormat="false" ht="15.75" hidden="false" customHeight="true" outlineLevel="0" collapsed="false">
      <c r="A149" s="18" t="s">
        <v>302</v>
      </c>
      <c r="B149" s="18" t="s">
        <v>302</v>
      </c>
      <c r="C149" s="18" t="s">
        <v>159</v>
      </c>
      <c r="E149" s="66" t="n">
        <v>2</v>
      </c>
      <c r="F149" s="21" t="str">
        <f aca="false">CONCATENATE(B149,"_",C149, TEXT(E149, "000"))</f>
        <v>BHEB_M. nasutus002</v>
      </c>
      <c r="G149" s="21" t="s">
        <v>328</v>
      </c>
      <c r="H149" s="18" t="n">
        <v>1</v>
      </c>
      <c r="I149" s="22" t="n">
        <v>44673</v>
      </c>
      <c r="J149" s="2" t="s">
        <v>981</v>
      </c>
      <c r="L149" s="2" t="n">
        <v>1</v>
      </c>
      <c r="M149" s="2" t="n">
        <v>1</v>
      </c>
      <c r="N149" s="3" t="n">
        <v>44799</v>
      </c>
      <c r="O149" s="2" t="n">
        <v>0.659</v>
      </c>
      <c r="P149" s="2" t="n">
        <v>1</v>
      </c>
      <c r="Q149" s="62" t="str">
        <f aca="false">IF(ISBLANK(N149),"",IF(N149&lt;DATE(2023,5,1),"OLD","NEW"))</f>
        <v>OLD</v>
      </c>
      <c r="R149" s="2" t="s">
        <v>994</v>
      </c>
      <c r="S149" s="33" t="n">
        <f aca="false">IF(COUNTIF('[1]Plate_1-2_LongFormat'!$A$2:$A$193,G149)&gt;0,1,0)</f>
        <v>1</v>
      </c>
      <c r="T149" s="33" t="n">
        <f aca="false">IF(COUNTIF([2]Attached_indexes!$C$2:$C$193,G149)&gt;0,1,0)</f>
        <v>1</v>
      </c>
      <c r="U149" s="59"/>
      <c r="V149" s="1" t="s">
        <v>982</v>
      </c>
    </row>
    <row r="150" customFormat="false" ht="15.75" hidden="false" customHeight="true" outlineLevel="0" collapsed="false">
      <c r="A150" s="18" t="s">
        <v>302</v>
      </c>
      <c r="B150" s="18" t="s">
        <v>302</v>
      </c>
      <c r="C150" s="18" t="s">
        <v>159</v>
      </c>
      <c r="E150" s="66" t="n">
        <v>2</v>
      </c>
      <c r="F150" s="21" t="str">
        <f aca="false">CONCATENATE(B150,"_",C150, TEXT(E150, "000"))</f>
        <v>BHEB_M. nasutus002</v>
      </c>
      <c r="G150" s="21" t="s">
        <v>328</v>
      </c>
      <c r="H150" s="18" t="n">
        <v>1</v>
      </c>
      <c r="I150" s="22" t="n">
        <v>44673</v>
      </c>
      <c r="J150" s="2" t="s">
        <v>981</v>
      </c>
      <c r="L150" s="2" t="n">
        <v>1</v>
      </c>
      <c r="M150" s="2" t="n">
        <v>1</v>
      </c>
      <c r="N150" s="3" t="n">
        <v>44799</v>
      </c>
      <c r="O150" s="2" t="n">
        <v>0.659</v>
      </c>
      <c r="P150" s="2" t="n">
        <v>1</v>
      </c>
      <c r="Q150" s="62" t="str">
        <f aca="false">IF(ISBLANK(N150),"",IF(N150&lt;DATE(2023,5,1),"OLD","NEW"))</f>
        <v>OLD</v>
      </c>
      <c r="R150" s="2" t="s">
        <v>994</v>
      </c>
      <c r="S150" s="33" t="n">
        <f aca="false">IF(COUNTIF('[1]Plate_1-2_LongFormat'!$A$2:$A$193,G150)&gt;0,1,0)</f>
        <v>1</v>
      </c>
      <c r="T150" s="33" t="n">
        <f aca="false">IF(COUNTIF([2]Attached_indexes!$C$2:$C$193,G150)&gt;0,1,0)</f>
        <v>1</v>
      </c>
      <c r="U150" s="59"/>
      <c r="V150" s="1" t="s">
        <v>982</v>
      </c>
    </row>
    <row r="151" customFormat="false" ht="15.75" hidden="false" customHeight="true" outlineLevel="0" collapsed="false">
      <c r="A151" s="18" t="s">
        <v>302</v>
      </c>
      <c r="B151" s="18" t="s">
        <v>302</v>
      </c>
      <c r="C151" s="18" t="s">
        <v>159</v>
      </c>
      <c r="E151" s="66" t="n">
        <v>2</v>
      </c>
      <c r="F151" s="21" t="str">
        <f aca="false">CONCATENATE(B151,"_",C151, TEXT(E151, "000"))</f>
        <v>BHEB_M. nasutus002</v>
      </c>
      <c r="G151" s="21" t="s">
        <v>328</v>
      </c>
      <c r="H151" s="18" t="n">
        <v>1</v>
      </c>
      <c r="I151" s="22" t="n">
        <v>44673</v>
      </c>
      <c r="J151" s="2" t="s">
        <v>981</v>
      </c>
      <c r="L151" s="2" t="n">
        <v>1</v>
      </c>
      <c r="M151" s="2" t="n">
        <v>1</v>
      </c>
      <c r="N151" s="3" t="n">
        <v>44799</v>
      </c>
      <c r="O151" s="2" t="n">
        <v>0.659</v>
      </c>
      <c r="P151" s="2" t="n">
        <v>1</v>
      </c>
      <c r="Q151" s="62" t="str">
        <f aca="false">IF(ISBLANK(N151),"",IF(N151&lt;DATE(2023,5,1),"OLD","NEW"))</f>
        <v>OLD</v>
      </c>
      <c r="R151" s="2" t="s">
        <v>994</v>
      </c>
      <c r="S151" s="33" t="n">
        <f aca="false">IF(COUNTIF('[1]Plate_1-2_LongFormat'!$A$2:$A$193,G151)&gt;0,1,0)</f>
        <v>1</v>
      </c>
      <c r="T151" s="33" t="n">
        <f aca="false">IF(COUNTIF([2]Attached_indexes!$C$2:$C$193,G151)&gt;0,1,0)</f>
        <v>1</v>
      </c>
      <c r="U151" s="59"/>
      <c r="V151" s="1" t="s">
        <v>982</v>
      </c>
    </row>
    <row r="152" customFormat="false" ht="15.75" hidden="false" customHeight="true" outlineLevel="0" collapsed="false">
      <c r="A152" s="18" t="s">
        <v>302</v>
      </c>
      <c r="B152" s="18" t="s">
        <v>302</v>
      </c>
      <c r="C152" s="18" t="s">
        <v>159</v>
      </c>
      <c r="E152" s="66" t="n">
        <v>3</v>
      </c>
      <c r="F152" s="21" t="str">
        <f aca="false">CONCATENATE(B152,"_",C152, TEXT(E152, "000"))</f>
        <v>BHEB_M. nasutus003</v>
      </c>
      <c r="G152" s="21" t="s">
        <v>330</v>
      </c>
      <c r="H152" s="18" t="n">
        <v>1</v>
      </c>
      <c r="I152" s="22" t="n">
        <v>44673</v>
      </c>
      <c r="J152" s="2" t="s">
        <v>981</v>
      </c>
      <c r="L152" s="2" t="n">
        <v>1</v>
      </c>
      <c r="M152" s="2" t="n">
        <v>1</v>
      </c>
      <c r="N152" s="3" t="n">
        <v>45056</v>
      </c>
      <c r="O152" s="2" t="n">
        <v>17.7</v>
      </c>
      <c r="P152" s="2" t="n">
        <v>3</v>
      </c>
      <c r="Q152" s="62" t="str">
        <f aca="false">IF(ISBLANK(N152),"",IF(N152&lt;DATE(2023,5,1),"OLD","NEW"))</f>
        <v>NEW</v>
      </c>
      <c r="R152" s="2"/>
      <c r="S152" s="33" t="n">
        <f aca="false">IF(COUNTIF('[1]Plate_1-2_LongFormat'!$A$2:$A$193,G152)&gt;0,1,0)</f>
        <v>0</v>
      </c>
      <c r="T152" s="33" t="n">
        <f aca="false">IF(COUNTIF([2]Attached_indexes!$C$2:$C$193,G152)&gt;0,1,0)</f>
        <v>0</v>
      </c>
      <c r="U152" s="59"/>
      <c r="V152" s="1" t="s">
        <v>982</v>
      </c>
    </row>
    <row r="153" customFormat="false" ht="15.75" hidden="false" customHeight="true" outlineLevel="0" collapsed="false">
      <c r="A153" s="18" t="s">
        <v>302</v>
      </c>
      <c r="B153" s="18" t="s">
        <v>302</v>
      </c>
      <c r="C153" s="18" t="s">
        <v>159</v>
      </c>
      <c r="E153" s="66" t="n">
        <v>3</v>
      </c>
      <c r="F153" s="21" t="str">
        <f aca="false">CONCATENATE(B153,"_",C153, TEXT(E153, "000"))</f>
        <v>BHEB_M. nasutus003</v>
      </c>
      <c r="G153" s="21" t="s">
        <v>330</v>
      </c>
      <c r="H153" s="18" t="n">
        <v>1</v>
      </c>
      <c r="I153" s="22" t="n">
        <v>44673</v>
      </c>
      <c r="J153" s="2" t="s">
        <v>981</v>
      </c>
      <c r="L153" s="2" t="n">
        <v>1</v>
      </c>
      <c r="M153" s="2" t="n">
        <v>1</v>
      </c>
      <c r="N153" s="3" t="n">
        <v>45056</v>
      </c>
      <c r="O153" s="2" t="n">
        <v>17.7</v>
      </c>
      <c r="P153" s="2" t="n">
        <v>3</v>
      </c>
      <c r="Q153" s="62" t="str">
        <f aca="false">IF(ISBLANK(N153),"",IF(N153&lt;DATE(2023,5,1),"OLD","NEW"))</f>
        <v>NEW</v>
      </c>
      <c r="R153" s="2"/>
      <c r="S153" s="33" t="n">
        <f aca="false">IF(COUNTIF('[1]Plate_1-2_LongFormat'!$A$2:$A$193,G153)&gt;0,1,0)</f>
        <v>0</v>
      </c>
      <c r="T153" s="33" t="n">
        <f aca="false">IF(COUNTIF([2]Attached_indexes!$C$2:$C$193,G153)&gt;0,1,0)</f>
        <v>0</v>
      </c>
      <c r="U153" s="59"/>
      <c r="V153" s="1" t="s">
        <v>982</v>
      </c>
    </row>
    <row r="154" customFormat="false" ht="15.75" hidden="false" customHeight="true" outlineLevel="0" collapsed="false">
      <c r="A154" s="18" t="s">
        <v>302</v>
      </c>
      <c r="B154" s="18" t="s">
        <v>302</v>
      </c>
      <c r="C154" s="18" t="s">
        <v>159</v>
      </c>
      <c r="E154" s="66" t="n">
        <v>3</v>
      </c>
      <c r="F154" s="21" t="str">
        <f aca="false">CONCATENATE(B154,"_",C154, TEXT(E154, "000"))</f>
        <v>BHEB_M. nasutus003</v>
      </c>
      <c r="G154" s="21" t="s">
        <v>330</v>
      </c>
      <c r="H154" s="18" t="n">
        <v>1</v>
      </c>
      <c r="I154" s="22" t="n">
        <v>44673</v>
      </c>
      <c r="J154" s="2" t="s">
        <v>981</v>
      </c>
      <c r="L154" s="2" t="n">
        <v>1</v>
      </c>
      <c r="M154" s="2" t="n">
        <v>1</v>
      </c>
      <c r="N154" s="3" t="n">
        <v>45056</v>
      </c>
      <c r="O154" s="2" t="n">
        <v>17.7</v>
      </c>
      <c r="P154" s="2" t="n">
        <v>3</v>
      </c>
      <c r="Q154" s="62" t="str">
        <f aca="false">IF(ISBLANK(N154),"",IF(N154&lt;DATE(2023,5,1),"OLD","NEW"))</f>
        <v>NEW</v>
      </c>
      <c r="R154" s="2"/>
      <c r="S154" s="33" t="n">
        <f aca="false">IF(COUNTIF('[1]Plate_1-2_LongFormat'!$A$2:$A$193,G154)&gt;0,1,0)</f>
        <v>0</v>
      </c>
      <c r="T154" s="33" t="n">
        <f aca="false">IF(COUNTIF([2]Attached_indexes!$C$2:$C$193,G154)&gt;0,1,0)</f>
        <v>0</v>
      </c>
      <c r="U154" s="59"/>
      <c r="V154" s="1" t="s">
        <v>982</v>
      </c>
    </row>
    <row r="155" customFormat="false" ht="15.75" hidden="false" customHeight="true" outlineLevel="0" collapsed="false">
      <c r="A155" s="18" t="s">
        <v>302</v>
      </c>
      <c r="B155" s="18" t="s">
        <v>302</v>
      </c>
      <c r="C155" s="18" t="s">
        <v>159</v>
      </c>
      <c r="E155" s="66" t="n">
        <v>4</v>
      </c>
      <c r="F155" s="21" t="str">
        <f aca="false">CONCATENATE(B155,"_",C155, TEXT(E155, "000"))</f>
        <v>BHEB_M. nasutus004</v>
      </c>
      <c r="G155" s="21" t="s">
        <v>332</v>
      </c>
      <c r="H155" s="18" t="n">
        <v>1</v>
      </c>
      <c r="I155" s="22" t="n">
        <v>44673</v>
      </c>
      <c r="J155" s="2" t="s">
        <v>981</v>
      </c>
      <c r="L155" s="2" t="n">
        <v>1</v>
      </c>
      <c r="M155" s="2" t="n">
        <v>1</v>
      </c>
      <c r="N155" s="3" t="n">
        <v>44870</v>
      </c>
      <c r="O155" s="2" t="n">
        <v>1.33</v>
      </c>
      <c r="P155" s="2" t="n">
        <v>1</v>
      </c>
      <c r="Q155" s="62" t="str">
        <f aca="false">IF(ISBLANK(N155),"",IF(N155&lt;DATE(2023,5,1),"OLD","NEW"))</f>
        <v>OLD</v>
      </c>
      <c r="S155" s="33" t="n">
        <f aca="false">IF(COUNTIF('[1]Plate_1-2_LongFormat'!$A$2:$A$193,G155)&gt;0,1,0)</f>
        <v>1</v>
      </c>
      <c r="T155" s="33" t="n">
        <f aca="false">IF(COUNTIF([2]Attached_indexes!$C$2:$C$193,G155)&gt;0,1,0)</f>
        <v>1</v>
      </c>
      <c r="U155" s="59"/>
      <c r="V155" s="1" t="s">
        <v>982</v>
      </c>
    </row>
    <row r="156" customFormat="false" ht="15.75" hidden="false" customHeight="true" outlineLevel="0" collapsed="false">
      <c r="A156" s="18" t="s">
        <v>302</v>
      </c>
      <c r="B156" s="18" t="s">
        <v>302</v>
      </c>
      <c r="C156" s="18" t="s">
        <v>159</v>
      </c>
      <c r="E156" s="66" t="n">
        <v>4</v>
      </c>
      <c r="F156" s="21" t="str">
        <f aca="false">CONCATENATE(B156,"_",C156, TEXT(E156, "000"))</f>
        <v>BHEB_M. nasutus004</v>
      </c>
      <c r="G156" s="21" t="s">
        <v>332</v>
      </c>
      <c r="H156" s="18" t="n">
        <v>1</v>
      </c>
      <c r="I156" s="22" t="n">
        <v>44673</v>
      </c>
      <c r="J156" s="2" t="s">
        <v>981</v>
      </c>
      <c r="L156" s="2" t="n">
        <v>1</v>
      </c>
      <c r="M156" s="2" t="n">
        <v>1</v>
      </c>
      <c r="N156" s="3" t="n">
        <v>44870</v>
      </c>
      <c r="O156" s="2" t="n">
        <v>1.33</v>
      </c>
      <c r="P156" s="2" t="n">
        <v>1</v>
      </c>
      <c r="Q156" s="62" t="str">
        <f aca="false">IF(ISBLANK(N156),"",IF(N156&lt;DATE(2023,5,1),"OLD","NEW"))</f>
        <v>OLD</v>
      </c>
      <c r="S156" s="33" t="n">
        <f aca="false">IF(COUNTIF('[1]Plate_1-2_LongFormat'!$A$2:$A$193,G156)&gt;0,1,0)</f>
        <v>1</v>
      </c>
      <c r="T156" s="33" t="n">
        <f aca="false">IF(COUNTIF([2]Attached_indexes!$C$2:$C$193,G156)&gt;0,1,0)</f>
        <v>1</v>
      </c>
      <c r="U156" s="59"/>
      <c r="V156" s="1" t="s">
        <v>982</v>
      </c>
    </row>
    <row r="157" customFormat="false" ht="15.75" hidden="false" customHeight="true" outlineLevel="0" collapsed="false">
      <c r="A157" s="18" t="s">
        <v>302</v>
      </c>
      <c r="B157" s="18" t="s">
        <v>302</v>
      </c>
      <c r="C157" s="18" t="s">
        <v>159</v>
      </c>
      <c r="E157" s="66" t="n">
        <v>4</v>
      </c>
      <c r="F157" s="21" t="str">
        <f aca="false">CONCATENATE(B157,"_",C157, TEXT(E157, "000"))</f>
        <v>BHEB_M. nasutus004</v>
      </c>
      <c r="G157" s="21" t="s">
        <v>332</v>
      </c>
      <c r="H157" s="18" t="n">
        <v>1</v>
      </c>
      <c r="I157" s="22" t="n">
        <v>44673</v>
      </c>
      <c r="J157" s="2" t="s">
        <v>981</v>
      </c>
      <c r="L157" s="2" t="n">
        <v>1</v>
      </c>
      <c r="M157" s="2" t="n">
        <v>1</v>
      </c>
      <c r="N157" s="3" t="n">
        <v>44870</v>
      </c>
      <c r="O157" s="2" t="n">
        <v>1.33</v>
      </c>
      <c r="P157" s="2" t="n">
        <v>1</v>
      </c>
      <c r="Q157" s="62" t="str">
        <f aca="false">IF(ISBLANK(N157),"",IF(N157&lt;DATE(2023,5,1),"OLD","NEW"))</f>
        <v>OLD</v>
      </c>
      <c r="S157" s="33" t="n">
        <f aca="false">IF(COUNTIF('[1]Plate_1-2_LongFormat'!$A$2:$A$193,G157)&gt;0,1,0)</f>
        <v>1</v>
      </c>
      <c r="T157" s="33" t="n">
        <f aca="false">IF(COUNTIF([2]Attached_indexes!$C$2:$C$193,G157)&gt;0,1,0)</f>
        <v>1</v>
      </c>
      <c r="U157" s="59"/>
      <c r="V157" s="1" t="s">
        <v>982</v>
      </c>
    </row>
    <row r="158" customFormat="false" ht="15.75" hidden="false" customHeight="true" outlineLevel="0" collapsed="false">
      <c r="A158" s="18" t="s">
        <v>302</v>
      </c>
      <c r="B158" s="18" t="s">
        <v>302</v>
      </c>
      <c r="C158" s="18" t="s">
        <v>159</v>
      </c>
      <c r="E158" s="66" t="n">
        <v>5</v>
      </c>
      <c r="F158" s="21" t="str">
        <f aca="false">CONCATENATE(B158,"_",C158, TEXT(E158, "000"))</f>
        <v>BHEB_M. nasutus005</v>
      </c>
      <c r="G158" s="21" t="s">
        <v>334</v>
      </c>
      <c r="H158" s="18" t="n">
        <v>1</v>
      </c>
      <c r="I158" s="22" t="n">
        <v>44673</v>
      </c>
      <c r="J158" s="2" t="s">
        <v>981</v>
      </c>
      <c r="L158" s="2" t="n">
        <v>1</v>
      </c>
      <c r="M158" s="2" t="n">
        <v>1</v>
      </c>
      <c r="N158" s="3" t="n">
        <v>44799</v>
      </c>
      <c r="O158" s="2" t="n">
        <v>0.94</v>
      </c>
      <c r="P158" s="2" t="n">
        <v>1</v>
      </c>
      <c r="Q158" s="62" t="str">
        <f aca="false">IF(ISBLANK(N158),"",IF(N158&lt;DATE(2023,5,1),"OLD","NEW"))</f>
        <v>OLD</v>
      </c>
      <c r="R158" s="2" t="s">
        <v>995</v>
      </c>
      <c r="S158" s="33" t="n">
        <f aca="false">IF(COUNTIF('[1]Plate_1-2_LongFormat'!$A$2:$A$193,G158)&gt;0,1,0)</f>
        <v>1</v>
      </c>
      <c r="T158" s="33" t="n">
        <f aca="false">IF(COUNTIF([2]Attached_indexes!$C$2:$C$193,G158)&gt;0,1,0)</f>
        <v>1</v>
      </c>
      <c r="U158" s="59"/>
      <c r="V158" s="1" t="s">
        <v>982</v>
      </c>
    </row>
    <row r="159" customFormat="false" ht="15.75" hidden="false" customHeight="true" outlineLevel="0" collapsed="false">
      <c r="A159" s="18" t="s">
        <v>302</v>
      </c>
      <c r="B159" s="18" t="s">
        <v>302</v>
      </c>
      <c r="C159" s="18" t="s">
        <v>159</v>
      </c>
      <c r="E159" s="66" t="n">
        <v>5</v>
      </c>
      <c r="F159" s="21" t="str">
        <f aca="false">CONCATENATE(B159,"_",C159, TEXT(E159, "000"))</f>
        <v>BHEB_M. nasutus005</v>
      </c>
      <c r="G159" s="21" t="s">
        <v>334</v>
      </c>
      <c r="H159" s="18" t="n">
        <v>1</v>
      </c>
      <c r="I159" s="22" t="n">
        <v>44673</v>
      </c>
      <c r="J159" s="2" t="s">
        <v>981</v>
      </c>
      <c r="L159" s="2" t="n">
        <v>1</v>
      </c>
      <c r="M159" s="2" t="n">
        <v>1</v>
      </c>
      <c r="N159" s="3" t="n">
        <v>44799</v>
      </c>
      <c r="O159" s="2" t="n">
        <v>0.94</v>
      </c>
      <c r="P159" s="2" t="n">
        <v>1</v>
      </c>
      <c r="Q159" s="62" t="str">
        <f aca="false">IF(ISBLANK(N159),"",IF(N159&lt;DATE(2023,5,1),"OLD","NEW"))</f>
        <v>OLD</v>
      </c>
      <c r="R159" s="2" t="s">
        <v>995</v>
      </c>
      <c r="S159" s="33" t="n">
        <f aca="false">IF(COUNTIF('[1]Plate_1-2_LongFormat'!$A$2:$A$193,G159)&gt;0,1,0)</f>
        <v>1</v>
      </c>
      <c r="T159" s="33" t="n">
        <f aca="false">IF(COUNTIF([2]Attached_indexes!$C$2:$C$193,G159)&gt;0,1,0)</f>
        <v>1</v>
      </c>
      <c r="U159" s="59"/>
      <c r="V159" s="1" t="s">
        <v>982</v>
      </c>
    </row>
    <row r="160" customFormat="false" ht="15.75" hidden="false" customHeight="true" outlineLevel="0" collapsed="false">
      <c r="A160" s="18" t="s">
        <v>302</v>
      </c>
      <c r="B160" s="18" t="s">
        <v>302</v>
      </c>
      <c r="C160" s="18" t="s">
        <v>159</v>
      </c>
      <c r="E160" s="66" t="n">
        <v>5</v>
      </c>
      <c r="F160" s="21" t="str">
        <f aca="false">CONCATENATE(B160,"_",C160, TEXT(E160, "000"))</f>
        <v>BHEB_M. nasutus005</v>
      </c>
      <c r="G160" s="21" t="s">
        <v>334</v>
      </c>
      <c r="H160" s="18" t="n">
        <v>1</v>
      </c>
      <c r="I160" s="22" t="n">
        <v>44673</v>
      </c>
      <c r="J160" s="2" t="s">
        <v>981</v>
      </c>
      <c r="L160" s="2" t="n">
        <v>1</v>
      </c>
      <c r="M160" s="2" t="n">
        <v>1</v>
      </c>
      <c r="N160" s="3" t="n">
        <v>44799</v>
      </c>
      <c r="O160" s="2" t="n">
        <v>0.94</v>
      </c>
      <c r="P160" s="2" t="n">
        <v>1</v>
      </c>
      <c r="Q160" s="62" t="str">
        <f aca="false">IF(ISBLANK(N160),"",IF(N160&lt;DATE(2023,5,1),"OLD","NEW"))</f>
        <v>OLD</v>
      </c>
      <c r="R160" s="2" t="s">
        <v>995</v>
      </c>
      <c r="S160" s="33" t="n">
        <f aca="false">IF(COUNTIF('[1]Plate_1-2_LongFormat'!$A$2:$A$193,G160)&gt;0,1,0)</f>
        <v>1</v>
      </c>
      <c r="T160" s="33" t="n">
        <f aca="false">IF(COUNTIF([2]Attached_indexes!$C$2:$C$193,G160)&gt;0,1,0)</f>
        <v>1</v>
      </c>
      <c r="U160" s="59"/>
      <c r="V160" s="1" t="s">
        <v>982</v>
      </c>
    </row>
    <row r="161" customFormat="false" ht="15.75" hidden="false" customHeight="true" outlineLevel="0" collapsed="false">
      <c r="A161" s="18" t="s">
        <v>302</v>
      </c>
      <c r="B161" s="18" t="s">
        <v>302</v>
      </c>
      <c r="C161" s="18" t="s">
        <v>159</v>
      </c>
      <c r="E161" s="66" t="n">
        <v>6</v>
      </c>
      <c r="F161" s="21" t="str">
        <f aca="false">CONCATENATE(B161,"_",C161, TEXT(E161, "000"))</f>
        <v>BHEB_M. nasutus006</v>
      </c>
      <c r="G161" s="21" t="s">
        <v>336</v>
      </c>
      <c r="H161" s="18" t="n">
        <v>1</v>
      </c>
      <c r="I161" s="22" t="n">
        <v>44673</v>
      </c>
      <c r="J161" s="2" t="s">
        <v>981</v>
      </c>
      <c r="L161" s="2" t="n">
        <v>1</v>
      </c>
      <c r="M161" s="2" t="n">
        <v>1</v>
      </c>
      <c r="N161" s="3" t="n">
        <v>44870</v>
      </c>
      <c r="O161" s="2" t="n">
        <v>3.27</v>
      </c>
      <c r="P161" s="2" t="n">
        <v>1</v>
      </c>
      <c r="Q161" s="62" t="str">
        <f aca="false">IF(ISBLANK(N161),"",IF(N161&lt;DATE(2023,5,1),"OLD","NEW"))</f>
        <v>OLD</v>
      </c>
      <c r="S161" s="33" t="n">
        <f aca="false">IF(COUNTIF('[1]Plate_1-2_LongFormat'!$A$2:$A$193,G161)&gt;0,1,0)</f>
        <v>1</v>
      </c>
      <c r="T161" s="33" t="n">
        <f aca="false">IF(COUNTIF([2]Attached_indexes!$C$2:$C$193,G161)&gt;0,1,0)</f>
        <v>1</v>
      </c>
      <c r="U161" s="59"/>
      <c r="V161" s="1" t="s">
        <v>982</v>
      </c>
    </row>
    <row r="162" customFormat="false" ht="15.75" hidden="false" customHeight="true" outlineLevel="0" collapsed="false">
      <c r="A162" s="18" t="s">
        <v>302</v>
      </c>
      <c r="B162" s="18" t="s">
        <v>302</v>
      </c>
      <c r="C162" s="18" t="s">
        <v>159</v>
      </c>
      <c r="E162" s="66" t="n">
        <v>6</v>
      </c>
      <c r="F162" s="21" t="str">
        <f aca="false">CONCATENATE(B162,"_",C162, TEXT(E162, "000"))</f>
        <v>BHEB_M. nasutus006</v>
      </c>
      <c r="G162" s="21" t="s">
        <v>336</v>
      </c>
      <c r="H162" s="18" t="n">
        <v>1</v>
      </c>
      <c r="I162" s="22" t="n">
        <v>44673</v>
      </c>
      <c r="J162" s="2" t="s">
        <v>981</v>
      </c>
      <c r="L162" s="2" t="n">
        <v>1</v>
      </c>
      <c r="M162" s="2" t="n">
        <v>1</v>
      </c>
      <c r="N162" s="3" t="n">
        <v>44870</v>
      </c>
      <c r="O162" s="2" t="n">
        <v>3.27</v>
      </c>
      <c r="P162" s="2" t="n">
        <v>1</v>
      </c>
      <c r="Q162" s="62" t="str">
        <f aca="false">IF(ISBLANK(N162),"",IF(N162&lt;DATE(2023,5,1),"OLD","NEW"))</f>
        <v>OLD</v>
      </c>
      <c r="R162" s="2"/>
      <c r="S162" s="33" t="n">
        <f aca="false">IF(COUNTIF('[1]Plate_1-2_LongFormat'!$A$2:$A$193,G162)&gt;0,1,0)</f>
        <v>1</v>
      </c>
      <c r="T162" s="33" t="n">
        <f aca="false">IF(COUNTIF([2]Attached_indexes!$C$2:$C$193,G162)&gt;0,1,0)</f>
        <v>1</v>
      </c>
      <c r="U162" s="59"/>
      <c r="V162" s="1" t="s">
        <v>982</v>
      </c>
    </row>
    <row r="163" customFormat="false" ht="15.75" hidden="false" customHeight="true" outlineLevel="0" collapsed="false">
      <c r="A163" s="18" t="s">
        <v>302</v>
      </c>
      <c r="B163" s="18" t="s">
        <v>302</v>
      </c>
      <c r="C163" s="18" t="s">
        <v>159</v>
      </c>
      <c r="E163" s="66" t="n">
        <v>6</v>
      </c>
      <c r="F163" s="21" t="str">
        <f aca="false">CONCATENATE(B163,"_",C163, TEXT(E163, "000"))</f>
        <v>BHEB_M. nasutus006</v>
      </c>
      <c r="G163" s="21" t="s">
        <v>336</v>
      </c>
      <c r="H163" s="18" t="n">
        <v>1</v>
      </c>
      <c r="I163" s="22" t="n">
        <v>44673</v>
      </c>
      <c r="J163" s="2" t="s">
        <v>981</v>
      </c>
      <c r="L163" s="2" t="n">
        <v>1</v>
      </c>
      <c r="M163" s="2" t="n">
        <v>1</v>
      </c>
      <c r="N163" s="3" t="n">
        <v>44870</v>
      </c>
      <c r="O163" s="2" t="n">
        <v>3.27</v>
      </c>
      <c r="P163" s="2" t="n">
        <v>1</v>
      </c>
      <c r="Q163" s="62" t="str">
        <f aca="false">IF(ISBLANK(N163),"",IF(N163&lt;DATE(2023,5,1),"OLD","NEW"))</f>
        <v>OLD</v>
      </c>
      <c r="R163" s="2"/>
      <c r="S163" s="33" t="n">
        <f aca="false">IF(COUNTIF('[1]Plate_1-2_LongFormat'!$A$2:$A$193,G163)&gt;0,1,0)</f>
        <v>1</v>
      </c>
      <c r="T163" s="33" t="n">
        <f aca="false">IF(COUNTIF([2]Attached_indexes!$C$2:$C$193,G163)&gt;0,1,0)</f>
        <v>1</v>
      </c>
      <c r="U163" s="59"/>
      <c r="V163" s="1" t="s">
        <v>982</v>
      </c>
    </row>
    <row r="164" customFormat="false" ht="15.75" hidden="false" customHeight="true" outlineLevel="0" collapsed="false">
      <c r="A164" s="18" t="s">
        <v>302</v>
      </c>
      <c r="B164" s="18" t="s">
        <v>302</v>
      </c>
      <c r="C164" s="18" t="s">
        <v>159</v>
      </c>
      <c r="E164" s="66" t="n">
        <v>7</v>
      </c>
      <c r="F164" s="21" t="str">
        <f aca="false">CONCATENATE(B164,"_",C164, TEXT(E164, "000"))</f>
        <v>BHEB_M. nasutus007</v>
      </c>
      <c r="G164" s="21" t="s">
        <v>338</v>
      </c>
      <c r="H164" s="18" t="n">
        <v>1</v>
      </c>
      <c r="I164" s="22" t="n">
        <v>44673</v>
      </c>
      <c r="J164" s="2" t="s">
        <v>981</v>
      </c>
      <c r="L164" s="2" t="n">
        <v>1</v>
      </c>
      <c r="M164" s="2" t="n">
        <v>1</v>
      </c>
      <c r="N164" s="3" t="n">
        <v>44999</v>
      </c>
      <c r="O164" s="2" t="n">
        <v>3.8</v>
      </c>
      <c r="P164" s="2" t="n">
        <v>3</v>
      </c>
      <c r="Q164" s="62" t="str">
        <f aca="false">IF(ISBLANK(N164),"",IF(N164&lt;DATE(2023,5,1),"OLD","NEW"))</f>
        <v>OLD</v>
      </c>
      <c r="R164" s="2"/>
      <c r="S164" s="33" t="n">
        <f aca="false">IF(COUNTIF('[1]Plate_1-2_LongFormat'!$A$2:$A$193,G164)&gt;0,1,0)</f>
        <v>1</v>
      </c>
      <c r="T164" s="33" t="n">
        <f aca="false">IF(COUNTIF([2]Attached_indexes!$C$2:$C$193,G164)&gt;0,1,0)</f>
        <v>1</v>
      </c>
      <c r="U164" s="59"/>
      <c r="V164" s="1" t="s">
        <v>982</v>
      </c>
    </row>
    <row r="165" customFormat="false" ht="15.75" hidden="false" customHeight="true" outlineLevel="0" collapsed="false">
      <c r="A165" s="18" t="s">
        <v>302</v>
      </c>
      <c r="B165" s="18" t="s">
        <v>302</v>
      </c>
      <c r="C165" s="18" t="s">
        <v>159</v>
      </c>
      <c r="E165" s="66" t="n">
        <v>7</v>
      </c>
      <c r="F165" s="21" t="str">
        <f aca="false">CONCATENATE(B165,"_",C165, TEXT(E165, "000"))</f>
        <v>BHEB_M. nasutus007</v>
      </c>
      <c r="G165" s="21" t="s">
        <v>338</v>
      </c>
      <c r="H165" s="18" t="n">
        <v>1</v>
      </c>
      <c r="I165" s="22" t="n">
        <v>44673</v>
      </c>
      <c r="J165" s="2" t="s">
        <v>981</v>
      </c>
      <c r="L165" s="2" t="n">
        <v>1</v>
      </c>
      <c r="M165" s="2" t="n">
        <v>1</v>
      </c>
      <c r="N165" s="3" t="n">
        <v>44999</v>
      </c>
      <c r="O165" s="2" t="n">
        <v>3.8</v>
      </c>
      <c r="P165" s="2" t="n">
        <v>3</v>
      </c>
      <c r="Q165" s="62" t="str">
        <f aca="false">IF(ISBLANK(N165),"",IF(N165&lt;DATE(2023,5,1),"OLD","NEW"))</f>
        <v>OLD</v>
      </c>
      <c r="R165" s="2"/>
      <c r="S165" s="33" t="n">
        <f aca="false">IF(COUNTIF('[1]Plate_1-2_LongFormat'!$A$2:$A$193,G165)&gt;0,1,0)</f>
        <v>1</v>
      </c>
      <c r="T165" s="33" t="n">
        <f aca="false">IF(COUNTIF([2]Attached_indexes!$C$2:$C$193,G165)&gt;0,1,0)</f>
        <v>1</v>
      </c>
      <c r="U165" s="59"/>
      <c r="V165" s="1" t="s">
        <v>982</v>
      </c>
    </row>
    <row r="166" customFormat="false" ht="15.75" hidden="false" customHeight="true" outlineLevel="0" collapsed="false">
      <c r="A166" s="18" t="s">
        <v>302</v>
      </c>
      <c r="B166" s="18" t="s">
        <v>302</v>
      </c>
      <c r="C166" s="18" t="s">
        <v>159</v>
      </c>
      <c r="E166" s="66" t="n">
        <v>7</v>
      </c>
      <c r="F166" s="21" t="str">
        <f aca="false">CONCATENATE(B166,"_",C166, TEXT(E166, "000"))</f>
        <v>BHEB_M. nasutus007</v>
      </c>
      <c r="G166" s="21" t="s">
        <v>338</v>
      </c>
      <c r="H166" s="18" t="n">
        <v>1</v>
      </c>
      <c r="I166" s="22" t="n">
        <v>44673</v>
      </c>
      <c r="J166" s="2" t="s">
        <v>981</v>
      </c>
      <c r="L166" s="2" t="n">
        <v>1</v>
      </c>
      <c r="M166" s="2" t="n">
        <v>1</v>
      </c>
      <c r="N166" s="3" t="n">
        <v>44999</v>
      </c>
      <c r="O166" s="2" t="n">
        <v>3.8</v>
      </c>
      <c r="P166" s="2" t="n">
        <v>3</v>
      </c>
      <c r="Q166" s="62" t="str">
        <f aca="false">IF(ISBLANK(N166),"",IF(N166&lt;DATE(2023,5,1),"OLD","NEW"))</f>
        <v>OLD</v>
      </c>
      <c r="R166" s="2"/>
      <c r="S166" s="33" t="n">
        <f aca="false">IF(COUNTIF('[1]Plate_1-2_LongFormat'!$A$2:$A$193,G166)&gt;0,1,0)</f>
        <v>1</v>
      </c>
      <c r="T166" s="33" t="n">
        <f aca="false">IF(COUNTIF([2]Attached_indexes!$C$2:$C$193,G166)&gt;0,1,0)</f>
        <v>1</v>
      </c>
      <c r="U166" s="59"/>
      <c r="V166" s="1" t="s">
        <v>982</v>
      </c>
    </row>
    <row r="167" customFormat="false" ht="15.75" hidden="false" customHeight="true" outlineLevel="0" collapsed="false">
      <c r="A167" s="18" t="s">
        <v>302</v>
      </c>
      <c r="B167" s="18" t="s">
        <v>302</v>
      </c>
      <c r="C167" s="18" t="s">
        <v>159</v>
      </c>
      <c r="E167" s="66" t="n">
        <v>8</v>
      </c>
      <c r="F167" s="21" t="str">
        <f aca="false">CONCATENATE(B167,"_",C167, TEXT(E167, "000"))</f>
        <v>BHEB_M. nasutus008</v>
      </c>
      <c r="G167" s="21" t="s">
        <v>340</v>
      </c>
      <c r="H167" s="18" t="n">
        <v>1</v>
      </c>
      <c r="I167" s="22" t="n">
        <v>44673</v>
      </c>
      <c r="J167" s="2" t="s">
        <v>981</v>
      </c>
      <c r="K167" s="2" t="s">
        <v>996</v>
      </c>
      <c r="L167" s="2" t="n">
        <v>1</v>
      </c>
      <c r="M167" s="2" t="n">
        <v>1</v>
      </c>
      <c r="N167" s="3" t="n">
        <v>44938</v>
      </c>
      <c r="O167" s="2" t="n">
        <v>12.6</v>
      </c>
      <c r="P167" s="2" t="n">
        <v>2</v>
      </c>
      <c r="Q167" s="62" t="str">
        <f aca="false">IF(ISBLANK(N167),"",IF(N167&lt;DATE(2023,5,1),"OLD","NEW"))</f>
        <v>OLD</v>
      </c>
      <c r="S167" s="33" t="n">
        <f aca="false">IF(COUNTIF('[1]Plate_1-2_LongFormat'!$A$2:$A$193,G167)&gt;0,1,0)</f>
        <v>1</v>
      </c>
      <c r="T167" s="33" t="n">
        <f aca="false">IF(COUNTIF([2]Attached_indexes!$C$2:$C$193,G167)&gt;0,1,0)</f>
        <v>1</v>
      </c>
      <c r="U167" s="59"/>
      <c r="V167" s="1" t="s">
        <v>982</v>
      </c>
    </row>
    <row r="168" customFormat="false" ht="15.75" hidden="false" customHeight="true" outlineLevel="0" collapsed="false">
      <c r="A168" s="18" t="s">
        <v>302</v>
      </c>
      <c r="B168" s="18" t="s">
        <v>302</v>
      </c>
      <c r="C168" s="18" t="s">
        <v>159</v>
      </c>
      <c r="E168" s="66" t="n">
        <v>8</v>
      </c>
      <c r="F168" s="21" t="str">
        <f aca="false">CONCATENATE(B168,"_",C168, TEXT(E168, "000"))</f>
        <v>BHEB_M. nasutus008</v>
      </c>
      <c r="G168" s="21" t="s">
        <v>340</v>
      </c>
      <c r="H168" s="18" t="n">
        <v>1</v>
      </c>
      <c r="I168" s="22" t="n">
        <v>44673</v>
      </c>
      <c r="J168" s="2" t="s">
        <v>981</v>
      </c>
      <c r="K168" s="2" t="s">
        <v>996</v>
      </c>
      <c r="L168" s="2" t="n">
        <v>1</v>
      </c>
      <c r="M168" s="2" t="n">
        <v>1</v>
      </c>
      <c r="N168" s="3" t="n">
        <v>44938</v>
      </c>
      <c r="O168" s="2" t="n">
        <v>12.6</v>
      </c>
      <c r="P168" s="2" t="n">
        <v>2</v>
      </c>
      <c r="Q168" s="62" t="str">
        <f aca="false">IF(ISBLANK(N168),"",IF(N168&lt;DATE(2023,5,1),"OLD","NEW"))</f>
        <v>OLD</v>
      </c>
      <c r="S168" s="33" t="n">
        <f aca="false">IF(COUNTIF('[1]Plate_1-2_LongFormat'!$A$2:$A$193,G168)&gt;0,1,0)</f>
        <v>1</v>
      </c>
      <c r="T168" s="33" t="n">
        <f aca="false">IF(COUNTIF([2]Attached_indexes!$C$2:$C$193,G168)&gt;0,1,0)</f>
        <v>1</v>
      </c>
      <c r="U168" s="59"/>
      <c r="V168" s="1" t="s">
        <v>982</v>
      </c>
    </row>
    <row r="169" customFormat="false" ht="15.75" hidden="false" customHeight="true" outlineLevel="0" collapsed="false">
      <c r="A169" s="18" t="s">
        <v>302</v>
      </c>
      <c r="B169" s="18" t="s">
        <v>302</v>
      </c>
      <c r="C169" s="18" t="s">
        <v>159</v>
      </c>
      <c r="E169" s="66" t="n">
        <v>8</v>
      </c>
      <c r="F169" s="21" t="str">
        <f aca="false">CONCATENATE(B169,"_",C169, TEXT(E169, "000"))</f>
        <v>BHEB_M. nasutus008</v>
      </c>
      <c r="G169" s="21" t="s">
        <v>340</v>
      </c>
      <c r="H169" s="18" t="n">
        <v>1</v>
      </c>
      <c r="I169" s="22" t="n">
        <v>44673</v>
      </c>
      <c r="J169" s="2" t="s">
        <v>981</v>
      </c>
      <c r="K169" s="2" t="s">
        <v>996</v>
      </c>
      <c r="L169" s="2" t="n">
        <v>1</v>
      </c>
      <c r="M169" s="2" t="n">
        <v>1</v>
      </c>
      <c r="N169" s="3" t="n">
        <v>44938</v>
      </c>
      <c r="O169" s="2" t="n">
        <v>12.6</v>
      </c>
      <c r="P169" s="2" t="n">
        <v>2</v>
      </c>
      <c r="Q169" s="62" t="str">
        <f aca="false">IF(ISBLANK(N169),"",IF(N169&lt;DATE(2023,5,1),"OLD","NEW"))</f>
        <v>OLD</v>
      </c>
      <c r="S169" s="33" t="n">
        <f aca="false">IF(COUNTIF('[1]Plate_1-2_LongFormat'!$A$2:$A$193,G169)&gt;0,1,0)</f>
        <v>1</v>
      </c>
      <c r="T169" s="33" t="n">
        <f aca="false">IF(COUNTIF([2]Attached_indexes!$C$2:$C$193,G169)&gt;0,1,0)</f>
        <v>1</v>
      </c>
      <c r="U169" s="59"/>
      <c r="V169" s="1" t="s">
        <v>982</v>
      </c>
    </row>
    <row r="170" customFormat="false" ht="15.75" hidden="false" customHeight="true" outlineLevel="0" collapsed="false">
      <c r="A170" s="18" t="s">
        <v>776</v>
      </c>
      <c r="B170" s="18" t="s">
        <v>776</v>
      </c>
      <c r="C170" s="18" t="s">
        <v>40</v>
      </c>
      <c r="D170" s="2"/>
      <c r="E170" s="60" t="n">
        <v>1</v>
      </c>
      <c r="F170" s="21" t="str">
        <f aca="false">CONCATENATE(B170,"_",C170,TEXT(E170, "000"))</f>
        <v>BMLZ_M. guttatus001</v>
      </c>
      <c r="G170" s="21" t="s">
        <v>51</v>
      </c>
      <c r="H170" s="18" t="n">
        <v>1</v>
      </c>
      <c r="I170" s="22" t="n">
        <v>44321</v>
      </c>
      <c r="J170" s="2"/>
      <c r="K170" s="2"/>
      <c r="L170" s="2" t="n">
        <v>1</v>
      </c>
      <c r="M170" s="2" t="n">
        <v>1</v>
      </c>
      <c r="N170" s="3" t="n">
        <v>45077</v>
      </c>
      <c r="O170" s="2" t="n">
        <v>31.5</v>
      </c>
      <c r="P170" s="2" t="n">
        <v>4</v>
      </c>
      <c r="Q170" s="62" t="str">
        <f aca="false">IF(ISBLANK(N170),"",IF(N170&lt;DATE(2023,5,1),"OLD","NEW"))</f>
        <v>NEW</v>
      </c>
      <c r="R170" s="2"/>
      <c r="S170" s="33" t="n">
        <v>0</v>
      </c>
      <c r="T170" s="33" t="n">
        <v>0</v>
      </c>
      <c r="U170" s="59"/>
      <c r="V170" s="1" t="s">
        <v>982</v>
      </c>
      <c r="W170" s="2"/>
      <c r="X170" s="2"/>
      <c r="Y170" s="2"/>
      <c r="Z170" s="2"/>
    </row>
    <row r="171" customFormat="false" ht="15.75" hidden="false" customHeight="true" outlineLevel="0" collapsed="false">
      <c r="A171" s="18" t="s">
        <v>776</v>
      </c>
      <c r="B171" s="18" t="s">
        <v>776</v>
      </c>
      <c r="C171" s="18" t="s">
        <v>40</v>
      </c>
      <c r="D171" s="2"/>
      <c r="E171" s="60" t="n">
        <v>1</v>
      </c>
      <c r="F171" s="21" t="str">
        <f aca="false">CONCATENATE(B171,"_",C171,TEXT(E171, "000"))</f>
        <v>BMLZ_M. guttatus001</v>
      </c>
      <c r="G171" s="21" t="s">
        <v>51</v>
      </c>
      <c r="H171" s="18" t="n">
        <v>1</v>
      </c>
      <c r="I171" s="22" t="n">
        <v>44321</v>
      </c>
      <c r="J171" s="2"/>
      <c r="K171" s="2"/>
      <c r="L171" s="2" t="n">
        <v>1</v>
      </c>
      <c r="M171" s="2" t="n">
        <v>1</v>
      </c>
      <c r="N171" s="3" t="n">
        <v>45077</v>
      </c>
      <c r="O171" s="2" t="n">
        <v>31.5</v>
      </c>
      <c r="P171" s="2" t="n">
        <v>4</v>
      </c>
      <c r="Q171" s="62" t="str">
        <f aca="false">IF(ISBLANK(N171),"",IF(N171&lt;DATE(2023,5,1),"OLD","NEW"))</f>
        <v>NEW</v>
      </c>
      <c r="R171" s="2"/>
      <c r="S171" s="33" t="n">
        <v>0</v>
      </c>
      <c r="T171" s="33" t="n">
        <v>0</v>
      </c>
      <c r="U171" s="59"/>
      <c r="V171" s="1" t="s">
        <v>982</v>
      </c>
      <c r="W171" s="2"/>
      <c r="X171" s="2"/>
      <c r="Y171" s="2"/>
      <c r="Z171" s="2"/>
    </row>
    <row r="172" customFormat="false" ht="15.75" hidden="false" customHeight="true" outlineLevel="0" collapsed="false">
      <c r="A172" s="18" t="s">
        <v>776</v>
      </c>
      <c r="B172" s="18" t="s">
        <v>776</v>
      </c>
      <c r="C172" s="18" t="s">
        <v>40</v>
      </c>
      <c r="D172" s="2"/>
      <c r="E172" s="60" t="n">
        <v>1</v>
      </c>
      <c r="F172" s="21" t="str">
        <f aca="false">CONCATENATE(B172,"_",C172,TEXT(E172, "000"))</f>
        <v>BMLZ_M. guttatus001</v>
      </c>
      <c r="G172" s="21" t="s">
        <v>51</v>
      </c>
      <c r="H172" s="18" t="n">
        <v>1</v>
      </c>
      <c r="I172" s="22" t="n">
        <v>44321</v>
      </c>
      <c r="J172" s="2"/>
      <c r="K172" s="2"/>
      <c r="L172" s="2" t="n">
        <v>1</v>
      </c>
      <c r="M172" s="2" t="n">
        <v>1</v>
      </c>
      <c r="N172" s="3" t="n">
        <v>45077</v>
      </c>
      <c r="O172" s="2" t="n">
        <v>31.5</v>
      </c>
      <c r="P172" s="2" t="n">
        <v>4</v>
      </c>
      <c r="Q172" s="62" t="str">
        <f aca="false">IF(ISBLANK(N172),"",IF(N172&lt;DATE(2023,5,1),"OLD","NEW"))</f>
        <v>NEW</v>
      </c>
      <c r="R172" s="2"/>
      <c r="S172" s="33" t="n">
        <v>0</v>
      </c>
      <c r="T172" s="33" t="n">
        <v>0</v>
      </c>
      <c r="U172" s="59"/>
      <c r="V172" s="1" t="s">
        <v>982</v>
      </c>
      <c r="W172" s="2"/>
      <c r="X172" s="2"/>
      <c r="Y172" s="2"/>
      <c r="Z172" s="2"/>
    </row>
    <row r="173" customFormat="false" ht="15.75" hidden="false" customHeight="true" outlineLevel="0" collapsed="false">
      <c r="A173" s="18" t="s">
        <v>776</v>
      </c>
      <c r="B173" s="18" t="s">
        <v>776</v>
      </c>
      <c r="C173" s="18" t="s">
        <v>40</v>
      </c>
      <c r="D173" s="2"/>
      <c r="E173" s="60" t="n">
        <v>2</v>
      </c>
      <c r="F173" s="21" t="str">
        <f aca="false">CONCATENATE(B173,"_",C173,TEXT(E173, "000"))</f>
        <v>BMLZ_M. guttatus002</v>
      </c>
      <c r="G173" s="21" t="s">
        <v>58</v>
      </c>
      <c r="H173" s="18" t="n">
        <v>1</v>
      </c>
      <c r="I173" s="22" t="n">
        <v>44321</v>
      </c>
      <c r="J173" s="2"/>
      <c r="K173" s="2"/>
      <c r="L173" s="2" t="n">
        <v>1</v>
      </c>
      <c r="M173" s="2" t="n">
        <v>1</v>
      </c>
      <c r="N173" s="3" t="n">
        <v>45076</v>
      </c>
      <c r="O173" s="2" t="n">
        <v>29.5</v>
      </c>
      <c r="P173" s="2" t="n">
        <v>4</v>
      </c>
      <c r="Q173" s="62" t="str">
        <f aca="false">IF(ISBLANK(N173),"",IF(N173&lt;DATE(2023,5,1),"OLD","NEW"))</f>
        <v>NEW</v>
      </c>
      <c r="R173" s="2"/>
      <c r="S173" s="33" t="n">
        <v>0</v>
      </c>
      <c r="T173" s="33" t="n">
        <v>0</v>
      </c>
      <c r="U173" s="59"/>
      <c r="V173" s="1" t="s">
        <v>982</v>
      </c>
      <c r="W173" s="2"/>
      <c r="X173" s="2"/>
      <c r="Y173" s="2"/>
      <c r="Z173" s="2"/>
    </row>
    <row r="174" customFormat="false" ht="15.75" hidden="false" customHeight="true" outlineLevel="0" collapsed="false">
      <c r="A174" s="18" t="s">
        <v>776</v>
      </c>
      <c r="B174" s="18" t="s">
        <v>776</v>
      </c>
      <c r="C174" s="18" t="s">
        <v>40</v>
      </c>
      <c r="D174" s="2"/>
      <c r="E174" s="60" t="n">
        <v>2</v>
      </c>
      <c r="F174" s="21" t="str">
        <f aca="false">CONCATENATE(B174,"_",C174,TEXT(E174, "000"))</f>
        <v>BMLZ_M. guttatus002</v>
      </c>
      <c r="G174" s="21" t="s">
        <v>58</v>
      </c>
      <c r="H174" s="18" t="n">
        <v>1</v>
      </c>
      <c r="I174" s="22" t="n">
        <v>44321</v>
      </c>
      <c r="J174" s="2"/>
      <c r="K174" s="2"/>
      <c r="L174" s="2" t="n">
        <v>1</v>
      </c>
      <c r="M174" s="2" t="n">
        <v>1</v>
      </c>
      <c r="N174" s="3" t="n">
        <v>45076</v>
      </c>
      <c r="O174" s="2" t="n">
        <v>29.5</v>
      </c>
      <c r="P174" s="2" t="n">
        <v>4</v>
      </c>
      <c r="Q174" s="62" t="str">
        <f aca="false">IF(ISBLANK(N174),"",IF(N174&lt;DATE(2023,5,1),"OLD","NEW"))</f>
        <v>NEW</v>
      </c>
      <c r="R174" s="2"/>
      <c r="S174" s="33" t="n">
        <v>0</v>
      </c>
      <c r="T174" s="33" t="n">
        <v>0</v>
      </c>
      <c r="U174" s="59"/>
      <c r="V174" s="1" t="s">
        <v>982</v>
      </c>
      <c r="W174" s="2"/>
      <c r="X174" s="2"/>
      <c r="Y174" s="2"/>
      <c r="Z174" s="2"/>
    </row>
    <row r="175" customFormat="false" ht="15.75" hidden="false" customHeight="true" outlineLevel="0" collapsed="false">
      <c r="A175" s="18" t="s">
        <v>776</v>
      </c>
      <c r="B175" s="18" t="s">
        <v>776</v>
      </c>
      <c r="C175" s="18" t="s">
        <v>40</v>
      </c>
      <c r="D175" s="2"/>
      <c r="E175" s="60" t="n">
        <v>2</v>
      </c>
      <c r="F175" s="21" t="str">
        <f aca="false">CONCATENATE(B175,"_",C175,TEXT(E175, "000"))</f>
        <v>BMLZ_M. guttatus002</v>
      </c>
      <c r="G175" s="21" t="s">
        <v>58</v>
      </c>
      <c r="H175" s="18" t="n">
        <v>1</v>
      </c>
      <c r="I175" s="22" t="n">
        <v>44321</v>
      </c>
      <c r="J175" s="2"/>
      <c r="K175" s="2"/>
      <c r="L175" s="2" t="n">
        <v>1</v>
      </c>
      <c r="M175" s="2" t="n">
        <v>1</v>
      </c>
      <c r="N175" s="3" t="n">
        <v>45076</v>
      </c>
      <c r="O175" s="2" t="n">
        <v>29.5</v>
      </c>
      <c r="P175" s="2" t="n">
        <v>4</v>
      </c>
      <c r="Q175" s="62" t="str">
        <f aca="false">IF(ISBLANK(N175),"",IF(N175&lt;DATE(2023,5,1),"OLD","NEW"))</f>
        <v>NEW</v>
      </c>
      <c r="R175" s="2"/>
      <c r="S175" s="33" t="n">
        <v>0</v>
      </c>
      <c r="T175" s="33" t="n">
        <v>0</v>
      </c>
      <c r="U175" s="59"/>
      <c r="V175" s="1" t="s">
        <v>982</v>
      </c>
      <c r="W175" s="2"/>
      <c r="X175" s="2"/>
      <c r="Y175" s="2"/>
      <c r="Z175" s="2"/>
    </row>
    <row r="176" customFormat="false" ht="15.75" hidden="false" customHeight="true" outlineLevel="0" collapsed="false">
      <c r="A176" s="18" t="s">
        <v>776</v>
      </c>
      <c r="B176" s="18" t="s">
        <v>776</v>
      </c>
      <c r="C176" s="18" t="s">
        <v>40</v>
      </c>
      <c r="E176" s="66" t="n">
        <v>3</v>
      </c>
      <c r="F176" s="21" t="str">
        <f aca="false">CONCATENATE(B176,"_",C176,TEXT(E176, "000"))</f>
        <v>BMLZ_M. guttatus003</v>
      </c>
      <c r="G176" s="21" t="s">
        <v>62</v>
      </c>
      <c r="H176" s="18" t="n">
        <v>1</v>
      </c>
      <c r="I176" s="22" t="n">
        <v>44321</v>
      </c>
      <c r="J176" s="2" t="s">
        <v>981</v>
      </c>
      <c r="L176" s="2" t="n">
        <v>1</v>
      </c>
      <c r="M176" s="69" t="n">
        <v>1</v>
      </c>
      <c r="N176" s="3" t="n">
        <v>45077</v>
      </c>
      <c r="O176" s="69" t="n">
        <v>24.2</v>
      </c>
      <c r="P176" s="2" t="n">
        <v>4</v>
      </c>
      <c r="Q176" s="62" t="str">
        <f aca="false">IF(ISBLANK(N176),"",IF(N176&lt;DATE(2023,5,1),"OLD","NEW"))</f>
        <v>NEW</v>
      </c>
      <c r="S176" s="33" t="n">
        <f aca="false">IF(COUNTIF('[1]Plate_1-2_LongFormat'!$A$2:$A$193,G176)&gt;0,1,0)</f>
        <v>0</v>
      </c>
      <c r="T176" s="33" t="n">
        <f aca="false">IF(COUNTIF([2]Attached_indexes!$C$2:$C$193,G176)&gt;0,1,0)</f>
        <v>0</v>
      </c>
      <c r="U176" s="59"/>
      <c r="V176" s="1" t="s">
        <v>982</v>
      </c>
    </row>
    <row r="177" customFormat="false" ht="15.75" hidden="false" customHeight="true" outlineLevel="0" collapsed="false">
      <c r="A177" s="18" t="s">
        <v>776</v>
      </c>
      <c r="B177" s="18" t="s">
        <v>776</v>
      </c>
      <c r="C177" s="18" t="s">
        <v>40</v>
      </c>
      <c r="E177" s="66" t="n">
        <v>3</v>
      </c>
      <c r="F177" s="21" t="str">
        <f aca="false">CONCATENATE(B177,"_",C177,TEXT(E177, "000"))</f>
        <v>BMLZ_M. guttatus003</v>
      </c>
      <c r="G177" s="21" t="s">
        <v>62</v>
      </c>
      <c r="H177" s="18" t="n">
        <v>1</v>
      </c>
      <c r="I177" s="22" t="n">
        <v>44321</v>
      </c>
      <c r="J177" s="2" t="s">
        <v>981</v>
      </c>
      <c r="L177" s="2" t="n">
        <v>1</v>
      </c>
      <c r="M177" s="69" t="n">
        <v>1</v>
      </c>
      <c r="N177" s="3" t="n">
        <v>45077</v>
      </c>
      <c r="O177" s="69" t="n">
        <v>24.2</v>
      </c>
      <c r="P177" s="2" t="n">
        <v>4</v>
      </c>
      <c r="Q177" s="62" t="str">
        <f aca="false">IF(ISBLANK(N177),"",IF(N177&lt;DATE(2023,5,1),"OLD","NEW"))</f>
        <v>NEW</v>
      </c>
      <c r="S177" s="33" t="n">
        <f aca="false">IF(COUNTIF('[1]Plate_1-2_LongFormat'!$A$2:$A$193,G177)&gt;0,1,0)</f>
        <v>0</v>
      </c>
      <c r="T177" s="33" t="n">
        <f aca="false">IF(COUNTIF([2]Attached_indexes!$C$2:$C$193,G177)&gt;0,1,0)</f>
        <v>0</v>
      </c>
      <c r="U177" s="59"/>
      <c r="V177" s="1" t="s">
        <v>982</v>
      </c>
    </row>
    <row r="178" customFormat="false" ht="15.75" hidden="false" customHeight="true" outlineLevel="0" collapsed="false">
      <c r="A178" s="18" t="s">
        <v>776</v>
      </c>
      <c r="B178" s="18" t="s">
        <v>776</v>
      </c>
      <c r="C178" s="18" t="s">
        <v>40</v>
      </c>
      <c r="E178" s="66" t="n">
        <v>3</v>
      </c>
      <c r="F178" s="21" t="str">
        <f aca="false">CONCATENATE(B178,"_",C178,TEXT(E178, "000"))</f>
        <v>BMLZ_M. guttatus003</v>
      </c>
      <c r="G178" s="21" t="s">
        <v>62</v>
      </c>
      <c r="H178" s="18" t="n">
        <v>1</v>
      </c>
      <c r="I178" s="22" t="n">
        <v>44321</v>
      </c>
      <c r="J178" s="2" t="s">
        <v>981</v>
      </c>
      <c r="L178" s="2" t="n">
        <v>1</v>
      </c>
      <c r="M178" s="69" t="n">
        <v>1</v>
      </c>
      <c r="N178" s="3" t="n">
        <v>45077</v>
      </c>
      <c r="O178" s="69" t="n">
        <v>24.2</v>
      </c>
      <c r="P178" s="2" t="n">
        <v>4</v>
      </c>
      <c r="Q178" s="62" t="str">
        <f aca="false">IF(ISBLANK(N178),"",IF(N178&lt;DATE(2023,5,1),"OLD","NEW"))</f>
        <v>NEW</v>
      </c>
      <c r="S178" s="33" t="n">
        <f aca="false">IF(COUNTIF('[1]Plate_1-2_LongFormat'!$A$2:$A$193,G178)&gt;0,1,0)</f>
        <v>0</v>
      </c>
      <c r="T178" s="33" t="n">
        <f aca="false">IF(COUNTIF([2]Attached_indexes!$C$2:$C$193,G178)&gt;0,1,0)</f>
        <v>0</v>
      </c>
      <c r="U178" s="59"/>
      <c r="V178" s="1" t="s">
        <v>982</v>
      </c>
    </row>
    <row r="179" customFormat="false" ht="15.75" hidden="false" customHeight="true" outlineLevel="0" collapsed="false">
      <c r="A179" s="18" t="s">
        <v>776</v>
      </c>
      <c r="B179" s="18" t="s">
        <v>776</v>
      </c>
      <c r="C179" s="18" t="s">
        <v>40</v>
      </c>
      <c r="E179" s="66" t="n">
        <v>4</v>
      </c>
      <c r="F179" s="21" t="str">
        <f aca="false">CONCATENATE(B179,"_",C179,TEXT(E179, "000"))</f>
        <v>BMLZ_M. guttatus004</v>
      </c>
      <c r="G179" s="21" t="s">
        <v>65</v>
      </c>
      <c r="H179" s="18" t="n">
        <v>1</v>
      </c>
      <c r="I179" s="22" t="n">
        <v>44321</v>
      </c>
      <c r="J179" s="2"/>
      <c r="L179" s="2" t="n">
        <v>1</v>
      </c>
      <c r="M179" s="69" t="n">
        <v>1</v>
      </c>
      <c r="N179" s="3" t="n">
        <v>45076</v>
      </c>
      <c r="O179" s="69" t="n">
        <v>37.8</v>
      </c>
      <c r="P179" s="2" t="n">
        <v>4</v>
      </c>
      <c r="Q179" s="62" t="str">
        <f aca="false">IF(ISBLANK(N179),"",IF(N179&lt;DATE(2023,5,1),"OLD","NEW"))</f>
        <v>NEW</v>
      </c>
      <c r="S179" s="33" t="n">
        <f aca="false">IF(COUNTIF('[1]Plate_1-2_LongFormat'!$A$2:$A$193,G179)&gt;0,1,0)</f>
        <v>0</v>
      </c>
      <c r="T179" s="33" t="n">
        <f aca="false">IF(COUNTIF([2]Attached_indexes!$C$2:$C$193,G179)&gt;0,1,0)</f>
        <v>0</v>
      </c>
      <c r="U179" s="59"/>
      <c r="V179" s="1" t="s">
        <v>982</v>
      </c>
    </row>
    <row r="180" customFormat="false" ht="15.75" hidden="false" customHeight="true" outlineLevel="0" collapsed="false">
      <c r="A180" s="18" t="s">
        <v>776</v>
      </c>
      <c r="B180" s="18" t="s">
        <v>776</v>
      </c>
      <c r="C180" s="18" t="s">
        <v>40</v>
      </c>
      <c r="E180" s="66" t="n">
        <v>4</v>
      </c>
      <c r="F180" s="21" t="str">
        <f aca="false">CONCATENATE(B180,"_",C180,TEXT(E180, "000"))</f>
        <v>BMLZ_M. guttatus004</v>
      </c>
      <c r="G180" s="21" t="s">
        <v>65</v>
      </c>
      <c r="H180" s="18" t="n">
        <v>1</v>
      </c>
      <c r="I180" s="22" t="n">
        <v>44321</v>
      </c>
      <c r="J180" s="2"/>
      <c r="L180" s="2" t="n">
        <v>1</v>
      </c>
      <c r="M180" s="69" t="n">
        <v>1</v>
      </c>
      <c r="N180" s="3" t="n">
        <v>45076</v>
      </c>
      <c r="O180" s="69" t="n">
        <v>37.8</v>
      </c>
      <c r="P180" s="2" t="n">
        <v>4</v>
      </c>
      <c r="Q180" s="62" t="str">
        <f aca="false">IF(ISBLANK(N180),"",IF(N180&lt;DATE(2023,5,1),"OLD","NEW"))</f>
        <v>NEW</v>
      </c>
      <c r="S180" s="33" t="n">
        <f aca="false">IF(COUNTIF('[1]Plate_1-2_LongFormat'!$A$2:$A$193,G180)&gt;0,1,0)</f>
        <v>0</v>
      </c>
      <c r="T180" s="33" t="n">
        <f aca="false">IF(COUNTIF([2]Attached_indexes!$C$2:$C$193,G180)&gt;0,1,0)</f>
        <v>0</v>
      </c>
      <c r="U180" s="59"/>
      <c r="V180" s="1" t="s">
        <v>982</v>
      </c>
    </row>
    <row r="181" customFormat="false" ht="15.75" hidden="false" customHeight="true" outlineLevel="0" collapsed="false">
      <c r="A181" s="18" t="s">
        <v>776</v>
      </c>
      <c r="B181" s="18" t="s">
        <v>776</v>
      </c>
      <c r="C181" s="18" t="s">
        <v>40</v>
      </c>
      <c r="E181" s="66" t="n">
        <v>4</v>
      </c>
      <c r="F181" s="21" t="str">
        <f aca="false">CONCATENATE(B181,"_",C181,TEXT(E181, "000"))</f>
        <v>BMLZ_M. guttatus004</v>
      </c>
      <c r="G181" s="21" t="s">
        <v>65</v>
      </c>
      <c r="H181" s="18" t="n">
        <v>1</v>
      </c>
      <c r="I181" s="22" t="n">
        <v>44321</v>
      </c>
      <c r="J181" s="2"/>
      <c r="L181" s="2" t="n">
        <v>1</v>
      </c>
      <c r="M181" s="69" t="n">
        <v>1</v>
      </c>
      <c r="N181" s="3" t="n">
        <v>45076</v>
      </c>
      <c r="O181" s="69" t="n">
        <v>37.8</v>
      </c>
      <c r="P181" s="2" t="n">
        <v>4</v>
      </c>
      <c r="Q181" s="62" t="str">
        <f aca="false">IF(ISBLANK(N181),"",IF(N181&lt;DATE(2023,5,1),"OLD","NEW"))</f>
        <v>NEW</v>
      </c>
      <c r="S181" s="33" t="n">
        <f aca="false">IF(COUNTIF('[1]Plate_1-2_LongFormat'!$A$2:$A$193,G181)&gt;0,1,0)</f>
        <v>0</v>
      </c>
      <c r="T181" s="33" t="n">
        <f aca="false">IF(COUNTIF([2]Attached_indexes!$C$2:$C$193,G181)&gt;0,1,0)</f>
        <v>0</v>
      </c>
      <c r="U181" s="59"/>
      <c r="V181" s="1" t="s">
        <v>982</v>
      </c>
    </row>
    <row r="182" customFormat="false" ht="12" hidden="false" customHeight="true" outlineLevel="0" collapsed="false">
      <c r="A182" s="18" t="s">
        <v>776</v>
      </c>
      <c r="B182" s="18" t="s">
        <v>776</v>
      </c>
      <c r="C182" s="18" t="s">
        <v>40</v>
      </c>
      <c r="E182" s="66" t="n">
        <v>5</v>
      </c>
      <c r="F182" s="21" t="str">
        <f aca="false">CONCATENATE(B182,"_",C182,TEXT(E182, "000"))</f>
        <v>BMLZ_M. guttatus005</v>
      </c>
      <c r="G182" s="21" t="s">
        <v>69</v>
      </c>
      <c r="H182" s="18" t="n">
        <v>1</v>
      </c>
      <c r="I182" s="22" t="n">
        <v>44321</v>
      </c>
      <c r="J182" s="2"/>
      <c r="L182" s="2" t="n">
        <v>1</v>
      </c>
      <c r="M182" s="69" t="n">
        <v>1</v>
      </c>
      <c r="N182" s="3" t="n">
        <v>45077</v>
      </c>
      <c r="O182" s="69" t="n">
        <v>41.6</v>
      </c>
      <c r="P182" s="2" t="n">
        <v>4</v>
      </c>
      <c r="Q182" s="62" t="str">
        <f aca="false">IF(ISBLANK(N182),"",IF(N182&lt;DATE(2023,5,1),"OLD","NEW"))</f>
        <v>NEW</v>
      </c>
      <c r="S182" s="33" t="n">
        <f aca="false">IF(COUNTIF('[1]Plate_1-2_LongFormat'!$A$2:$A$193,G182)&gt;0,1,0)</f>
        <v>0</v>
      </c>
      <c r="T182" s="33" t="n">
        <f aca="false">IF(COUNTIF([2]Attached_indexes!$C$2:$C$193,G182)&gt;0,1,0)</f>
        <v>0</v>
      </c>
      <c r="U182" s="59"/>
      <c r="V182" s="1" t="s">
        <v>982</v>
      </c>
    </row>
    <row r="183" customFormat="false" ht="15.75" hidden="false" customHeight="true" outlineLevel="0" collapsed="false">
      <c r="A183" s="18" t="s">
        <v>776</v>
      </c>
      <c r="B183" s="18" t="s">
        <v>776</v>
      </c>
      <c r="C183" s="18" t="s">
        <v>40</v>
      </c>
      <c r="E183" s="66" t="n">
        <v>5</v>
      </c>
      <c r="F183" s="21" t="str">
        <f aca="false">CONCATENATE(B183,"_",C183,TEXT(E183, "000"))</f>
        <v>BMLZ_M. guttatus005</v>
      </c>
      <c r="G183" s="21" t="s">
        <v>69</v>
      </c>
      <c r="H183" s="18" t="n">
        <v>1</v>
      </c>
      <c r="I183" s="22" t="n">
        <v>44321</v>
      </c>
      <c r="J183" s="2"/>
      <c r="L183" s="2" t="n">
        <v>1</v>
      </c>
      <c r="M183" s="69" t="n">
        <v>1</v>
      </c>
      <c r="N183" s="3" t="n">
        <v>45077</v>
      </c>
      <c r="O183" s="69" t="n">
        <v>41.6</v>
      </c>
      <c r="P183" s="2" t="n">
        <v>4</v>
      </c>
      <c r="Q183" s="62" t="str">
        <f aca="false">IF(ISBLANK(N183),"",IF(N183&lt;DATE(2023,5,1),"OLD","NEW"))</f>
        <v>NEW</v>
      </c>
      <c r="S183" s="33" t="n">
        <f aca="false">IF(COUNTIF('[1]Plate_1-2_LongFormat'!$A$2:$A$193,G183)&gt;0,1,0)</f>
        <v>0</v>
      </c>
      <c r="T183" s="33" t="n">
        <f aca="false">IF(COUNTIF([2]Attached_indexes!$C$2:$C$193,G183)&gt;0,1,0)</f>
        <v>0</v>
      </c>
      <c r="U183" s="59"/>
      <c r="V183" s="1" t="s">
        <v>982</v>
      </c>
    </row>
    <row r="184" customFormat="false" ht="15.75" hidden="false" customHeight="true" outlineLevel="0" collapsed="false">
      <c r="A184" s="18" t="s">
        <v>776</v>
      </c>
      <c r="B184" s="18" t="s">
        <v>776</v>
      </c>
      <c r="C184" s="18" t="s">
        <v>40</v>
      </c>
      <c r="E184" s="66" t="n">
        <v>5</v>
      </c>
      <c r="F184" s="21" t="str">
        <f aca="false">CONCATENATE(B184,"_",C184,TEXT(E184, "000"))</f>
        <v>BMLZ_M. guttatus005</v>
      </c>
      <c r="G184" s="21" t="s">
        <v>69</v>
      </c>
      <c r="H184" s="18" t="n">
        <v>1</v>
      </c>
      <c r="I184" s="22" t="n">
        <v>44321</v>
      </c>
      <c r="J184" s="2"/>
      <c r="L184" s="2" t="n">
        <v>1</v>
      </c>
      <c r="M184" s="69" t="n">
        <v>1</v>
      </c>
      <c r="N184" s="3" t="n">
        <v>45077</v>
      </c>
      <c r="O184" s="69" t="n">
        <v>41.6</v>
      </c>
      <c r="P184" s="2" t="n">
        <v>4</v>
      </c>
      <c r="Q184" s="62" t="str">
        <f aca="false">IF(ISBLANK(N184),"",IF(N184&lt;DATE(2023,5,1),"OLD","NEW"))</f>
        <v>NEW</v>
      </c>
      <c r="S184" s="33" t="n">
        <f aca="false">IF(COUNTIF('[1]Plate_1-2_LongFormat'!$A$2:$A$193,G184)&gt;0,1,0)</f>
        <v>0</v>
      </c>
      <c r="T184" s="33" t="n">
        <f aca="false">IF(COUNTIF([2]Attached_indexes!$C$2:$C$193,G184)&gt;0,1,0)</f>
        <v>0</v>
      </c>
      <c r="U184" s="59"/>
      <c r="V184" s="1" t="s">
        <v>982</v>
      </c>
    </row>
    <row r="185" customFormat="false" ht="15.75" hidden="false" customHeight="true" outlineLevel="0" collapsed="false">
      <c r="A185" s="18" t="s">
        <v>776</v>
      </c>
      <c r="B185" s="18" t="s">
        <v>776</v>
      </c>
      <c r="C185" s="18" t="s">
        <v>31</v>
      </c>
      <c r="E185" s="66" t="n">
        <v>1</v>
      </c>
      <c r="F185" s="21" t="str">
        <f aca="false">CONCATENATE(B185,"_",C185,TEXT(E185, "000"))</f>
        <v>BMLZ_M. laciniatus001</v>
      </c>
      <c r="G185" s="21" t="s">
        <v>113</v>
      </c>
      <c r="H185" s="18" t="n">
        <v>1</v>
      </c>
      <c r="I185" s="22" t="n">
        <v>44321</v>
      </c>
      <c r="J185" s="2" t="s">
        <v>981</v>
      </c>
      <c r="K185" s="2" t="s">
        <v>997</v>
      </c>
      <c r="L185" s="2" t="n">
        <v>1</v>
      </c>
      <c r="M185" s="69" t="n">
        <v>1</v>
      </c>
      <c r="N185" s="3" t="n">
        <v>45076</v>
      </c>
      <c r="O185" s="2" t="n">
        <v>13.9</v>
      </c>
      <c r="P185" s="2" t="n">
        <v>4</v>
      </c>
      <c r="Q185" s="62" t="str">
        <f aca="false">IF(ISBLANK(N185),"",IF(N185&lt;DATE(2023,5,1),"OLD","NEW"))</f>
        <v>NEW</v>
      </c>
      <c r="S185" s="33" t="n">
        <f aca="false">IF(COUNTIF('[1]Plate_1-2_LongFormat'!$A$2:$A$193,G185)&gt;0,1,0)</f>
        <v>0</v>
      </c>
      <c r="T185" s="33" t="n">
        <f aca="false">IF(COUNTIF([2]Attached_indexes!$C$2:$C$193,G185)&gt;0,1,0)</f>
        <v>0</v>
      </c>
      <c r="U185" s="59"/>
      <c r="V185" s="1" t="s">
        <v>982</v>
      </c>
    </row>
    <row r="186" customFormat="false" ht="15.75" hidden="false" customHeight="true" outlineLevel="0" collapsed="false">
      <c r="A186" s="18" t="s">
        <v>776</v>
      </c>
      <c r="B186" s="18" t="s">
        <v>776</v>
      </c>
      <c r="C186" s="18" t="s">
        <v>31</v>
      </c>
      <c r="E186" s="66" t="n">
        <v>1</v>
      </c>
      <c r="F186" s="21" t="str">
        <f aca="false">CONCATENATE(B186,"_",C186,TEXT(E186, "000"))</f>
        <v>BMLZ_M. laciniatus001</v>
      </c>
      <c r="G186" s="21" t="s">
        <v>113</v>
      </c>
      <c r="H186" s="18" t="n">
        <v>1</v>
      </c>
      <c r="I186" s="22" t="n">
        <v>44321</v>
      </c>
      <c r="J186" s="2" t="s">
        <v>981</v>
      </c>
      <c r="K186" s="2" t="s">
        <v>997</v>
      </c>
      <c r="L186" s="2" t="n">
        <v>1</v>
      </c>
      <c r="M186" s="69" t="n">
        <v>1</v>
      </c>
      <c r="N186" s="3" t="n">
        <v>45076</v>
      </c>
      <c r="O186" s="2" t="n">
        <v>13.9</v>
      </c>
      <c r="P186" s="2" t="n">
        <v>4</v>
      </c>
      <c r="Q186" s="62" t="str">
        <f aca="false">IF(ISBLANK(N186),"",IF(N186&lt;DATE(2023,5,1),"OLD","NEW"))</f>
        <v>NEW</v>
      </c>
      <c r="S186" s="33" t="n">
        <f aca="false">IF(COUNTIF('[1]Plate_1-2_LongFormat'!$A$2:$A$193,G186)&gt;0,1,0)</f>
        <v>0</v>
      </c>
      <c r="T186" s="33" t="n">
        <f aca="false">IF(COUNTIF([2]Attached_indexes!$C$2:$C$193,G186)&gt;0,1,0)</f>
        <v>0</v>
      </c>
      <c r="U186" s="59"/>
      <c r="V186" s="1" t="s">
        <v>982</v>
      </c>
    </row>
    <row r="187" customFormat="false" ht="15.75" hidden="false" customHeight="true" outlineLevel="0" collapsed="false">
      <c r="A187" s="18" t="s">
        <v>776</v>
      </c>
      <c r="B187" s="18" t="s">
        <v>776</v>
      </c>
      <c r="C187" s="18" t="s">
        <v>31</v>
      </c>
      <c r="E187" s="66" t="n">
        <v>1</v>
      </c>
      <c r="F187" s="21" t="str">
        <f aca="false">CONCATENATE(B187,"_",C187,TEXT(E187, "000"))</f>
        <v>BMLZ_M. laciniatus001</v>
      </c>
      <c r="G187" s="21" t="s">
        <v>113</v>
      </c>
      <c r="H187" s="18" t="n">
        <v>1</v>
      </c>
      <c r="I187" s="22" t="n">
        <v>44321</v>
      </c>
      <c r="J187" s="2" t="s">
        <v>981</v>
      </c>
      <c r="K187" s="2" t="s">
        <v>997</v>
      </c>
      <c r="L187" s="2" t="n">
        <v>1</v>
      </c>
      <c r="M187" s="69" t="n">
        <v>1</v>
      </c>
      <c r="N187" s="3" t="n">
        <v>45076</v>
      </c>
      <c r="O187" s="2" t="n">
        <v>13.9</v>
      </c>
      <c r="P187" s="2" t="n">
        <v>4</v>
      </c>
      <c r="Q187" s="62" t="str">
        <f aca="false">IF(ISBLANK(N187),"",IF(N187&lt;DATE(2023,5,1),"OLD","NEW"))</f>
        <v>NEW</v>
      </c>
      <c r="S187" s="33" t="n">
        <f aca="false">IF(COUNTIF('[1]Plate_1-2_LongFormat'!$A$2:$A$193,G187)&gt;0,1,0)</f>
        <v>0</v>
      </c>
      <c r="T187" s="33" t="n">
        <f aca="false">IF(COUNTIF([2]Attached_indexes!$C$2:$C$193,G187)&gt;0,1,0)</f>
        <v>0</v>
      </c>
      <c r="U187" s="59"/>
      <c r="V187" s="1" t="s">
        <v>982</v>
      </c>
    </row>
    <row r="188" customFormat="false" ht="15.75" hidden="false" customHeight="true" outlineLevel="0" collapsed="false">
      <c r="A188" s="18" t="s">
        <v>776</v>
      </c>
      <c r="B188" s="18" t="s">
        <v>776</v>
      </c>
      <c r="C188" s="18" t="s">
        <v>31</v>
      </c>
      <c r="E188" s="66" t="n">
        <v>2</v>
      </c>
      <c r="F188" s="21" t="str">
        <f aca="false">CONCATENATE(B188,"_",C188,TEXT(E188, "000"))</f>
        <v>BMLZ_M. laciniatus002</v>
      </c>
      <c r="G188" s="21" t="s">
        <v>117</v>
      </c>
      <c r="H188" s="18" t="n">
        <v>1</v>
      </c>
      <c r="I188" s="22" t="n">
        <v>44321</v>
      </c>
      <c r="J188" s="2" t="s">
        <v>981</v>
      </c>
      <c r="K188" s="2" t="s">
        <v>998</v>
      </c>
      <c r="L188" s="2" t="n">
        <v>1</v>
      </c>
      <c r="M188" s="69" t="n">
        <v>1</v>
      </c>
      <c r="N188" s="3" t="n">
        <v>45077</v>
      </c>
      <c r="O188" s="2" t="n">
        <v>18.9</v>
      </c>
      <c r="P188" s="2" t="n">
        <v>4</v>
      </c>
      <c r="Q188" s="62" t="str">
        <f aca="false">IF(ISBLANK(N188),"",IF(N188&lt;DATE(2023,5,1),"OLD","NEW"))</f>
        <v>NEW</v>
      </c>
      <c r="S188" s="33" t="n">
        <f aca="false">IF(COUNTIF('[1]Plate_1-2_LongFormat'!$A$2:$A$193,G188)&gt;0,1,0)</f>
        <v>0</v>
      </c>
      <c r="T188" s="33" t="n">
        <f aca="false">IF(COUNTIF([2]Attached_indexes!$C$2:$C$193,G188)&gt;0,1,0)</f>
        <v>0</v>
      </c>
      <c r="U188" s="59"/>
      <c r="V188" s="1" t="s">
        <v>982</v>
      </c>
    </row>
    <row r="189" customFormat="false" ht="15.75" hidden="false" customHeight="true" outlineLevel="0" collapsed="false">
      <c r="A189" s="18" t="s">
        <v>776</v>
      </c>
      <c r="B189" s="18" t="s">
        <v>776</v>
      </c>
      <c r="C189" s="18" t="s">
        <v>31</v>
      </c>
      <c r="E189" s="66" t="n">
        <v>2</v>
      </c>
      <c r="F189" s="21" t="str">
        <f aca="false">CONCATENATE(B189,"_",C189,TEXT(E189, "000"))</f>
        <v>BMLZ_M. laciniatus002</v>
      </c>
      <c r="G189" s="21" t="s">
        <v>117</v>
      </c>
      <c r="H189" s="18" t="n">
        <v>1</v>
      </c>
      <c r="I189" s="22" t="n">
        <v>44321</v>
      </c>
      <c r="J189" s="2" t="s">
        <v>981</v>
      </c>
      <c r="K189" s="2" t="s">
        <v>998</v>
      </c>
      <c r="L189" s="2" t="n">
        <v>1</v>
      </c>
      <c r="M189" s="69" t="n">
        <v>1</v>
      </c>
      <c r="N189" s="3" t="n">
        <v>45077</v>
      </c>
      <c r="O189" s="2" t="n">
        <v>18.9</v>
      </c>
      <c r="P189" s="2" t="n">
        <v>4</v>
      </c>
      <c r="Q189" s="62" t="str">
        <f aca="false">IF(ISBLANK(N189),"",IF(N189&lt;DATE(2023,5,1),"OLD","NEW"))</f>
        <v>NEW</v>
      </c>
      <c r="S189" s="33" t="n">
        <f aca="false">IF(COUNTIF('[1]Plate_1-2_LongFormat'!$A$2:$A$193,G189)&gt;0,1,0)</f>
        <v>0</v>
      </c>
      <c r="T189" s="33" t="n">
        <f aca="false">IF(COUNTIF([2]Attached_indexes!$C$2:$C$193,G189)&gt;0,1,0)</f>
        <v>0</v>
      </c>
      <c r="U189" s="59"/>
      <c r="V189" s="1" t="s">
        <v>982</v>
      </c>
    </row>
    <row r="190" customFormat="false" ht="15.75" hidden="false" customHeight="true" outlineLevel="0" collapsed="false">
      <c r="A190" s="18" t="s">
        <v>776</v>
      </c>
      <c r="B190" s="18" t="s">
        <v>776</v>
      </c>
      <c r="C190" s="18" t="s">
        <v>31</v>
      </c>
      <c r="E190" s="66" t="n">
        <v>2</v>
      </c>
      <c r="F190" s="21" t="str">
        <f aca="false">CONCATENATE(B190,"_",C190,TEXT(E190, "000"))</f>
        <v>BMLZ_M. laciniatus002</v>
      </c>
      <c r="G190" s="21" t="s">
        <v>117</v>
      </c>
      <c r="H190" s="18" t="n">
        <v>1</v>
      </c>
      <c r="I190" s="22" t="n">
        <v>44321</v>
      </c>
      <c r="J190" s="2" t="s">
        <v>981</v>
      </c>
      <c r="K190" s="2" t="s">
        <v>998</v>
      </c>
      <c r="L190" s="2" t="n">
        <v>1</v>
      </c>
      <c r="M190" s="69" t="n">
        <v>1</v>
      </c>
      <c r="N190" s="3" t="n">
        <v>45077</v>
      </c>
      <c r="O190" s="2" t="n">
        <v>18.9</v>
      </c>
      <c r="P190" s="2" t="n">
        <v>4</v>
      </c>
      <c r="Q190" s="62" t="str">
        <f aca="false">IF(ISBLANK(N190),"",IF(N190&lt;DATE(2023,5,1),"OLD","NEW"))</f>
        <v>NEW</v>
      </c>
      <c r="S190" s="33" t="n">
        <f aca="false">IF(COUNTIF('[1]Plate_1-2_LongFormat'!$A$2:$A$193,G190)&gt;0,1,0)</f>
        <v>0</v>
      </c>
      <c r="T190" s="33" t="n">
        <f aca="false">IF(COUNTIF([2]Attached_indexes!$C$2:$C$193,G190)&gt;0,1,0)</f>
        <v>0</v>
      </c>
      <c r="U190" s="59"/>
      <c r="V190" s="1" t="s">
        <v>982</v>
      </c>
    </row>
    <row r="191" customFormat="false" ht="15.75" hidden="false" customHeight="true" outlineLevel="0" collapsed="false">
      <c r="A191" s="18" t="s">
        <v>776</v>
      </c>
      <c r="B191" s="18" t="s">
        <v>776</v>
      </c>
      <c r="C191" s="18" t="s">
        <v>31</v>
      </c>
      <c r="E191" s="66" t="n">
        <v>3</v>
      </c>
      <c r="F191" s="21" t="str">
        <f aca="false">CONCATENATE(B191,"_",C191,TEXT(E191, "000"))</f>
        <v>BMLZ_M. laciniatus003</v>
      </c>
      <c r="G191" s="70" t="s">
        <v>121</v>
      </c>
      <c r="H191" s="18" t="n">
        <v>1</v>
      </c>
      <c r="I191" s="22" t="n">
        <v>44321</v>
      </c>
      <c r="K191" s="71" t="s">
        <v>999</v>
      </c>
      <c r="L191" s="2" t="n">
        <v>0</v>
      </c>
      <c r="M191" s="69" t="n">
        <v>0</v>
      </c>
      <c r="N191" s="3"/>
      <c r="Q191" s="62" t="str">
        <f aca="false">IF(ISBLANK(N191),"",IF(N191&lt;DATE(2023,5,1),"OLD","NEW"))</f>
        <v/>
      </c>
      <c r="S191" s="33" t="n">
        <f aca="false">IF(COUNTIF('[1]Plate_1-2_LongFormat'!$A$2:$A$193,G191)&gt;0,1,0)</f>
        <v>0</v>
      </c>
      <c r="T191" s="33" t="n">
        <f aca="false">IF(COUNTIF([2]Attached_indexes!$C$2:$C$193,G191)&gt;0,1,0)</f>
        <v>0</v>
      </c>
      <c r="U191" s="59"/>
      <c r="V191" s="1" t="s">
        <v>982</v>
      </c>
    </row>
    <row r="192" customFormat="false" ht="15.75" hidden="false" customHeight="true" outlineLevel="0" collapsed="false">
      <c r="A192" s="18" t="s">
        <v>776</v>
      </c>
      <c r="B192" s="18" t="s">
        <v>776</v>
      </c>
      <c r="C192" s="18" t="s">
        <v>31</v>
      </c>
      <c r="E192" s="66" t="n">
        <v>3</v>
      </c>
      <c r="F192" s="21" t="str">
        <f aca="false">CONCATENATE(B192,"_",C192,TEXT(E192, "000"))</f>
        <v>BMLZ_M. laciniatus003</v>
      </c>
      <c r="G192" s="70" t="s">
        <v>121</v>
      </c>
      <c r="H192" s="18" t="n">
        <v>1</v>
      </c>
      <c r="I192" s="22" t="n">
        <v>44321</v>
      </c>
      <c r="K192" s="71" t="s">
        <v>999</v>
      </c>
      <c r="L192" s="2" t="n">
        <v>0</v>
      </c>
      <c r="M192" s="69" t="n">
        <v>0</v>
      </c>
      <c r="N192" s="3"/>
      <c r="Q192" s="62" t="str">
        <f aca="false">IF(ISBLANK(N192),"",IF(N192&lt;DATE(2023,5,1),"OLD","NEW"))</f>
        <v/>
      </c>
      <c r="S192" s="33" t="n">
        <f aca="false">IF(COUNTIF('[1]Plate_1-2_LongFormat'!$A$2:$A$193,G192)&gt;0,1,0)</f>
        <v>0</v>
      </c>
      <c r="T192" s="33" t="n">
        <f aca="false">IF(COUNTIF([2]Attached_indexes!$C$2:$C$193,G192)&gt;0,1,0)</f>
        <v>0</v>
      </c>
      <c r="U192" s="59"/>
      <c r="V192" s="1" t="s">
        <v>982</v>
      </c>
    </row>
    <row r="193" customFormat="false" ht="15.75" hidden="false" customHeight="true" outlineLevel="0" collapsed="false">
      <c r="A193" s="18" t="s">
        <v>776</v>
      </c>
      <c r="B193" s="18" t="s">
        <v>776</v>
      </c>
      <c r="C193" s="18" t="s">
        <v>31</v>
      </c>
      <c r="E193" s="66" t="n">
        <v>3</v>
      </c>
      <c r="F193" s="21" t="str">
        <f aca="false">CONCATENATE(B193,"_",C193,TEXT(E193, "000"))</f>
        <v>BMLZ_M. laciniatus003</v>
      </c>
      <c r="G193" s="70" t="s">
        <v>121</v>
      </c>
      <c r="H193" s="18" t="n">
        <v>1</v>
      </c>
      <c r="I193" s="22" t="n">
        <v>44321</v>
      </c>
      <c r="K193" s="71" t="s">
        <v>999</v>
      </c>
      <c r="L193" s="2" t="n">
        <v>0</v>
      </c>
      <c r="M193" s="69" t="n">
        <v>0</v>
      </c>
      <c r="N193" s="3"/>
      <c r="Q193" s="62" t="str">
        <f aca="false">IF(ISBLANK(N193),"",IF(N193&lt;DATE(2023,5,1),"OLD","NEW"))</f>
        <v/>
      </c>
      <c r="S193" s="33" t="n">
        <f aca="false">IF(COUNTIF('[1]Plate_1-2_LongFormat'!$A$2:$A$193,G193)&gt;0,1,0)</f>
        <v>0</v>
      </c>
      <c r="T193" s="33" t="n">
        <f aca="false">IF(COUNTIF([2]Attached_indexes!$C$2:$C$193,G193)&gt;0,1,0)</f>
        <v>0</v>
      </c>
      <c r="U193" s="59"/>
      <c r="V193" s="1" t="s">
        <v>982</v>
      </c>
    </row>
    <row r="194" customFormat="false" ht="15.75" hidden="false" customHeight="true" outlineLevel="0" collapsed="false">
      <c r="A194" s="18" t="s">
        <v>776</v>
      </c>
      <c r="B194" s="18" t="s">
        <v>776</v>
      </c>
      <c r="C194" s="18" t="s">
        <v>31</v>
      </c>
      <c r="E194" s="66" t="n">
        <v>4</v>
      </c>
      <c r="F194" s="21" t="str">
        <f aca="false">CONCATENATE(B194,"_",C194,TEXT(E194, "000"))</f>
        <v>BMLZ_M. laciniatus004</v>
      </c>
      <c r="G194" s="21" t="s">
        <v>125</v>
      </c>
      <c r="H194" s="18" t="n">
        <v>1</v>
      </c>
      <c r="I194" s="22" t="n">
        <v>44321</v>
      </c>
      <c r="J194" s="2" t="s">
        <v>981</v>
      </c>
      <c r="K194" s="72" t="s">
        <v>1000</v>
      </c>
      <c r="L194" s="2" t="n">
        <v>1</v>
      </c>
      <c r="M194" s="69" t="n">
        <v>1</v>
      </c>
      <c r="N194" s="3" t="n">
        <v>45077</v>
      </c>
      <c r="O194" s="2" t="n">
        <v>15.3</v>
      </c>
      <c r="P194" s="2" t="n">
        <v>4</v>
      </c>
      <c r="Q194" s="62" t="str">
        <f aca="false">IF(ISBLANK(N194),"",IF(N194&lt;DATE(2023,5,1),"OLD","NEW"))</f>
        <v>NEW</v>
      </c>
      <c r="S194" s="33" t="n">
        <f aca="false">IF(COUNTIF('[1]Plate_1-2_LongFormat'!$A$2:$A$193,G194)&gt;0,1,0)</f>
        <v>0</v>
      </c>
      <c r="T194" s="33" t="n">
        <f aca="false">IF(COUNTIF([2]Attached_indexes!$C$2:$C$193,G194)&gt;0,1,0)</f>
        <v>0</v>
      </c>
      <c r="U194" s="59"/>
      <c r="V194" s="1" t="s">
        <v>982</v>
      </c>
    </row>
    <row r="195" customFormat="false" ht="15.75" hidden="false" customHeight="true" outlineLevel="0" collapsed="false">
      <c r="A195" s="18" t="s">
        <v>776</v>
      </c>
      <c r="B195" s="18" t="s">
        <v>776</v>
      </c>
      <c r="C195" s="18" t="s">
        <v>31</v>
      </c>
      <c r="E195" s="66" t="n">
        <v>4</v>
      </c>
      <c r="F195" s="21" t="str">
        <f aca="false">CONCATENATE(B195,"_",C195,TEXT(E195, "000"))</f>
        <v>BMLZ_M. laciniatus004</v>
      </c>
      <c r="G195" s="21" t="s">
        <v>125</v>
      </c>
      <c r="H195" s="18" t="n">
        <v>1</v>
      </c>
      <c r="I195" s="22" t="n">
        <v>44321</v>
      </c>
      <c r="J195" s="2" t="s">
        <v>981</v>
      </c>
      <c r="K195" s="72" t="s">
        <v>1000</v>
      </c>
      <c r="L195" s="2" t="n">
        <v>1</v>
      </c>
      <c r="M195" s="69" t="n">
        <v>1</v>
      </c>
      <c r="N195" s="3" t="n">
        <v>45077</v>
      </c>
      <c r="O195" s="2" t="n">
        <v>15.3</v>
      </c>
      <c r="P195" s="2" t="n">
        <v>4</v>
      </c>
      <c r="Q195" s="62" t="str">
        <f aca="false">IF(ISBLANK(N195),"",IF(N195&lt;DATE(2023,5,1),"OLD","NEW"))</f>
        <v>NEW</v>
      </c>
      <c r="S195" s="33" t="n">
        <f aca="false">IF(COUNTIF('[1]Plate_1-2_LongFormat'!$A$2:$A$193,G195)&gt;0,1,0)</f>
        <v>0</v>
      </c>
      <c r="T195" s="33" t="n">
        <f aca="false">IF(COUNTIF([2]Attached_indexes!$C$2:$C$193,G195)&gt;0,1,0)</f>
        <v>0</v>
      </c>
      <c r="U195" s="59"/>
      <c r="V195" s="1" t="s">
        <v>982</v>
      </c>
    </row>
    <row r="196" customFormat="false" ht="15.75" hidden="false" customHeight="true" outlineLevel="0" collapsed="false">
      <c r="A196" s="18" t="s">
        <v>776</v>
      </c>
      <c r="B196" s="18" t="s">
        <v>776</v>
      </c>
      <c r="C196" s="18" t="s">
        <v>31</v>
      </c>
      <c r="E196" s="66" t="n">
        <v>4</v>
      </c>
      <c r="F196" s="21" t="str">
        <f aca="false">CONCATENATE(B196,"_",C196,TEXT(E196, "000"))</f>
        <v>BMLZ_M. laciniatus004</v>
      </c>
      <c r="G196" s="21" t="s">
        <v>125</v>
      </c>
      <c r="H196" s="18" t="n">
        <v>1</v>
      </c>
      <c r="I196" s="22" t="n">
        <v>44321</v>
      </c>
      <c r="J196" s="2" t="s">
        <v>981</v>
      </c>
      <c r="K196" s="72" t="s">
        <v>1000</v>
      </c>
      <c r="L196" s="2" t="n">
        <v>1</v>
      </c>
      <c r="M196" s="69" t="n">
        <v>1</v>
      </c>
      <c r="N196" s="3" t="n">
        <v>45077</v>
      </c>
      <c r="O196" s="2" t="n">
        <v>15.3</v>
      </c>
      <c r="P196" s="2" t="n">
        <v>4</v>
      </c>
      <c r="Q196" s="62" t="str">
        <f aca="false">IF(ISBLANK(N196),"",IF(N196&lt;DATE(2023,5,1),"OLD","NEW"))</f>
        <v>NEW</v>
      </c>
      <c r="S196" s="33" t="n">
        <f aca="false">IF(COUNTIF('[1]Plate_1-2_LongFormat'!$A$2:$A$193,G196)&gt;0,1,0)</f>
        <v>0</v>
      </c>
      <c r="T196" s="33" t="n">
        <f aca="false">IF(COUNTIF([2]Attached_indexes!$C$2:$C$193,G196)&gt;0,1,0)</f>
        <v>0</v>
      </c>
      <c r="U196" s="59"/>
      <c r="V196" s="1" t="s">
        <v>982</v>
      </c>
    </row>
    <row r="197" customFormat="false" ht="15.75" hidden="false" customHeight="true" outlineLevel="0" collapsed="false">
      <c r="A197" s="18" t="s">
        <v>776</v>
      </c>
      <c r="B197" s="18" t="s">
        <v>776</v>
      </c>
      <c r="C197" s="18" t="s">
        <v>31</v>
      </c>
      <c r="D197" s="18" t="s">
        <v>88</v>
      </c>
      <c r="E197" s="66" t="n">
        <v>5</v>
      </c>
      <c r="F197" s="21" t="str">
        <f aca="false">CONCATENATE(B197,"_",C197,TEXT(E197, "000"))</f>
        <v>BMLZ_M. laciniatus005</v>
      </c>
      <c r="G197" s="21" t="s">
        <v>130</v>
      </c>
      <c r="H197" s="18" t="n">
        <v>1</v>
      </c>
      <c r="I197" s="22" t="n">
        <v>44321</v>
      </c>
      <c r="J197" s="2" t="s">
        <v>981</v>
      </c>
      <c r="K197" s="72" t="s">
        <v>1001</v>
      </c>
      <c r="L197" s="2" t="n">
        <v>1</v>
      </c>
      <c r="M197" s="69" t="n">
        <v>1</v>
      </c>
      <c r="N197" s="3" t="n">
        <v>45077</v>
      </c>
      <c r="O197" s="2" t="n">
        <v>13.3</v>
      </c>
      <c r="P197" s="2" t="n">
        <v>4</v>
      </c>
      <c r="Q197" s="62" t="str">
        <f aca="false">IF(ISBLANK(N197),"",IF(N197&lt;DATE(2023,5,1),"OLD","NEW"))</f>
        <v>NEW</v>
      </c>
      <c r="R197" s="2" t="s">
        <v>1002</v>
      </c>
      <c r="S197" s="33" t="n">
        <f aca="false">IF(COUNTIF('[1]Plate_1-2_LongFormat'!$A$2:$A$193,G197)&gt;0,1,0)</f>
        <v>0</v>
      </c>
      <c r="T197" s="33" t="n">
        <f aca="false">IF(COUNTIF([2]Attached_indexes!$C$2:$C$193,G197)&gt;0,1,0)</f>
        <v>0</v>
      </c>
      <c r="U197" s="59"/>
      <c r="V197" s="1" t="s">
        <v>982</v>
      </c>
    </row>
    <row r="198" customFormat="false" ht="15.75" hidden="false" customHeight="true" outlineLevel="0" collapsed="false">
      <c r="A198" s="18" t="s">
        <v>776</v>
      </c>
      <c r="B198" s="18" t="s">
        <v>776</v>
      </c>
      <c r="C198" s="18" t="s">
        <v>31</v>
      </c>
      <c r="D198" s="18" t="s">
        <v>88</v>
      </c>
      <c r="E198" s="66" t="n">
        <v>5</v>
      </c>
      <c r="F198" s="21" t="str">
        <f aca="false">CONCATENATE(B198,"_",C198,TEXT(E198, "000"))</f>
        <v>BMLZ_M. laciniatus005</v>
      </c>
      <c r="G198" s="21" t="s">
        <v>130</v>
      </c>
      <c r="H198" s="18" t="n">
        <v>1</v>
      </c>
      <c r="I198" s="22" t="n">
        <v>44321</v>
      </c>
      <c r="J198" s="2" t="s">
        <v>981</v>
      </c>
      <c r="K198" s="72" t="s">
        <v>1001</v>
      </c>
      <c r="L198" s="2" t="n">
        <v>1</v>
      </c>
      <c r="M198" s="69" t="n">
        <v>1</v>
      </c>
      <c r="N198" s="3" t="n">
        <v>45077</v>
      </c>
      <c r="O198" s="2" t="n">
        <v>13.3</v>
      </c>
      <c r="P198" s="2" t="n">
        <v>4</v>
      </c>
      <c r="Q198" s="62" t="str">
        <f aca="false">IF(ISBLANK(N198),"",IF(N198&lt;DATE(2023,5,1),"OLD","NEW"))</f>
        <v>NEW</v>
      </c>
      <c r="R198" s="2" t="s">
        <v>1002</v>
      </c>
      <c r="S198" s="33" t="n">
        <f aca="false">IF(COUNTIF('[1]Plate_1-2_LongFormat'!$A$2:$A$193,G198)&gt;0,1,0)</f>
        <v>0</v>
      </c>
      <c r="T198" s="33" t="n">
        <f aca="false">IF(COUNTIF([2]Attached_indexes!$C$2:$C$193,G198)&gt;0,1,0)</f>
        <v>0</v>
      </c>
      <c r="U198" s="59"/>
      <c r="V198" s="1" t="s">
        <v>982</v>
      </c>
    </row>
    <row r="199" customFormat="false" ht="15.75" hidden="false" customHeight="true" outlineLevel="0" collapsed="false">
      <c r="A199" s="18" t="s">
        <v>776</v>
      </c>
      <c r="B199" s="18" t="s">
        <v>776</v>
      </c>
      <c r="C199" s="18" t="s">
        <v>31</v>
      </c>
      <c r="D199" s="18" t="s">
        <v>88</v>
      </c>
      <c r="E199" s="66" t="n">
        <v>5</v>
      </c>
      <c r="F199" s="21" t="str">
        <f aca="false">CONCATENATE(B199,"_",C199,TEXT(E199, "000"))</f>
        <v>BMLZ_M. laciniatus005</v>
      </c>
      <c r="G199" s="21" t="s">
        <v>130</v>
      </c>
      <c r="H199" s="18" t="n">
        <v>1</v>
      </c>
      <c r="I199" s="22" t="n">
        <v>44321</v>
      </c>
      <c r="J199" s="2" t="s">
        <v>981</v>
      </c>
      <c r="K199" s="72" t="s">
        <v>1001</v>
      </c>
      <c r="L199" s="2" t="n">
        <v>1</v>
      </c>
      <c r="M199" s="69" t="n">
        <v>1</v>
      </c>
      <c r="N199" s="3" t="n">
        <v>45077</v>
      </c>
      <c r="O199" s="2" t="n">
        <v>13.3</v>
      </c>
      <c r="P199" s="2" t="n">
        <v>4</v>
      </c>
      <c r="Q199" s="62" t="str">
        <f aca="false">IF(ISBLANK(N199),"",IF(N199&lt;DATE(2023,5,1),"OLD","NEW"))</f>
        <v>NEW</v>
      </c>
      <c r="R199" s="2" t="s">
        <v>1002</v>
      </c>
      <c r="S199" s="33" t="n">
        <f aca="false">IF(COUNTIF('[1]Plate_1-2_LongFormat'!$A$2:$A$193,G199)&gt;0,1,0)</f>
        <v>0</v>
      </c>
      <c r="T199" s="33" t="n">
        <f aca="false">IF(COUNTIF([2]Attached_indexes!$C$2:$C$193,G199)&gt;0,1,0)</f>
        <v>0</v>
      </c>
      <c r="U199" s="59"/>
      <c r="V199" s="1" t="s">
        <v>982</v>
      </c>
    </row>
    <row r="200" customFormat="false" ht="15.75" hidden="false" customHeight="true" outlineLevel="0" collapsed="false">
      <c r="A200" s="18" t="s">
        <v>586</v>
      </c>
      <c r="B200" s="18" t="s">
        <v>586</v>
      </c>
      <c r="C200" s="18" t="s">
        <v>958</v>
      </c>
      <c r="E200" s="66" t="n">
        <v>1</v>
      </c>
      <c r="F200" s="21" t="str">
        <f aca="false">CONCATENATE(B200,"_",C200, TEXT(E200, "000"))</f>
        <v>CCNB_B001</v>
      </c>
      <c r="G200" s="21" t="s">
        <v>607</v>
      </c>
      <c r="H200" s="18" t="n">
        <v>1</v>
      </c>
      <c r="I200" s="22" t="n">
        <v>44702</v>
      </c>
      <c r="J200" s="2" t="s">
        <v>981</v>
      </c>
      <c r="K200" s="68" t="s">
        <v>1003</v>
      </c>
      <c r="L200" s="2" t="n">
        <v>1</v>
      </c>
      <c r="M200" s="2" t="n">
        <v>1</v>
      </c>
      <c r="N200" s="3" t="n">
        <v>45071</v>
      </c>
      <c r="O200" s="2" t="n">
        <v>31.3</v>
      </c>
      <c r="P200" s="2" t="n">
        <v>4</v>
      </c>
      <c r="Q200" s="62" t="str">
        <f aca="false">IF(ISBLANK(N200),"",IF(N200&lt;DATE(2023,5,1),"OLD","NEW"))</f>
        <v>NEW</v>
      </c>
      <c r="S200" s="33" t="n">
        <f aca="false">IF(COUNTIF('[1]Plate_1-2_LongFormat'!$A$2:$A$193,G200)&gt;0,1,0)</f>
        <v>0</v>
      </c>
      <c r="T200" s="33" t="n">
        <f aca="false">IF(COUNTIF([2]Attached_indexes!$C$2:$C$193,G200)&gt;0,1,0)</f>
        <v>0</v>
      </c>
      <c r="U200" s="59"/>
      <c r="V200" s="1" t="s">
        <v>982</v>
      </c>
    </row>
    <row r="201" customFormat="false" ht="15.75" hidden="false" customHeight="true" outlineLevel="0" collapsed="false">
      <c r="A201" s="18" t="s">
        <v>586</v>
      </c>
      <c r="B201" s="18" t="s">
        <v>586</v>
      </c>
      <c r="C201" s="18" t="s">
        <v>958</v>
      </c>
      <c r="E201" s="66" t="n">
        <v>1</v>
      </c>
      <c r="F201" s="21" t="str">
        <f aca="false">CONCATENATE(B201,"_",C201, TEXT(E201, "000"))</f>
        <v>CCNB_B001</v>
      </c>
      <c r="G201" s="21" t="s">
        <v>607</v>
      </c>
      <c r="H201" s="18" t="n">
        <v>1</v>
      </c>
      <c r="I201" s="22" t="n">
        <v>44702</v>
      </c>
      <c r="J201" s="2" t="s">
        <v>981</v>
      </c>
      <c r="K201" s="68" t="s">
        <v>1003</v>
      </c>
      <c r="L201" s="2" t="n">
        <v>1</v>
      </c>
      <c r="M201" s="2" t="n">
        <v>1</v>
      </c>
      <c r="N201" s="3" t="n">
        <v>45071</v>
      </c>
      <c r="O201" s="2" t="n">
        <v>31.3</v>
      </c>
      <c r="P201" s="2" t="n">
        <v>4</v>
      </c>
      <c r="Q201" s="62" t="str">
        <f aca="false">IF(ISBLANK(N201),"",IF(N201&lt;DATE(2023,5,1),"OLD","NEW"))</f>
        <v>NEW</v>
      </c>
      <c r="S201" s="33" t="n">
        <f aca="false">IF(COUNTIF('[1]Plate_1-2_LongFormat'!$A$2:$A$193,G201)&gt;0,1,0)</f>
        <v>0</v>
      </c>
      <c r="T201" s="33" t="n">
        <f aca="false">IF(COUNTIF([2]Attached_indexes!$C$2:$C$193,G201)&gt;0,1,0)</f>
        <v>0</v>
      </c>
      <c r="U201" s="59"/>
      <c r="V201" s="1" t="s">
        <v>982</v>
      </c>
    </row>
    <row r="202" customFormat="false" ht="15.75" hidden="false" customHeight="true" outlineLevel="0" collapsed="false">
      <c r="A202" s="18" t="s">
        <v>586</v>
      </c>
      <c r="B202" s="18" t="s">
        <v>586</v>
      </c>
      <c r="C202" s="18" t="s">
        <v>958</v>
      </c>
      <c r="E202" s="66" t="n">
        <v>1</v>
      </c>
      <c r="F202" s="21" t="str">
        <f aca="false">CONCATENATE(B202,"_",C202, TEXT(E202, "000"))</f>
        <v>CCNB_B001</v>
      </c>
      <c r="G202" s="21" t="s">
        <v>607</v>
      </c>
      <c r="H202" s="18" t="n">
        <v>1</v>
      </c>
      <c r="I202" s="22" t="n">
        <v>44702</v>
      </c>
      <c r="J202" s="2" t="s">
        <v>981</v>
      </c>
      <c r="K202" s="68" t="s">
        <v>1003</v>
      </c>
      <c r="L202" s="2" t="n">
        <v>1</v>
      </c>
      <c r="M202" s="2" t="n">
        <v>1</v>
      </c>
      <c r="N202" s="3" t="n">
        <v>45071</v>
      </c>
      <c r="O202" s="2" t="n">
        <v>31.3</v>
      </c>
      <c r="P202" s="2" t="n">
        <v>4</v>
      </c>
      <c r="Q202" s="62" t="str">
        <f aca="false">IF(ISBLANK(N202),"",IF(N202&lt;DATE(2023,5,1),"OLD","NEW"))</f>
        <v>NEW</v>
      </c>
      <c r="S202" s="33" t="n">
        <f aca="false">IF(COUNTIF('[1]Plate_1-2_LongFormat'!$A$2:$A$193,G202)&gt;0,1,0)</f>
        <v>0</v>
      </c>
      <c r="T202" s="33" t="n">
        <f aca="false">IF(COUNTIF([2]Attached_indexes!$C$2:$C$193,G202)&gt;0,1,0)</f>
        <v>0</v>
      </c>
      <c r="U202" s="59"/>
      <c r="V202" s="1" t="s">
        <v>982</v>
      </c>
    </row>
    <row r="203" customFormat="false" ht="15.75" hidden="false" customHeight="true" outlineLevel="0" collapsed="false">
      <c r="A203" s="18" t="s">
        <v>586</v>
      </c>
      <c r="B203" s="18" t="s">
        <v>586</v>
      </c>
      <c r="C203" s="18" t="s">
        <v>958</v>
      </c>
      <c r="E203" s="66" t="n">
        <v>2</v>
      </c>
      <c r="F203" s="21" t="str">
        <f aca="false">CONCATENATE(B203,"_",C203, TEXT(E203, "000"))</f>
        <v>CCNB_B002</v>
      </c>
      <c r="G203" s="21" t="s">
        <v>609</v>
      </c>
      <c r="H203" s="18" t="n">
        <v>1</v>
      </c>
      <c r="I203" s="22" t="n">
        <v>44702</v>
      </c>
      <c r="J203" s="2" t="s">
        <v>981</v>
      </c>
      <c r="K203" s="68" t="s">
        <v>1004</v>
      </c>
      <c r="L203" s="2" t="n">
        <v>1</v>
      </c>
      <c r="M203" s="2" t="n">
        <v>1</v>
      </c>
      <c r="N203" s="3" t="n">
        <v>45071</v>
      </c>
      <c r="O203" s="2" t="n">
        <v>24.1</v>
      </c>
      <c r="P203" s="2" t="n">
        <v>4</v>
      </c>
      <c r="Q203" s="62" t="str">
        <f aca="false">IF(ISBLANK(N203),"",IF(N203&lt;DATE(2023,5,1),"OLD","NEW"))</f>
        <v>NEW</v>
      </c>
      <c r="S203" s="33" t="n">
        <f aca="false">IF(COUNTIF('[1]Plate_1-2_LongFormat'!$A$2:$A$193,G203)&gt;0,1,0)</f>
        <v>0</v>
      </c>
      <c r="T203" s="33" t="n">
        <f aca="false">IF(COUNTIF([2]Attached_indexes!$C$2:$C$193,G203)&gt;0,1,0)</f>
        <v>0</v>
      </c>
      <c r="U203" s="59"/>
      <c r="V203" s="1" t="s">
        <v>982</v>
      </c>
    </row>
    <row r="204" customFormat="false" ht="15.75" hidden="false" customHeight="true" outlineLevel="0" collapsed="false">
      <c r="A204" s="18" t="s">
        <v>586</v>
      </c>
      <c r="B204" s="18" t="s">
        <v>586</v>
      </c>
      <c r="C204" s="18" t="s">
        <v>958</v>
      </c>
      <c r="E204" s="66" t="n">
        <v>2</v>
      </c>
      <c r="F204" s="21" t="str">
        <f aca="false">CONCATENATE(B204,"_",C204, TEXT(E204, "000"))</f>
        <v>CCNB_B002</v>
      </c>
      <c r="G204" s="21" t="s">
        <v>609</v>
      </c>
      <c r="H204" s="18" t="n">
        <v>1</v>
      </c>
      <c r="I204" s="22" t="n">
        <v>44702</v>
      </c>
      <c r="J204" s="2" t="s">
        <v>981</v>
      </c>
      <c r="K204" s="68" t="s">
        <v>1004</v>
      </c>
      <c r="L204" s="2" t="n">
        <v>1</v>
      </c>
      <c r="M204" s="2" t="n">
        <v>1</v>
      </c>
      <c r="N204" s="3" t="n">
        <v>45071</v>
      </c>
      <c r="O204" s="2" t="n">
        <v>24.1</v>
      </c>
      <c r="P204" s="2" t="n">
        <v>4</v>
      </c>
      <c r="Q204" s="62" t="str">
        <f aca="false">IF(ISBLANK(N204),"",IF(N204&lt;DATE(2023,5,1),"OLD","NEW"))</f>
        <v>NEW</v>
      </c>
      <c r="S204" s="33" t="n">
        <f aca="false">IF(COUNTIF('[1]Plate_1-2_LongFormat'!$A$2:$A$193,G204)&gt;0,1,0)</f>
        <v>0</v>
      </c>
      <c r="T204" s="33" t="n">
        <f aca="false">IF(COUNTIF([2]Attached_indexes!$C$2:$C$193,G204)&gt;0,1,0)</f>
        <v>0</v>
      </c>
      <c r="U204" s="59"/>
      <c r="V204" s="1" t="s">
        <v>982</v>
      </c>
    </row>
    <row r="205" customFormat="false" ht="15.75" hidden="false" customHeight="true" outlineLevel="0" collapsed="false">
      <c r="A205" s="18" t="s">
        <v>586</v>
      </c>
      <c r="B205" s="18" t="s">
        <v>586</v>
      </c>
      <c r="C205" s="18" t="s">
        <v>958</v>
      </c>
      <c r="E205" s="66" t="n">
        <v>2</v>
      </c>
      <c r="F205" s="21" t="str">
        <f aca="false">CONCATENATE(B205,"_",C205, TEXT(E205, "000"))</f>
        <v>CCNB_B002</v>
      </c>
      <c r="G205" s="21" t="s">
        <v>609</v>
      </c>
      <c r="H205" s="18" t="n">
        <v>1</v>
      </c>
      <c r="I205" s="22" t="n">
        <v>44702</v>
      </c>
      <c r="J205" s="2" t="s">
        <v>981</v>
      </c>
      <c r="K205" s="68" t="s">
        <v>1004</v>
      </c>
      <c r="L205" s="2" t="n">
        <v>1</v>
      </c>
      <c r="M205" s="2" t="n">
        <v>1</v>
      </c>
      <c r="N205" s="3" t="n">
        <v>45071</v>
      </c>
      <c r="O205" s="2" t="n">
        <v>24.1</v>
      </c>
      <c r="P205" s="2" t="n">
        <v>4</v>
      </c>
      <c r="Q205" s="62" t="str">
        <f aca="false">IF(ISBLANK(N205),"",IF(N205&lt;DATE(2023,5,1),"OLD","NEW"))</f>
        <v>NEW</v>
      </c>
      <c r="S205" s="33" t="n">
        <f aca="false">IF(COUNTIF('[1]Plate_1-2_LongFormat'!$A$2:$A$193,G205)&gt;0,1,0)</f>
        <v>0</v>
      </c>
      <c r="T205" s="33" t="n">
        <f aca="false">IF(COUNTIF([2]Attached_indexes!$C$2:$C$193,G205)&gt;0,1,0)</f>
        <v>0</v>
      </c>
      <c r="U205" s="59"/>
      <c r="V205" s="1" t="s">
        <v>982</v>
      </c>
    </row>
    <row r="206" customFormat="false" ht="15.75" hidden="false" customHeight="true" outlineLevel="0" collapsed="false">
      <c r="A206" s="18" t="s">
        <v>586</v>
      </c>
      <c r="B206" s="18" t="s">
        <v>586</v>
      </c>
      <c r="C206" s="18" t="s">
        <v>958</v>
      </c>
      <c r="E206" s="66" t="n">
        <v>3</v>
      </c>
      <c r="F206" s="21" t="str">
        <f aca="false">CONCATENATE(B206,"_",C206, TEXT(E206, "000"))</f>
        <v>CCNB_B003</v>
      </c>
      <c r="G206" s="21" t="s">
        <v>611</v>
      </c>
      <c r="H206" s="18" t="n">
        <v>1</v>
      </c>
      <c r="I206" s="22" t="n">
        <v>44702</v>
      </c>
      <c r="J206" s="2" t="s">
        <v>981</v>
      </c>
      <c r="K206" s="68" t="s">
        <v>1005</v>
      </c>
      <c r="L206" s="2" t="n">
        <v>1</v>
      </c>
      <c r="M206" s="2" t="n">
        <v>1</v>
      </c>
      <c r="N206" s="3" t="n">
        <v>45071</v>
      </c>
      <c r="O206" s="2" t="n">
        <v>7.59</v>
      </c>
      <c r="P206" s="2" t="n">
        <v>4</v>
      </c>
      <c r="Q206" s="62" t="str">
        <f aca="false">IF(ISBLANK(N206),"",IF(N206&lt;DATE(2023,5,1),"OLD","NEW"))</f>
        <v>NEW</v>
      </c>
      <c r="S206" s="33" t="n">
        <f aca="false">IF(COUNTIF('[1]Plate_1-2_LongFormat'!$A$2:$A$193,G206)&gt;0,1,0)</f>
        <v>0</v>
      </c>
      <c r="T206" s="33" t="n">
        <f aca="false">IF(COUNTIF([2]Attached_indexes!$C$2:$C$193,G206)&gt;0,1,0)</f>
        <v>0</v>
      </c>
      <c r="U206" s="59"/>
      <c r="V206" s="1" t="s">
        <v>982</v>
      </c>
    </row>
    <row r="207" customFormat="false" ht="15.75" hidden="false" customHeight="true" outlineLevel="0" collapsed="false">
      <c r="A207" s="18" t="s">
        <v>586</v>
      </c>
      <c r="B207" s="18" t="s">
        <v>586</v>
      </c>
      <c r="C207" s="18" t="s">
        <v>958</v>
      </c>
      <c r="E207" s="66" t="n">
        <v>3</v>
      </c>
      <c r="F207" s="21" t="str">
        <f aca="false">CONCATENATE(B207,"_",C207, TEXT(E207, "000"))</f>
        <v>CCNB_B003</v>
      </c>
      <c r="G207" s="21" t="s">
        <v>611</v>
      </c>
      <c r="H207" s="18" t="n">
        <v>1</v>
      </c>
      <c r="I207" s="22" t="n">
        <v>44702</v>
      </c>
      <c r="J207" s="2" t="s">
        <v>981</v>
      </c>
      <c r="K207" s="68" t="s">
        <v>1005</v>
      </c>
      <c r="L207" s="2" t="n">
        <v>1</v>
      </c>
      <c r="M207" s="2" t="n">
        <v>1</v>
      </c>
      <c r="N207" s="3" t="n">
        <v>45071</v>
      </c>
      <c r="O207" s="2" t="n">
        <v>7.59</v>
      </c>
      <c r="P207" s="2" t="n">
        <v>4</v>
      </c>
      <c r="Q207" s="62" t="str">
        <f aca="false">IF(ISBLANK(N207),"",IF(N207&lt;DATE(2023,5,1),"OLD","NEW"))</f>
        <v>NEW</v>
      </c>
      <c r="S207" s="33" t="n">
        <f aca="false">IF(COUNTIF('[1]Plate_1-2_LongFormat'!$A$2:$A$193,G207)&gt;0,1,0)</f>
        <v>0</v>
      </c>
      <c r="T207" s="33" t="n">
        <f aca="false">IF(COUNTIF([2]Attached_indexes!$C$2:$C$193,G207)&gt;0,1,0)</f>
        <v>0</v>
      </c>
      <c r="U207" s="59"/>
      <c r="V207" s="1" t="s">
        <v>982</v>
      </c>
    </row>
    <row r="208" customFormat="false" ht="15.75" hidden="false" customHeight="true" outlineLevel="0" collapsed="false">
      <c r="A208" s="18" t="s">
        <v>586</v>
      </c>
      <c r="B208" s="18" t="s">
        <v>586</v>
      </c>
      <c r="C208" s="18" t="s">
        <v>958</v>
      </c>
      <c r="E208" s="66" t="n">
        <v>3</v>
      </c>
      <c r="F208" s="21" t="str">
        <f aca="false">CONCATENATE(B208,"_",C208, TEXT(E208, "000"))</f>
        <v>CCNB_B003</v>
      </c>
      <c r="G208" s="21" t="s">
        <v>611</v>
      </c>
      <c r="H208" s="18" t="n">
        <v>1</v>
      </c>
      <c r="I208" s="22" t="n">
        <v>44702</v>
      </c>
      <c r="J208" s="2" t="s">
        <v>981</v>
      </c>
      <c r="K208" s="68" t="s">
        <v>1005</v>
      </c>
      <c r="L208" s="2" t="n">
        <v>1</v>
      </c>
      <c r="M208" s="2" t="n">
        <v>1</v>
      </c>
      <c r="N208" s="3" t="n">
        <v>45071</v>
      </c>
      <c r="O208" s="2" t="n">
        <v>7.59</v>
      </c>
      <c r="P208" s="2" t="n">
        <v>4</v>
      </c>
      <c r="Q208" s="62" t="str">
        <f aca="false">IF(ISBLANK(N208),"",IF(N208&lt;DATE(2023,5,1),"OLD","NEW"))</f>
        <v>NEW</v>
      </c>
      <c r="S208" s="33" t="n">
        <f aca="false">IF(COUNTIF('[1]Plate_1-2_LongFormat'!$A$2:$A$193,G208)&gt;0,1,0)</f>
        <v>0</v>
      </c>
      <c r="T208" s="33" t="n">
        <f aca="false">IF(COUNTIF([2]Attached_indexes!$C$2:$C$193,G208)&gt;0,1,0)</f>
        <v>0</v>
      </c>
      <c r="U208" s="59"/>
      <c r="V208" s="1" t="s">
        <v>982</v>
      </c>
    </row>
    <row r="209" customFormat="false" ht="15.75" hidden="false" customHeight="true" outlineLevel="0" collapsed="false">
      <c r="A209" s="18" t="s">
        <v>586</v>
      </c>
      <c r="B209" s="18" t="s">
        <v>586</v>
      </c>
      <c r="C209" s="18" t="s">
        <v>958</v>
      </c>
      <c r="E209" s="66" t="n">
        <v>4</v>
      </c>
      <c r="F209" s="21" t="str">
        <f aca="false">CONCATENATE(B209,"_",C209, TEXT(E209, "000"))</f>
        <v>CCNB_B004</v>
      </c>
      <c r="G209" s="21" t="s">
        <v>613</v>
      </c>
      <c r="H209" s="18" t="n">
        <v>1</v>
      </c>
      <c r="I209" s="22" t="n">
        <v>44702</v>
      </c>
      <c r="J209" s="2" t="s">
        <v>981</v>
      </c>
      <c r="K209" s="68" t="s">
        <v>1006</v>
      </c>
      <c r="L209" s="2" t="n">
        <v>1</v>
      </c>
      <c r="M209" s="2" t="n">
        <v>1</v>
      </c>
      <c r="N209" s="3" t="n">
        <v>45071</v>
      </c>
      <c r="O209" s="2" t="n">
        <v>5.76</v>
      </c>
      <c r="P209" s="2" t="n">
        <v>4</v>
      </c>
      <c r="Q209" s="62" t="str">
        <f aca="false">IF(ISBLANK(N209),"",IF(N209&lt;DATE(2023,5,1),"OLD","NEW"))</f>
        <v>NEW</v>
      </c>
      <c r="S209" s="33" t="n">
        <f aca="false">IF(COUNTIF('[1]Plate_1-2_LongFormat'!$A$2:$A$193,G209)&gt;0,1,0)</f>
        <v>0</v>
      </c>
      <c r="T209" s="33" t="n">
        <f aca="false">IF(COUNTIF([2]Attached_indexes!$C$2:$C$193,G209)&gt;0,1,0)</f>
        <v>0</v>
      </c>
      <c r="U209" s="59"/>
      <c r="V209" s="1" t="s">
        <v>982</v>
      </c>
    </row>
    <row r="210" customFormat="false" ht="15.75" hidden="false" customHeight="true" outlineLevel="0" collapsed="false">
      <c r="A210" s="18" t="s">
        <v>586</v>
      </c>
      <c r="B210" s="18" t="s">
        <v>586</v>
      </c>
      <c r="C210" s="18" t="s">
        <v>958</v>
      </c>
      <c r="E210" s="66" t="n">
        <v>4</v>
      </c>
      <c r="F210" s="21" t="str">
        <f aca="false">CONCATENATE(B210,"_",C210, TEXT(E210, "000"))</f>
        <v>CCNB_B004</v>
      </c>
      <c r="G210" s="21" t="s">
        <v>613</v>
      </c>
      <c r="H210" s="18" t="n">
        <v>1</v>
      </c>
      <c r="I210" s="22" t="n">
        <v>44702</v>
      </c>
      <c r="J210" s="2" t="s">
        <v>981</v>
      </c>
      <c r="K210" s="68" t="s">
        <v>1006</v>
      </c>
      <c r="L210" s="2" t="n">
        <v>1</v>
      </c>
      <c r="M210" s="2" t="n">
        <v>1</v>
      </c>
      <c r="N210" s="3" t="n">
        <v>45071</v>
      </c>
      <c r="O210" s="2" t="n">
        <v>5.76</v>
      </c>
      <c r="P210" s="2" t="n">
        <v>4</v>
      </c>
      <c r="Q210" s="62" t="str">
        <f aca="false">IF(ISBLANK(N210),"",IF(N210&lt;DATE(2023,5,1),"OLD","NEW"))</f>
        <v>NEW</v>
      </c>
      <c r="S210" s="33" t="n">
        <f aca="false">IF(COUNTIF('[1]Plate_1-2_LongFormat'!$A$2:$A$193,G210)&gt;0,1,0)</f>
        <v>0</v>
      </c>
      <c r="T210" s="33" t="n">
        <f aca="false">IF(COUNTIF([2]Attached_indexes!$C$2:$C$193,G210)&gt;0,1,0)</f>
        <v>0</v>
      </c>
      <c r="U210" s="59"/>
      <c r="V210" s="1" t="s">
        <v>982</v>
      </c>
    </row>
    <row r="211" customFormat="false" ht="15.75" hidden="false" customHeight="true" outlineLevel="0" collapsed="false">
      <c r="A211" s="18" t="s">
        <v>586</v>
      </c>
      <c r="B211" s="18" t="s">
        <v>586</v>
      </c>
      <c r="C211" s="18" t="s">
        <v>958</v>
      </c>
      <c r="E211" s="66" t="n">
        <v>4</v>
      </c>
      <c r="F211" s="21" t="str">
        <f aca="false">CONCATENATE(B211,"_",C211, TEXT(E211, "000"))</f>
        <v>CCNB_B004</v>
      </c>
      <c r="G211" s="21" t="s">
        <v>613</v>
      </c>
      <c r="H211" s="18" t="n">
        <v>1</v>
      </c>
      <c r="I211" s="22" t="n">
        <v>44702</v>
      </c>
      <c r="J211" s="2" t="s">
        <v>981</v>
      </c>
      <c r="K211" s="68" t="s">
        <v>1006</v>
      </c>
      <c r="L211" s="2" t="n">
        <v>1</v>
      </c>
      <c r="M211" s="2" t="n">
        <v>1</v>
      </c>
      <c r="N211" s="3" t="n">
        <v>45071</v>
      </c>
      <c r="O211" s="2" t="n">
        <v>5.76</v>
      </c>
      <c r="P211" s="2" t="n">
        <v>4</v>
      </c>
      <c r="Q211" s="62" t="str">
        <f aca="false">IF(ISBLANK(N211),"",IF(N211&lt;DATE(2023,5,1),"OLD","NEW"))</f>
        <v>NEW</v>
      </c>
      <c r="S211" s="33" t="n">
        <f aca="false">IF(COUNTIF('[1]Plate_1-2_LongFormat'!$A$2:$A$193,G211)&gt;0,1,0)</f>
        <v>0</v>
      </c>
      <c r="T211" s="33" t="n">
        <f aca="false">IF(COUNTIF([2]Attached_indexes!$C$2:$C$193,G211)&gt;0,1,0)</f>
        <v>0</v>
      </c>
      <c r="U211" s="59"/>
      <c r="V211" s="1" t="s">
        <v>982</v>
      </c>
    </row>
    <row r="212" customFormat="false" ht="15.75" hidden="false" customHeight="true" outlineLevel="0" collapsed="false">
      <c r="A212" s="18" t="s">
        <v>586</v>
      </c>
      <c r="B212" s="18" t="s">
        <v>586</v>
      </c>
      <c r="C212" s="18" t="s">
        <v>40</v>
      </c>
      <c r="E212" s="66" t="n">
        <v>1</v>
      </c>
      <c r="F212" s="21" t="str">
        <f aca="false">CONCATENATE(B212,"_",C212, TEXT(E212, "000"))</f>
        <v>CCNB_M. guttatus001</v>
      </c>
      <c r="G212" s="21" t="s">
        <v>587</v>
      </c>
      <c r="H212" s="18" t="n">
        <v>1</v>
      </c>
      <c r="I212" s="22" t="n">
        <v>44702</v>
      </c>
      <c r="J212" s="2" t="s">
        <v>981</v>
      </c>
      <c r="K212" s="68" t="s">
        <v>1003</v>
      </c>
      <c r="L212" s="2" t="n">
        <v>1</v>
      </c>
      <c r="M212" s="2" t="n">
        <v>1</v>
      </c>
      <c r="N212" s="3" t="n">
        <v>45071</v>
      </c>
      <c r="O212" s="2" t="n">
        <v>16.2</v>
      </c>
      <c r="P212" s="2" t="n">
        <v>4</v>
      </c>
      <c r="Q212" s="62" t="str">
        <f aca="false">IF(ISBLANK(N212),"",IF(N212&lt;DATE(2023,5,1),"OLD","NEW"))</f>
        <v>NEW</v>
      </c>
      <c r="S212" s="33" t="n">
        <f aca="false">IF(COUNTIF('[1]Plate_1-2_LongFormat'!$A$2:$A$193,G212)&gt;0,1,0)</f>
        <v>0</v>
      </c>
      <c r="T212" s="33" t="n">
        <f aca="false">IF(COUNTIF([2]Attached_indexes!$C$2:$C$193,G212)&gt;0,1,0)</f>
        <v>0</v>
      </c>
      <c r="U212" s="59"/>
      <c r="V212" s="1" t="s">
        <v>982</v>
      </c>
    </row>
    <row r="213" customFormat="false" ht="15.75" hidden="false" customHeight="true" outlineLevel="0" collapsed="false">
      <c r="A213" s="18" t="s">
        <v>586</v>
      </c>
      <c r="B213" s="18" t="s">
        <v>586</v>
      </c>
      <c r="C213" s="18" t="s">
        <v>40</v>
      </c>
      <c r="E213" s="66" t="n">
        <v>1</v>
      </c>
      <c r="F213" s="21" t="str">
        <f aca="false">CONCATENATE(B213,"_",C213, TEXT(E213, "000"))</f>
        <v>CCNB_M. guttatus001</v>
      </c>
      <c r="G213" s="21" t="s">
        <v>587</v>
      </c>
      <c r="H213" s="18" t="n">
        <v>1</v>
      </c>
      <c r="I213" s="22" t="n">
        <v>44702</v>
      </c>
      <c r="J213" s="2" t="s">
        <v>981</v>
      </c>
      <c r="K213" s="68" t="s">
        <v>1007</v>
      </c>
      <c r="L213" s="2" t="n">
        <v>1</v>
      </c>
      <c r="M213" s="2" t="n">
        <v>1</v>
      </c>
      <c r="N213" s="3" t="n">
        <v>45071</v>
      </c>
      <c r="O213" s="2" t="n">
        <v>16.2</v>
      </c>
      <c r="P213" s="2" t="n">
        <v>4</v>
      </c>
      <c r="Q213" s="62" t="str">
        <f aca="false">IF(ISBLANK(N213),"",IF(N213&lt;DATE(2023,5,1),"OLD","NEW"))</f>
        <v>NEW</v>
      </c>
      <c r="S213" s="33" t="n">
        <f aca="false">IF(COUNTIF('[1]Plate_1-2_LongFormat'!$A$2:$A$193,G213)&gt;0,1,0)</f>
        <v>0</v>
      </c>
      <c r="T213" s="33" t="n">
        <f aca="false">IF(COUNTIF([2]Attached_indexes!$C$2:$C$193,G213)&gt;0,1,0)</f>
        <v>0</v>
      </c>
      <c r="U213" s="59"/>
      <c r="V213" s="1" t="s">
        <v>982</v>
      </c>
    </row>
    <row r="214" customFormat="false" ht="15.75" hidden="false" customHeight="true" outlineLevel="0" collapsed="false">
      <c r="A214" s="18" t="s">
        <v>586</v>
      </c>
      <c r="B214" s="18" t="s">
        <v>586</v>
      </c>
      <c r="C214" s="18" t="s">
        <v>40</v>
      </c>
      <c r="E214" s="66" t="n">
        <v>1</v>
      </c>
      <c r="F214" s="21" t="str">
        <f aca="false">CONCATENATE(B214,"_",C214, TEXT(E214, "000"))</f>
        <v>CCNB_M. guttatus001</v>
      </c>
      <c r="G214" s="21" t="s">
        <v>587</v>
      </c>
      <c r="H214" s="18" t="n">
        <v>1</v>
      </c>
      <c r="I214" s="22" t="n">
        <v>44702</v>
      </c>
      <c r="J214" s="2" t="s">
        <v>981</v>
      </c>
      <c r="K214" s="68" t="s">
        <v>1007</v>
      </c>
      <c r="L214" s="2" t="n">
        <v>1</v>
      </c>
      <c r="M214" s="2" t="n">
        <v>1</v>
      </c>
      <c r="N214" s="3" t="n">
        <v>45071</v>
      </c>
      <c r="O214" s="2" t="n">
        <v>16.2</v>
      </c>
      <c r="P214" s="2" t="n">
        <v>4</v>
      </c>
      <c r="Q214" s="62" t="str">
        <f aca="false">IF(ISBLANK(N214),"",IF(N214&lt;DATE(2023,5,1),"OLD","NEW"))</f>
        <v>NEW</v>
      </c>
      <c r="S214" s="33" t="n">
        <f aca="false">IF(COUNTIF('[1]Plate_1-2_LongFormat'!$A$2:$A$193,G214)&gt;0,1,0)</f>
        <v>0</v>
      </c>
      <c r="T214" s="33" t="n">
        <f aca="false">IF(COUNTIF([2]Attached_indexes!$C$2:$C$193,G214)&gt;0,1,0)</f>
        <v>0</v>
      </c>
      <c r="U214" s="59"/>
      <c r="V214" s="1" t="s">
        <v>982</v>
      </c>
    </row>
    <row r="215" customFormat="false" ht="15.75" hidden="false" customHeight="true" outlineLevel="0" collapsed="false">
      <c r="A215" s="18" t="s">
        <v>586</v>
      </c>
      <c r="B215" s="18" t="s">
        <v>586</v>
      </c>
      <c r="C215" s="18" t="s">
        <v>40</v>
      </c>
      <c r="E215" s="66" t="n">
        <v>10</v>
      </c>
      <c r="F215" s="21" t="str">
        <f aca="false">CONCATENATE(B215,"_",C215, TEXT(E215, "000"))</f>
        <v>CCNB_M. guttatus010</v>
      </c>
      <c r="G215" s="21" t="s">
        <v>601</v>
      </c>
      <c r="H215" s="18" t="n">
        <v>1</v>
      </c>
      <c r="I215" s="22" t="n">
        <v>44702</v>
      </c>
      <c r="J215" s="2" t="s">
        <v>981</v>
      </c>
      <c r="L215" s="2" t="n">
        <v>1</v>
      </c>
      <c r="M215" s="2" t="n">
        <v>1</v>
      </c>
      <c r="N215" s="3" t="n">
        <v>45058</v>
      </c>
      <c r="O215" s="2" t="n">
        <v>27.9</v>
      </c>
      <c r="P215" s="2" t="n">
        <v>3</v>
      </c>
      <c r="Q215" s="62" t="str">
        <f aca="false">IF(ISBLANK(N215),"",IF(N215&lt;DATE(2023,5,1),"OLD","NEW"))</f>
        <v>NEW</v>
      </c>
      <c r="S215" s="33" t="n">
        <f aca="false">IF(COUNTIF('[1]Plate_1-2_LongFormat'!$A$2:$A$193,G215)&gt;0,1,0)</f>
        <v>0</v>
      </c>
      <c r="T215" s="33" t="n">
        <f aca="false">IF(COUNTIF([2]Attached_indexes!$C$2:$C$193,G215)&gt;0,1,0)</f>
        <v>0</v>
      </c>
      <c r="U215" s="59"/>
      <c r="V215" s="1" t="s">
        <v>982</v>
      </c>
    </row>
    <row r="216" customFormat="false" ht="15.75" hidden="false" customHeight="true" outlineLevel="0" collapsed="false">
      <c r="A216" s="18" t="s">
        <v>586</v>
      </c>
      <c r="B216" s="18" t="s">
        <v>586</v>
      </c>
      <c r="C216" s="18" t="s">
        <v>40</v>
      </c>
      <c r="E216" s="66" t="n">
        <v>10</v>
      </c>
      <c r="F216" s="21" t="str">
        <f aca="false">CONCATENATE(B216,"_",C216, TEXT(E216, "000"))</f>
        <v>CCNB_M. guttatus010</v>
      </c>
      <c r="G216" s="21" t="s">
        <v>601</v>
      </c>
      <c r="H216" s="18" t="n">
        <v>1</v>
      </c>
      <c r="I216" s="22" t="n">
        <v>44702</v>
      </c>
      <c r="J216" s="2" t="s">
        <v>981</v>
      </c>
      <c r="L216" s="2" t="n">
        <v>1</v>
      </c>
      <c r="M216" s="2" t="n">
        <v>1</v>
      </c>
      <c r="N216" s="3" t="n">
        <v>45058</v>
      </c>
      <c r="O216" s="2" t="n">
        <v>27.9</v>
      </c>
      <c r="P216" s="2" t="n">
        <v>3</v>
      </c>
      <c r="Q216" s="62" t="str">
        <f aca="false">IF(ISBLANK(N216),"",IF(N216&lt;DATE(2023,5,1),"OLD","NEW"))</f>
        <v>NEW</v>
      </c>
      <c r="S216" s="33" t="n">
        <f aca="false">IF(COUNTIF('[1]Plate_1-2_LongFormat'!$A$2:$A$193,G216)&gt;0,1,0)</f>
        <v>0</v>
      </c>
      <c r="T216" s="33" t="n">
        <f aca="false">IF(COUNTIF([2]Attached_indexes!$C$2:$C$193,G216)&gt;0,1,0)</f>
        <v>0</v>
      </c>
      <c r="U216" s="59"/>
      <c r="V216" s="1" t="s">
        <v>982</v>
      </c>
    </row>
    <row r="217" customFormat="false" ht="15.75" hidden="false" customHeight="true" outlineLevel="0" collapsed="false">
      <c r="A217" s="18" t="s">
        <v>586</v>
      </c>
      <c r="B217" s="18" t="s">
        <v>586</v>
      </c>
      <c r="C217" s="18" t="s">
        <v>40</v>
      </c>
      <c r="E217" s="66" t="n">
        <v>10</v>
      </c>
      <c r="F217" s="21" t="str">
        <f aca="false">CONCATENATE(B217,"_",C217, TEXT(E217, "000"))</f>
        <v>CCNB_M. guttatus010</v>
      </c>
      <c r="G217" s="21" t="s">
        <v>601</v>
      </c>
      <c r="H217" s="18" t="n">
        <v>1</v>
      </c>
      <c r="I217" s="22" t="n">
        <v>44702</v>
      </c>
      <c r="J217" s="2" t="s">
        <v>981</v>
      </c>
      <c r="L217" s="2" t="n">
        <v>1</v>
      </c>
      <c r="M217" s="2" t="n">
        <v>1</v>
      </c>
      <c r="N217" s="3" t="n">
        <v>45058</v>
      </c>
      <c r="O217" s="2" t="n">
        <v>27.9</v>
      </c>
      <c r="P217" s="2" t="n">
        <v>3</v>
      </c>
      <c r="Q217" s="62" t="str">
        <f aca="false">IF(ISBLANK(N217),"",IF(N217&lt;DATE(2023,5,1),"OLD","NEW"))</f>
        <v>NEW</v>
      </c>
      <c r="S217" s="33" t="n">
        <f aca="false">IF(COUNTIF('[1]Plate_1-2_LongFormat'!$A$2:$A$193,G217)&gt;0,1,0)</f>
        <v>0</v>
      </c>
      <c r="T217" s="33" t="n">
        <f aca="false">IF(COUNTIF([2]Attached_indexes!$C$2:$C$193,G217)&gt;0,1,0)</f>
        <v>0</v>
      </c>
      <c r="U217" s="59"/>
      <c r="V217" s="1" t="s">
        <v>982</v>
      </c>
    </row>
    <row r="218" customFormat="false" ht="15.75" hidden="false" customHeight="true" outlineLevel="0" collapsed="false">
      <c r="A218" s="18" t="s">
        <v>586</v>
      </c>
      <c r="B218" s="18" t="s">
        <v>586</v>
      </c>
      <c r="C218" s="18" t="s">
        <v>40</v>
      </c>
      <c r="E218" s="66" t="n">
        <v>11</v>
      </c>
      <c r="F218" s="21" t="str">
        <f aca="false">CONCATENATE(B218,"_",C218, TEXT(E218, "000"))</f>
        <v>CCNB_M. guttatus011</v>
      </c>
      <c r="G218" s="21" t="s">
        <v>603</v>
      </c>
      <c r="H218" s="18" t="n">
        <v>1</v>
      </c>
      <c r="I218" s="22" t="n">
        <v>44702</v>
      </c>
      <c r="J218" s="2" t="s">
        <v>981</v>
      </c>
      <c r="K218" s="68" t="s">
        <v>1008</v>
      </c>
      <c r="L218" s="2" t="n">
        <v>1</v>
      </c>
      <c r="M218" s="2" t="n">
        <v>1</v>
      </c>
      <c r="N218" s="3" t="n">
        <v>45071</v>
      </c>
      <c r="O218" s="2" t="n">
        <v>12.1</v>
      </c>
      <c r="P218" s="2" t="n">
        <v>4</v>
      </c>
      <c r="Q218" s="62" t="str">
        <f aca="false">IF(ISBLANK(N218),"",IF(N218&lt;DATE(2023,5,1),"OLD","NEW"))</f>
        <v>NEW</v>
      </c>
      <c r="S218" s="33" t="n">
        <f aca="false">IF(COUNTIF('[1]Plate_1-2_LongFormat'!$A$2:$A$193,G218)&gt;0,1,0)</f>
        <v>0</v>
      </c>
      <c r="T218" s="33" t="n">
        <f aca="false">IF(COUNTIF([2]Attached_indexes!$C$2:$C$193,G218)&gt;0,1,0)</f>
        <v>0</v>
      </c>
      <c r="U218" s="59"/>
      <c r="V218" s="1" t="s">
        <v>982</v>
      </c>
    </row>
    <row r="219" customFormat="false" ht="15.75" hidden="false" customHeight="true" outlineLevel="0" collapsed="false">
      <c r="A219" s="18" t="s">
        <v>586</v>
      </c>
      <c r="B219" s="18" t="s">
        <v>586</v>
      </c>
      <c r="C219" s="18" t="s">
        <v>40</v>
      </c>
      <c r="E219" s="66" t="n">
        <v>11</v>
      </c>
      <c r="F219" s="21" t="str">
        <f aca="false">CONCATENATE(B219,"_",C219, TEXT(E219, "000"))</f>
        <v>CCNB_M. guttatus011</v>
      </c>
      <c r="G219" s="21" t="s">
        <v>603</v>
      </c>
      <c r="H219" s="18" t="n">
        <v>1</v>
      </c>
      <c r="I219" s="22" t="n">
        <v>44702</v>
      </c>
      <c r="J219" s="2" t="s">
        <v>981</v>
      </c>
      <c r="K219" s="68" t="s">
        <v>1008</v>
      </c>
      <c r="L219" s="2" t="n">
        <v>1</v>
      </c>
      <c r="M219" s="2" t="n">
        <v>1</v>
      </c>
      <c r="N219" s="3" t="n">
        <v>45071</v>
      </c>
      <c r="O219" s="2" t="n">
        <v>12.1</v>
      </c>
      <c r="P219" s="2" t="n">
        <v>4</v>
      </c>
      <c r="Q219" s="62" t="str">
        <f aca="false">IF(ISBLANK(N219),"",IF(N219&lt;DATE(2023,5,1),"OLD","NEW"))</f>
        <v>NEW</v>
      </c>
      <c r="S219" s="33" t="n">
        <f aca="false">IF(COUNTIF('[1]Plate_1-2_LongFormat'!$A$2:$A$193,G219)&gt;0,1,0)</f>
        <v>0</v>
      </c>
      <c r="T219" s="33" t="n">
        <f aca="false">IF(COUNTIF([2]Attached_indexes!$C$2:$C$193,G219)&gt;0,1,0)</f>
        <v>0</v>
      </c>
      <c r="U219" s="59"/>
      <c r="V219" s="1" t="s">
        <v>982</v>
      </c>
    </row>
    <row r="220" customFormat="false" ht="15.75" hidden="false" customHeight="true" outlineLevel="0" collapsed="false">
      <c r="A220" s="18" t="s">
        <v>586</v>
      </c>
      <c r="B220" s="18" t="s">
        <v>586</v>
      </c>
      <c r="C220" s="18" t="s">
        <v>40</v>
      </c>
      <c r="E220" s="66" t="n">
        <v>11</v>
      </c>
      <c r="F220" s="21" t="str">
        <f aca="false">CONCATENATE(B220,"_",C220, TEXT(E220, "000"))</f>
        <v>CCNB_M. guttatus011</v>
      </c>
      <c r="G220" s="21" t="s">
        <v>603</v>
      </c>
      <c r="H220" s="18" t="n">
        <v>1</v>
      </c>
      <c r="I220" s="22" t="n">
        <v>44702</v>
      </c>
      <c r="J220" s="2" t="s">
        <v>981</v>
      </c>
      <c r="K220" s="68" t="s">
        <v>1008</v>
      </c>
      <c r="L220" s="2" t="n">
        <v>1</v>
      </c>
      <c r="M220" s="2" t="n">
        <v>1</v>
      </c>
      <c r="N220" s="3" t="n">
        <v>45071</v>
      </c>
      <c r="O220" s="2" t="n">
        <v>12.1</v>
      </c>
      <c r="P220" s="2" t="n">
        <v>4</v>
      </c>
      <c r="Q220" s="62" t="str">
        <f aca="false">IF(ISBLANK(N220),"",IF(N220&lt;DATE(2023,5,1),"OLD","NEW"))</f>
        <v>NEW</v>
      </c>
      <c r="S220" s="33" t="n">
        <f aca="false">IF(COUNTIF('[1]Plate_1-2_LongFormat'!$A$2:$A$193,G220)&gt;0,1,0)</f>
        <v>0</v>
      </c>
      <c r="T220" s="33" t="n">
        <f aca="false">IF(COUNTIF([2]Attached_indexes!$C$2:$C$193,G220)&gt;0,1,0)</f>
        <v>0</v>
      </c>
      <c r="U220" s="59"/>
      <c r="V220" s="1" t="s">
        <v>982</v>
      </c>
    </row>
    <row r="221" customFormat="false" ht="15.75" hidden="false" customHeight="true" outlineLevel="0" collapsed="false">
      <c r="A221" s="18" t="s">
        <v>586</v>
      </c>
      <c r="B221" s="18" t="s">
        <v>586</v>
      </c>
      <c r="C221" s="18" t="s">
        <v>40</v>
      </c>
      <c r="D221" s="2"/>
      <c r="E221" s="66" t="n">
        <v>12</v>
      </c>
      <c r="F221" s="21" t="str">
        <f aca="false">CONCATENATE(B221,"_",C221, TEXT(E221, "000"))</f>
        <v>CCNB_M. guttatus012</v>
      </c>
      <c r="G221" s="21" t="s">
        <v>605</v>
      </c>
      <c r="H221" s="18" t="n">
        <v>1</v>
      </c>
      <c r="I221" s="22" t="n">
        <v>44702</v>
      </c>
      <c r="J221" s="2" t="s">
        <v>981</v>
      </c>
      <c r="K221" s="68" t="s">
        <v>1009</v>
      </c>
      <c r="L221" s="2" t="n">
        <v>1</v>
      </c>
      <c r="M221" s="2" t="n">
        <v>1</v>
      </c>
      <c r="N221" s="3" t="n">
        <v>45071</v>
      </c>
      <c r="O221" s="2" t="n">
        <v>8.9</v>
      </c>
      <c r="P221" s="2" t="n">
        <v>4</v>
      </c>
      <c r="Q221" s="62" t="str">
        <f aca="false">IF(ISBLANK(N221),"",IF(N221&lt;DATE(2023,5,1),"OLD","NEW"))</f>
        <v>NEW</v>
      </c>
      <c r="S221" s="33" t="n">
        <f aca="false">IF(COUNTIF('[1]Plate_1-2_LongFormat'!$A$2:$A$193,G221)&gt;0,1,0)</f>
        <v>0</v>
      </c>
      <c r="T221" s="33" t="n">
        <f aca="false">IF(COUNTIF([2]Attached_indexes!$C$2:$C$193,G221)&gt;0,1,0)</f>
        <v>0</v>
      </c>
      <c r="U221" s="59"/>
      <c r="V221" s="1" t="s">
        <v>982</v>
      </c>
    </row>
    <row r="222" customFormat="false" ht="15.75" hidden="false" customHeight="true" outlineLevel="0" collapsed="false">
      <c r="A222" s="18" t="s">
        <v>586</v>
      </c>
      <c r="B222" s="18" t="s">
        <v>586</v>
      </c>
      <c r="C222" s="18" t="s">
        <v>40</v>
      </c>
      <c r="D222" s="2"/>
      <c r="E222" s="66" t="n">
        <v>12</v>
      </c>
      <c r="F222" s="21" t="str">
        <f aca="false">CONCATENATE(B222,"_",C222, TEXT(E222, "000"))</f>
        <v>CCNB_M. guttatus012</v>
      </c>
      <c r="G222" s="21" t="s">
        <v>605</v>
      </c>
      <c r="H222" s="18" t="n">
        <v>1</v>
      </c>
      <c r="I222" s="22" t="n">
        <v>44702</v>
      </c>
      <c r="J222" s="2" t="s">
        <v>981</v>
      </c>
      <c r="K222" s="68" t="s">
        <v>1009</v>
      </c>
      <c r="L222" s="2" t="n">
        <v>1</v>
      </c>
      <c r="M222" s="2" t="n">
        <v>1</v>
      </c>
      <c r="N222" s="3" t="n">
        <v>45071</v>
      </c>
      <c r="O222" s="2" t="n">
        <v>8.9</v>
      </c>
      <c r="P222" s="2" t="n">
        <v>4</v>
      </c>
      <c r="Q222" s="62" t="str">
        <f aca="false">IF(ISBLANK(N222),"",IF(N222&lt;DATE(2023,5,1),"OLD","NEW"))</f>
        <v>NEW</v>
      </c>
      <c r="S222" s="33" t="n">
        <f aca="false">IF(COUNTIF('[1]Plate_1-2_LongFormat'!$A$2:$A$193,G222)&gt;0,1,0)</f>
        <v>0</v>
      </c>
      <c r="T222" s="33" t="n">
        <f aca="false">IF(COUNTIF([2]Attached_indexes!$C$2:$C$193,G222)&gt;0,1,0)</f>
        <v>0</v>
      </c>
      <c r="U222" s="59"/>
      <c r="V222" s="1" t="s">
        <v>982</v>
      </c>
    </row>
    <row r="223" customFormat="false" ht="15.75" hidden="false" customHeight="true" outlineLevel="0" collapsed="false">
      <c r="A223" s="18" t="s">
        <v>586</v>
      </c>
      <c r="B223" s="18" t="s">
        <v>586</v>
      </c>
      <c r="C223" s="18" t="s">
        <v>40</v>
      </c>
      <c r="D223" s="2"/>
      <c r="E223" s="66" t="n">
        <v>12</v>
      </c>
      <c r="F223" s="21" t="str">
        <f aca="false">CONCATENATE(B223,"_",C223, TEXT(E223, "000"))</f>
        <v>CCNB_M. guttatus012</v>
      </c>
      <c r="G223" s="21" t="s">
        <v>605</v>
      </c>
      <c r="H223" s="18" t="n">
        <v>1</v>
      </c>
      <c r="I223" s="22" t="n">
        <v>44702</v>
      </c>
      <c r="J223" s="2" t="s">
        <v>981</v>
      </c>
      <c r="K223" s="68" t="s">
        <v>1009</v>
      </c>
      <c r="L223" s="2" t="n">
        <v>1</v>
      </c>
      <c r="M223" s="2" t="n">
        <v>1</v>
      </c>
      <c r="N223" s="3" t="n">
        <v>45071</v>
      </c>
      <c r="O223" s="2" t="n">
        <v>8.9</v>
      </c>
      <c r="P223" s="2" t="n">
        <v>4</v>
      </c>
      <c r="Q223" s="62" t="str">
        <f aca="false">IF(ISBLANK(N223),"",IF(N223&lt;DATE(2023,5,1),"OLD","NEW"))</f>
        <v>NEW</v>
      </c>
      <c r="S223" s="33" t="n">
        <f aca="false">IF(COUNTIF('[1]Plate_1-2_LongFormat'!$A$2:$A$193,G223)&gt;0,1,0)</f>
        <v>0</v>
      </c>
      <c r="T223" s="33" t="n">
        <f aca="false">IF(COUNTIF([2]Attached_indexes!$C$2:$C$193,G223)&gt;0,1,0)</f>
        <v>0</v>
      </c>
      <c r="U223" s="59"/>
      <c r="V223" s="1" t="s">
        <v>982</v>
      </c>
    </row>
    <row r="224" customFormat="false" ht="15.75" hidden="false" customHeight="true" outlineLevel="0" collapsed="false">
      <c r="A224" s="18" t="s">
        <v>586</v>
      </c>
      <c r="B224" s="18" t="s">
        <v>586</v>
      </c>
      <c r="C224" s="18" t="s">
        <v>40</v>
      </c>
      <c r="D224" s="2"/>
      <c r="E224" s="66" t="n">
        <v>2</v>
      </c>
      <c r="F224" s="21" t="str">
        <f aca="false">CONCATENATE(B224,"_",C224, TEXT(E224, "000"))</f>
        <v>CCNB_M. guttatus002</v>
      </c>
      <c r="G224" s="21" t="s">
        <v>589</v>
      </c>
      <c r="H224" s="18" t="n">
        <v>1</v>
      </c>
      <c r="I224" s="22" t="n">
        <v>44702</v>
      </c>
      <c r="J224" s="2" t="s">
        <v>981</v>
      </c>
      <c r="K224" s="68" t="s">
        <v>1010</v>
      </c>
      <c r="L224" s="2" t="n">
        <v>1</v>
      </c>
      <c r="M224" s="2" t="n">
        <v>1</v>
      </c>
      <c r="N224" s="3" t="n">
        <v>45076</v>
      </c>
      <c r="O224" s="2" t="n">
        <v>7.25</v>
      </c>
      <c r="P224" s="2" t="n">
        <v>4</v>
      </c>
      <c r="Q224" s="62" t="str">
        <f aca="false">IF(ISBLANK(N224),"",IF(N224&lt;DATE(2023,5,1),"OLD","NEW"))</f>
        <v>NEW</v>
      </c>
      <c r="S224" s="33" t="n">
        <f aca="false">IF(COUNTIF('[1]Plate_1-2_LongFormat'!$A$2:$A$193,G224)&gt;0,1,0)</f>
        <v>0</v>
      </c>
      <c r="T224" s="33" t="n">
        <f aca="false">IF(COUNTIF([2]Attached_indexes!$C$2:$C$193,G224)&gt;0,1,0)</f>
        <v>0</v>
      </c>
      <c r="U224" s="59"/>
      <c r="V224" s="1" t="s">
        <v>982</v>
      </c>
    </row>
    <row r="225" customFormat="false" ht="15.75" hidden="false" customHeight="true" outlineLevel="0" collapsed="false">
      <c r="A225" s="18" t="s">
        <v>586</v>
      </c>
      <c r="B225" s="18" t="s">
        <v>586</v>
      </c>
      <c r="C225" s="18" t="s">
        <v>40</v>
      </c>
      <c r="E225" s="66" t="n">
        <v>2</v>
      </c>
      <c r="F225" s="21" t="str">
        <f aca="false">CONCATENATE(B225,"_",C225, TEXT(E225, "000"))</f>
        <v>CCNB_M. guttatus002</v>
      </c>
      <c r="G225" s="21" t="s">
        <v>589</v>
      </c>
      <c r="H225" s="18" t="n">
        <v>1</v>
      </c>
      <c r="I225" s="22" t="n">
        <v>44702</v>
      </c>
      <c r="J225" s="2" t="s">
        <v>981</v>
      </c>
      <c r="K225" s="68" t="s">
        <v>1010</v>
      </c>
      <c r="L225" s="2" t="n">
        <v>1</v>
      </c>
      <c r="M225" s="2" t="n">
        <v>1</v>
      </c>
      <c r="N225" s="3" t="n">
        <v>45076</v>
      </c>
      <c r="O225" s="2" t="n">
        <v>7.25</v>
      </c>
      <c r="P225" s="2" t="n">
        <v>4</v>
      </c>
      <c r="Q225" s="62" t="str">
        <f aca="false">IF(ISBLANK(N225),"",IF(N225&lt;DATE(2023,5,1),"OLD","NEW"))</f>
        <v>NEW</v>
      </c>
      <c r="S225" s="33" t="n">
        <f aca="false">IF(COUNTIF('[1]Plate_1-2_LongFormat'!$A$2:$A$193,G225)&gt;0,1,0)</f>
        <v>0</v>
      </c>
      <c r="T225" s="33" t="n">
        <f aca="false">IF(COUNTIF([2]Attached_indexes!$C$2:$C$193,G225)&gt;0,1,0)</f>
        <v>0</v>
      </c>
      <c r="U225" s="59"/>
      <c r="V225" s="1" t="s">
        <v>982</v>
      </c>
    </row>
    <row r="226" customFormat="false" ht="15.75" hidden="false" customHeight="true" outlineLevel="0" collapsed="false">
      <c r="A226" s="18" t="s">
        <v>586</v>
      </c>
      <c r="B226" s="18" t="s">
        <v>586</v>
      </c>
      <c r="C226" s="18" t="s">
        <v>40</v>
      </c>
      <c r="E226" s="66" t="n">
        <v>2</v>
      </c>
      <c r="F226" s="21" t="str">
        <f aca="false">CONCATENATE(B226,"_",C226, TEXT(E226, "000"))</f>
        <v>CCNB_M. guttatus002</v>
      </c>
      <c r="G226" s="21" t="s">
        <v>589</v>
      </c>
      <c r="H226" s="18" t="n">
        <v>1</v>
      </c>
      <c r="I226" s="22" t="n">
        <v>44702</v>
      </c>
      <c r="J226" s="2" t="s">
        <v>981</v>
      </c>
      <c r="K226" s="68" t="s">
        <v>1010</v>
      </c>
      <c r="L226" s="2" t="n">
        <v>1</v>
      </c>
      <c r="M226" s="2" t="n">
        <v>1</v>
      </c>
      <c r="N226" s="3" t="n">
        <v>45076</v>
      </c>
      <c r="O226" s="2" t="n">
        <v>7.25</v>
      </c>
      <c r="P226" s="2" t="n">
        <v>4</v>
      </c>
      <c r="Q226" s="62" t="str">
        <f aca="false">IF(ISBLANK(N226),"",IF(N226&lt;DATE(2023,5,1),"OLD","NEW"))</f>
        <v>NEW</v>
      </c>
      <c r="S226" s="33" t="n">
        <f aca="false">IF(COUNTIF('[1]Plate_1-2_LongFormat'!$A$2:$A$193,G226)&gt;0,1,0)</f>
        <v>0</v>
      </c>
      <c r="T226" s="33" t="n">
        <f aca="false">IF(COUNTIF([2]Attached_indexes!$C$2:$C$193,G226)&gt;0,1,0)</f>
        <v>0</v>
      </c>
      <c r="U226" s="59"/>
      <c r="V226" s="1" t="s">
        <v>982</v>
      </c>
    </row>
    <row r="227" customFormat="false" ht="15.75" hidden="false" customHeight="true" outlineLevel="0" collapsed="false">
      <c r="A227" s="18" t="s">
        <v>586</v>
      </c>
      <c r="B227" s="18" t="s">
        <v>586</v>
      </c>
      <c r="C227" s="18" t="s">
        <v>40</v>
      </c>
      <c r="E227" s="66" t="n">
        <v>3</v>
      </c>
      <c r="F227" s="21" t="str">
        <f aca="false">CONCATENATE(B227,"_",C227, TEXT(E227, "000"))</f>
        <v>CCNB_M. guttatus003</v>
      </c>
      <c r="G227" s="21" t="s">
        <v>590</v>
      </c>
      <c r="H227" s="18" t="n">
        <v>1</v>
      </c>
      <c r="I227" s="22" t="n">
        <v>44702</v>
      </c>
      <c r="J227" s="2" t="s">
        <v>981</v>
      </c>
      <c r="K227" s="68" t="s">
        <v>1011</v>
      </c>
      <c r="L227" s="2" t="n">
        <v>1</v>
      </c>
      <c r="M227" s="2" t="n">
        <v>1</v>
      </c>
      <c r="N227" s="3" t="n">
        <v>45071</v>
      </c>
      <c r="O227" s="2" t="n">
        <v>7.79</v>
      </c>
      <c r="P227" s="2" t="n">
        <v>4</v>
      </c>
      <c r="Q227" s="62" t="str">
        <f aca="false">IF(ISBLANK(N227),"",IF(N227&lt;DATE(2023,5,1),"OLD","NEW"))</f>
        <v>NEW</v>
      </c>
      <c r="S227" s="33" t="n">
        <f aca="false">IF(COUNTIF('[1]Plate_1-2_LongFormat'!$A$2:$A$193,G227)&gt;0,1,0)</f>
        <v>0</v>
      </c>
      <c r="T227" s="33" t="n">
        <f aca="false">IF(COUNTIF([2]Attached_indexes!$C$2:$C$193,G227)&gt;0,1,0)</f>
        <v>0</v>
      </c>
      <c r="U227" s="59"/>
      <c r="V227" s="1" t="s">
        <v>982</v>
      </c>
    </row>
    <row r="228" customFormat="false" ht="15.75" hidden="false" customHeight="true" outlineLevel="0" collapsed="false">
      <c r="A228" s="18" t="s">
        <v>586</v>
      </c>
      <c r="B228" s="18" t="s">
        <v>586</v>
      </c>
      <c r="C228" s="18" t="s">
        <v>40</v>
      </c>
      <c r="E228" s="66" t="n">
        <v>3</v>
      </c>
      <c r="F228" s="21" t="str">
        <f aca="false">CONCATENATE(B228,"_",C228, TEXT(E228, "000"))</f>
        <v>CCNB_M. guttatus003</v>
      </c>
      <c r="G228" s="21" t="s">
        <v>590</v>
      </c>
      <c r="H228" s="18" t="n">
        <v>1</v>
      </c>
      <c r="I228" s="22" t="n">
        <v>44702</v>
      </c>
      <c r="J228" s="2" t="s">
        <v>981</v>
      </c>
      <c r="K228" s="68" t="s">
        <v>1011</v>
      </c>
      <c r="L228" s="2" t="n">
        <v>1</v>
      </c>
      <c r="M228" s="2" t="n">
        <v>1</v>
      </c>
      <c r="N228" s="3" t="n">
        <v>45071</v>
      </c>
      <c r="O228" s="2" t="n">
        <v>7.79</v>
      </c>
      <c r="P228" s="2" t="n">
        <v>4</v>
      </c>
      <c r="Q228" s="62" t="str">
        <f aca="false">IF(ISBLANK(N228),"",IF(N228&lt;DATE(2023,5,1),"OLD","NEW"))</f>
        <v>NEW</v>
      </c>
      <c r="S228" s="33" t="n">
        <f aca="false">IF(COUNTIF('[1]Plate_1-2_LongFormat'!$A$2:$A$193,G228)&gt;0,1,0)</f>
        <v>0</v>
      </c>
      <c r="T228" s="33" t="n">
        <f aca="false">IF(COUNTIF([2]Attached_indexes!$C$2:$C$193,G228)&gt;0,1,0)</f>
        <v>0</v>
      </c>
      <c r="U228" s="59"/>
      <c r="V228" s="1" t="s">
        <v>982</v>
      </c>
    </row>
    <row r="229" customFormat="false" ht="15.75" hidden="false" customHeight="true" outlineLevel="0" collapsed="false">
      <c r="A229" s="18" t="s">
        <v>586</v>
      </c>
      <c r="B229" s="18" t="s">
        <v>586</v>
      </c>
      <c r="C229" s="18" t="s">
        <v>40</v>
      </c>
      <c r="E229" s="66" t="n">
        <v>3</v>
      </c>
      <c r="F229" s="21" t="str">
        <f aca="false">CONCATENATE(B229,"_",C229, TEXT(E229, "000"))</f>
        <v>CCNB_M. guttatus003</v>
      </c>
      <c r="G229" s="21" t="s">
        <v>590</v>
      </c>
      <c r="H229" s="18" t="n">
        <v>1</v>
      </c>
      <c r="I229" s="22" t="n">
        <v>44702</v>
      </c>
      <c r="J229" s="2" t="s">
        <v>981</v>
      </c>
      <c r="K229" s="68" t="s">
        <v>1011</v>
      </c>
      <c r="L229" s="2" t="n">
        <v>1</v>
      </c>
      <c r="M229" s="2" t="n">
        <v>1</v>
      </c>
      <c r="N229" s="3" t="n">
        <v>45071</v>
      </c>
      <c r="O229" s="2" t="n">
        <v>7.79</v>
      </c>
      <c r="P229" s="2" t="n">
        <v>4</v>
      </c>
      <c r="Q229" s="62" t="str">
        <f aca="false">IF(ISBLANK(N229),"",IF(N229&lt;DATE(2023,5,1),"OLD","NEW"))</f>
        <v>NEW</v>
      </c>
      <c r="S229" s="33" t="n">
        <f aca="false">IF(COUNTIF('[1]Plate_1-2_LongFormat'!$A$2:$A$193,G229)&gt;0,1,0)</f>
        <v>0</v>
      </c>
      <c r="T229" s="33" t="n">
        <f aca="false">IF(COUNTIF([2]Attached_indexes!$C$2:$C$193,G229)&gt;0,1,0)</f>
        <v>0</v>
      </c>
      <c r="U229" s="59"/>
      <c r="V229" s="1" t="s">
        <v>982</v>
      </c>
    </row>
    <row r="230" customFormat="false" ht="15.75" hidden="false" customHeight="true" outlineLevel="0" collapsed="false">
      <c r="A230" s="18" t="s">
        <v>586</v>
      </c>
      <c r="B230" s="18" t="s">
        <v>586</v>
      </c>
      <c r="C230" s="18" t="s">
        <v>40</v>
      </c>
      <c r="E230" s="66" t="n">
        <v>4</v>
      </c>
      <c r="F230" s="21" t="str">
        <f aca="false">CONCATENATE(B230,"_",C230, TEXT(E230, "000"))</f>
        <v>CCNB_M. guttatus004</v>
      </c>
      <c r="G230" s="21" t="s">
        <v>592</v>
      </c>
      <c r="H230" s="18" t="n">
        <v>1</v>
      </c>
      <c r="I230" s="22" t="n">
        <v>44702</v>
      </c>
      <c r="J230" s="2" t="s">
        <v>981</v>
      </c>
      <c r="L230" s="2" t="n">
        <v>1</v>
      </c>
      <c r="M230" s="2" t="n">
        <v>1</v>
      </c>
      <c r="N230" s="3" t="n">
        <v>44914</v>
      </c>
      <c r="O230" s="2" t="n">
        <v>10.1</v>
      </c>
      <c r="P230" s="2" t="n">
        <v>2</v>
      </c>
      <c r="Q230" s="62" t="str">
        <f aca="false">IF(ISBLANK(N230),"",IF(N230&lt;DATE(2023,5,1),"OLD","NEW"))</f>
        <v>OLD</v>
      </c>
      <c r="S230" s="33" t="n">
        <f aca="false">IF(COUNTIF('[1]Plate_1-2_LongFormat'!$A$2:$A$193,G230)&gt;0,1,0)</f>
        <v>1</v>
      </c>
      <c r="T230" s="33" t="n">
        <f aca="false">IF(COUNTIF([2]Attached_indexes!$C$2:$C$193,G230)&gt;0,1,0)</f>
        <v>1</v>
      </c>
      <c r="U230" s="59"/>
      <c r="V230" s="1" t="s">
        <v>982</v>
      </c>
    </row>
    <row r="231" customFormat="false" ht="15.75" hidden="false" customHeight="true" outlineLevel="0" collapsed="false">
      <c r="A231" s="18" t="s">
        <v>586</v>
      </c>
      <c r="B231" s="18" t="s">
        <v>586</v>
      </c>
      <c r="C231" s="18" t="s">
        <v>40</v>
      </c>
      <c r="E231" s="66" t="n">
        <v>4</v>
      </c>
      <c r="F231" s="21" t="str">
        <f aca="false">CONCATENATE(B231,"_",C231, TEXT(E231, "000"))</f>
        <v>CCNB_M. guttatus004</v>
      </c>
      <c r="G231" s="21" t="s">
        <v>592</v>
      </c>
      <c r="H231" s="18" t="n">
        <v>1</v>
      </c>
      <c r="I231" s="22" t="n">
        <v>44702</v>
      </c>
      <c r="J231" s="2" t="s">
        <v>981</v>
      </c>
      <c r="L231" s="2" t="n">
        <v>1</v>
      </c>
      <c r="M231" s="2" t="n">
        <v>1</v>
      </c>
      <c r="N231" s="3" t="n">
        <v>44914</v>
      </c>
      <c r="O231" s="2" t="n">
        <v>10.1</v>
      </c>
      <c r="P231" s="2" t="n">
        <v>2</v>
      </c>
      <c r="Q231" s="62" t="str">
        <f aca="false">IF(ISBLANK(N231),"",IF(N231&lt;DATE(2023,5,1),"OLD","NEW"))</f>
        <v>OLD</v>
      </c>
      <c r="S231" s="33" t="n">
        <f aca="false">IF(COUNTIF('[1]Plate_1-2_LongFormat'!$A$2:$A$193,G231)&gt;0,1,0)</f>
        <v>1</v>
      </c>
      <c r="T231" s="33" t="n">
        <f aca="false">IF(COUNTIF([2]Attached_indexes!$C$2:$C$193,G231)&gt;0,1,0)</f>
        <v>1</v>
      </c>
      <c r="U231" s="59"/>
      <c r="V231" s="1" t="s">
        <v>982</v>
      </c>
    </row>
    <row r="232" customFormat="false" ht="15.75" hidden="false" customHeight="true" outlineLevel="0" collapsed="false">
      <c r="A232" s="18" t="s">
        <v>586</v>
      </c>
      <c r="B232" s="18" t="s">
        <v>586</v>
      </c>
      <c r="C232" s="18" t="s">
        <v>40</v>
      </c>
      <c r="E232" s="66" t="n">
        <v>4</v>
      </c>
      <c r="F232" s="21" t="str">
        <f aca="false">CONCATENATE(B232,"_",C232, TEXT(E232, "000"))</f>
        <v>CCNB_M. guttatus004</v>
      </c>
      <c r="G232" s="21" t="s">
        <v>592</v>
      </c>
      <c r="H232" s="18" t="n">
        <v>1</v>
      </c>
      <c r="I232" s="22" t="n">
        <v>44702</v>
      </c>
      <c r="J232" s="2" t="s">
        <v>981</v>
      </c>
      <c r="L232" s="2" t="n">
        <v>1</v>
      </c>
      <c r="M232" s="2" t="n">
        <v>1</v>
      </c>
      <c r="N232" s="3" t="n">
        <v>44914</v>
      </c>
      <c r="O232" s="2" t="n">
        <v>10.1</v>
      </c>
      <c r="P232" s="2" t="n">
        <v>2</v>
      </c>
      <c r="Q232" s="62" t="str">
        <f aca="false">IF(ISBLANK(N232),"",IF(N232&lt;DATE(2023,5,1),"OLD","NEW"))</f>
        <v>OLD</v>
      </c>
      <c r="S232" s="33" t="n">
        <f aca="false">IF(COUNTIF('[1]Plate_1-2_LongFormat'!$A$2:$A$193,G232)&gt;0,1,0)</f>
        <v>1</v>
      </c>
      <c r="T232" s="33" t="n">
        <f aca="false">IF(COUNTIF([2]Attached_indexes!$C$2:$C$193,G232)&gt;0,1,0)</f>
        <v>1</v>
      </c>
      <c r="U232" s="59"/>
      <c r="V232" s="1" t="s">
        <v>982</v>
      </c>
    </row>
    <row r="233" customFormat="false" ht="15.75" hidden="false" customHeight="true" outlineLevel="0" collapsed="false">
      <c r="A233" s="18" t="s">
        <v>586</v>
      </c>
      <c r="B233" s="18" t="s">
        <v>586</v>
      </c>
      <c r="C233" s="18" t="s">
        <v>40</v>
      </c>
      <c r="E233" s="66" t="n">
        <v>5</v>
      </c>
      <c r="F233" s="21" t="str">
        <f aca="false">CONCATENATE(B233,"_",C233, TEXT(E233, "000"))</f>
        <v>CCNB_M. guttatus005</v>
      </c>
      <c r="G233" s="21" t="s">
        <v>594</v>
      </c>
      <c r="H233" s="18" t="n">
        <v>1</v>
      </c>
      <c r="I233" s="22" t="n">
        <v>44702</v>
      </c>
      <c r="J233" s="2" t="s">
        <v>981</v>
      </c>
      <c r="K233" s="68" t="s">
        <v>1012</v>
      </c>
      <c r="L233" s="2" t="n">
        <v>1</v>
      </c>
      <c r="M233" s="2" t="n">
        <v>1</v>
      </c>
      <c r="N233" s="3" t="n">
        <v>45071</v>
      </c>
      <c r="O233" s="2" t="n">
        <v>14.2</v>
      </c>
      <c r="P233" s="2" t="n">
        <v>4</v>
      </c>
      <c r="Q233" s="62" t="str">
        <f aca="false">IF(ISBLANK(N233),"",IF(N233&lt;DATE(2023,5,1),"OLD","NEW"))</f>
        <v>NEW</v>
      </c>
      <c r="S233" s="33" t="n">
        <f aca="false">IF(COUNTIF('[1]Plate_1-2_LongFormat'!$A$2:$A$193,G233)&gt;0,1,0)</f>
        <v>0</v>
      </c>
      <c r="T233" s="33" t="n">
        <f aca="false">IF(COUNTIF([2]Attached_indexes!$C$2:$C$193,G233)&gt;0,1,0)</f>
        <v>0</v>
      </c>
      <c r="U233" s="59"/>
      <c r="V233" s="1" t="s">
        <v>982</v>
      </c>
    </row>
    <row r="234" customFormat="false" ht="15.75" hidden="false" customHeight="true" outlineLevel="0" collapsed="false">
      <c r="A234" s="18" t="s">
        <v>586</v>
      </c>
      <c r="B234" s="18" t="s">
        <v>586</v>
      </c>
      <c r="C234" s="18" t="s">
        <v>40</v>
      </c>
      <c r="E234" s="66" t="n">
        <v>5</v>
      </c>
      <c r="F234" s="21" t="str">
        <f aca="false">CONCATENATE(B234,"_",C234, TEXT(E234, "000"))</f>
        <v>CCNB_M. guttatus005</v>
      </c>
      <c r="G234" s="21" t="s">
        <v>594</v>
      </c>
      <c r="H234" s="18" t="n">
        <v>1</v>
      </c>
      <c r="I234" s="22" t="n">
        <v>44702</v>
      </c>
      <c r="J234" s="2" t="s">
        <v>981</v>
      </c>
      <c r="K234" s="68" t="s">
        <v>1012</v>
      </c>
      <c r="L234" s="2" t="n">
        <v>1</v>
      </c>
      <c r="M234" s="2" t="n">
        <v>1</v>
      </c>
      <c r="N234" s="3" t="n">
        <v>45071</v>
      </c>
      <c r="O234" s="2" t="n">
        <v>14.2</v>
      </c>
      <c r="P234" s="2" t="n">
        <v>4</v>
      </c>
      <c r="Q234" s="62" t="str">
        <f aca="false">IF(ISBLANK(N234),"",IF(N234&lt;DATE(2023,5,1),"OLD","NEW"))</f>
        <v>NEW</v>
      </c>
      <c r="S234" s="33" t="n">
        <f aca="false">IF(COUNTIF('[1]Plate_1-2_LongFormat'!$A$2:$A$193,G234)&gt;0,1,0)</f>
        <v>0</v>
      </c>
      <c r="T234" s="33" t="n">
        <f aca="false">IF(COUNTIF([2]Attached_indexes!$C$2:$C$193,G234)&gt;0,1,0)</f>
        <v>0</v>
      </c>
      <c r="U234" s="59"/>
      <c r="V234" s="1" t="s">
        <v>982</v>
      </c>
    </row>
    <row r="235" customFormat="false" ht="15.75" hidden="false" customHeight="true" outlineLevel="0" collapsed="false">
      <c r="A235" s="18" t="s">
        <v>586</v>
      </c>
      <c r="B235" s="18" t="s">
        <v>586</v>
      </c>
      <c r="C235" s="18" t="s">
        <v>40</v>
      </c>
      <c r="E235" s="66" t="n">
        <v>5</v>
      </c>
      <c r="F235" s="21" t="str">
        <f aca="false">CONCATENATE(B235,"_",C235, TEXT(E235, "000"))</f>
        <v>CCNB_M. guttatus005</v>
      </c>
      <c r="G235" s="21" t="s">
        <v>594</v>
      </c>
      <c r="H235" s="18" t="n">
        <v>1</v>
      </c>
      <c r="I235" s="22" t="n">
        <v>44702</v>
      </c>
      <c r="J235" s="2" t="s">
        <v>981</v>
      </c>
      <c r="K235" s="68" t="s">
        <v>1012</v>
      </c>
      <c r="L235" s="2" t="n">
        <v>1</v>
      </c>
      <c r="M235" s="2" t="n">
        <v>1</v>
      </c>
      <c r="N235" s="3" t="n">
        <v>45071</v>
      </c>
      <c r="O235" s="2" t="n">
        <v>14.2</v>
      </c>
      <c r="P235" s="2" t="n">
        <v>4</v>
      </c>
      <c r="Q235" s="62" t="str">
        <f aca="false">IF(ISBLANK(N235),"",IF(N235&lt;DATE(2023,5,1),"OLD","NEW"))</f>
        <v>NEW</v>
      </c>
      <c r="S235" s="33" t="n">
        <f aca="false">IF(COUNTIF('[1]Plate_1-2_LongFormat'!$A$2:$A$193,G235)&gt;0,1,0)</f>
        <v>0</v>
      </c>
      <c r="T235" s="33" t="n">
        <f aca="false">IF(COUNTIF([2]Attached_indexes!$C$2:$C$193,G235)&gt;0,1,0)</f>
        <v>0</v>
      </c>
      <c r="U235" s="59"/>
      <c r="V235" s="1" t="s">
        <v>982</v>
      </c>
    </row>
    <row r="236" customFormat="false" ht="15.75" hidden="false" customHeight="true" outlineLevel="0" collapsed="false">
      <c r="A236" s="18" t="s">
        <v>586</v>
      </c>
      <c r="B236" s="18" t="s">
        <v>586</v>
      </c>
      <c r="C236" s="18" t="s">
        <v>40</v>
      </c>
      <c r="E236" s="66" t="n">
        <v>6</v>
      </c>
      <c r="F236" s="21" t="str">
        <f aca="false">CONCATENATE(B236,"_",C236, TEXT(E236, "000"))</f>
        <v>CCNB_M. guttatus006</v>
      </c>
      <c r="G236" s="21" t="s">
        <v>595</v>
      </c>
      <c r="H236" s="18" t="n">
        <v>1</v>
      </c>
      <c r="I236" s="22" t="n">
        <v>44702</v>
      </c>
      <c r="J236" s="2" t="s">
        <v>981</v>
      </c>
      <c r="K236" s="68" t="s">
        <v>1013</v>
      </c>
      <c r="L236" s="2" t="n">
        <v>1</v>
      </c>
      <c r="M236" s="2" t="n">
        <v>1</v>
      </c>
      <c r="N236" s="3" t="n">
        <v>45076</v>
      </c>
      <c r="O236" s="2" t="n">
        <v>13.9</v>
      </c>
      <c r="P236" s="2" t="n">
        <v>4</v>
      </c>
      <c r="Q236" s="62" t="str">
        <f aca="false">IF(ISBLANK(N236),"",IF(N236&lt;DATE(2023,5,1),"OLD","NEW"))</f>
        <v>NEW</v>
      </c>
      <c r="S236" s="33" t="n">
        <f aca="false">IF(COUNTIF('[1]Plate_1-2_LongFormat'!$A$2:$A$193,G236)&gt;0,1,0)</f>
        <v>0</v>
      </c>
      <c r="T236" s="33" t="n">
        <f aca="false">IF(COUNTIF([2]Attached_indexes!$C$2:$C$193,G236)&gt;0,1,0)</f>
        <v>0</v>
      </c>
      <c r="U236" s="59"/>
      <c r="V236" s="1" t="s">
        <v>982</v>
      </c>
    </row>
    <row r="237" customFormat="false" ht="15.75" hidden="false" customHeight="true" outlineLevel="0" collapsed="false">
      <c r="A237" s="18" t="s">
        <v>586</v>
      </c>
      <c r="B237" s="18" t="s">
        <v>586</v>
      </c>
      <c r="C237" s="18" t="s">
        <v>40</v>
      </c>
      <c r="E237" s="66" t="n">
        <v>6</v>
      </c>
      <c r="F237" s="21" t="str">
        <f aca="false">CONCATENATE(B237,"_",C237, TEXT(E237, "000"))</f>
        <v>CCNB_M. guttatus006</v>
      </c>
      <c r="G237" s="21" t="s">
        <v>595</v>
      </c>
      <c r="H237" s="18" t="n">
        <v>1</v>
      </c>
      <c r="I237" s="22" t="n">
        <v>44702</v>
      </c>
      <c r="J237" s="2" t="s">
        <v>981</v>
      </c>
      <c r="K237" s="68" t="s">
        <v>1013</v>
      </c>
      <c r="L237" s="2" t="n">
        <v>1</v>
      </c>
      <c r="M237" s="2" t="n">
        <v>1</v>
      </c>
      <c r="N237" s="3" t="n">
        <v>45076</v>
      </c>
      <c r="O237" s="2" t="n">
        <v>13.9</v>
      </c>
      <c r="P237" s="2" t="n">
        <v>4</v>
      </c>
      <c r="Q237" s="62" t="str">
        <f aca="false">IF(ISBLANK(N237),"",IF(N237&lt;DATE(2023,5,1),"OLD","NEW"))</f>
        <v>NEW</v>
      </c>
      <c r="S237" s="33" t="n">
        <f aca="false">IF(COUNTIF('[1]Plate_1-2_LongFormat'!$A$2:$A$193,G237)&gt;0,1,0)</f>
        <v>0</v>
      </c>
      <c r="T237" s="33" t="n">
        <f aca="false">IF(COUNTIF([2]Attached_indexes!$C$2:$C$193,G237)&gt;0,1,0)</f>
        <v>0</v>
      </c>
      <c r="U237" s="59"/>
      <c r="V237" s="1" t="s">
        <v>982</v>
      </c>
    </row>
    <row r="238" customFormat="false" ht="15.75" hidden="false" customHeight="true" outlineLevel="0" collapsed="false">
      <c r="A238" s="18" t="s">
        <v>586</v>
      </c>
      <c r="B238" s="18" t="s">
        <v>586</v>
      </c>
      <c r="C238" s="18" t="s">
        <v>40</v>
      </c>
      <c r="E238" s="66" t="n">
        <v>6</v>
      </c>
      <c r="F238" s="21" t="str">
        <f aca="false">CONCATENATE(B238,"_",C238, TEXT(E238, "000"))</f>
        <v>CCNB_M. guttatus006</v>
      </c>
      <c r="G238" s="21" t="s">
        <v>595</v>
      </c>
      <c r="H238" s="18" t="n">
        <v>1</v>
      </c>
      <c r="I238" s="22" t="n">
        <v>44702</v>
      </c>
      <c r="J238" s="2" t="s">
        <v>981</v>
      </c>
      <c r="K238" s="68" t="s">
        <v>1013</v>
      </c>
      <c r="L238" s="2" t="n">
        <v>1</v>
      </c>
      <c r="M238" s="2" t="n">
        <v>1</v>
      </c>
      <c r="N238" s="3" t="n">
        <v>45076</v>
      </c>
      <c r="O238" s="2" t="n">
        <v>13.9</v>
      </c>
      <c r="P238" s="2" t="n">
        <v>4</v>
      </c>
      <c r="Q238" s="62" t="str">
        <f aca="false">IF(ISBLANK(N238),"",IF(N238&lt;DATE(2023,5,1),"OLD","NEW"))</f>
        <v>NEW</v>
      </c>
      <c r="S238" s="33" t="n">
        <f aca="false">IF(COUNTIF('[1]Plate_1-2_LongFormat'!$A$2:$A$193,G238)&gt;0,1,0)</f>
        <v>0</v>
      </c>
      <c r="T238" s="33" t="n">
        <f aca="false">IF(COUNTIF([2]Attached_indexes!$C$2:$C$193,G238)&gt;0,1,0)</f>
        <v>0</v>
      </c>
      <c r="U238" s="59"/>
      <c r="V238" s="1" t="s">
        <v>982</v>
      </c>
    </row>
    <row r="239" customFormat="false" ht="15.75" hidden="false" customHeight="true" outlineLevel="0" collapsed="false">
      <c r="A239" s="18" t="s">
        <v>586</v>
      </c>
      <c r="B239" s="18" t="s">
        <v>586</v>
      </c>
      <c r="C239" s="18" t="s">
        <v>40</v>
      </c>
      <c r="E239" s="66" t="n">
        <v>7</v>
      </c>
      <c r="F239" s="21" t="str">
        <f aca="false">CONCATENATE(B239,"_",C239, TEXT(E239, "000"))</f>
        <v>CCNB_M. guttatus007</v>
      </c>
      <c r="G239" s="21" t="s">
        <v>596</v>
      </c>
      <c r="H239" s="18" t="n">
        <v>1</v>
      </c>
      <c r="I239" s="22" t="n">
        <v>44702</v>
      </c>
      <c r="J239" s="2" t="s">
        <v>981</v>
      </c>
      <c r="K239" s="68" t="s">
        <v>987</v>
      </c>
      <c r="L239" s="2" t="n">
        <v>1</v>
      </c>
      <c r="M239" s="2" t="n">
        <v>1</v>
      </c>
      <c r="N239" s="3" t="n">
        <v>45071</v>
      </c>
      <c r="O239" s="2" t="n">
        <v>11.2</v>
      </c>
      <c r="P239" s="2" t="n">
        <v>4</v>
      </c>
      <c r="Q239" s="62" t="str">
        <f aca="false">IF(ISBLANK(N239),"",IF(N239&lt;DATE(2023,5,1),"OLD","NEW"))</f>
        <v>NEW</v>
      </c>
      <c r="S239" s="33" t="n">
        <f aca="false">IF(COUNTIF('[1]Plate_1-2_LongFormat'!$A$2:$A$193,G239)&gt;0,1,0)</f>
        <v>0</v>
      </c>
      <c r="T239" s="33" t="n">
        <f aca="false">IF(COUNTIF([2]Attached_indexes!$C$2:$C$193,G239)&gt;0,1,0)</f>
        <v>0</v>
      </c>
      <c r="U239" s="59"/>
      <c r="V239" s="1" t="s">
        <v>982</v>
      </c>
    </row>
    <row r="240" customFormat="false" ht="15.75" hidden="false" customHeight="true" outlineLevel="0" collapsed="false">
      <c r="A240" s="18" t="s">
        <v>586</v>
      </c>
      <c r="B240" s="18" t="s">
        <v>586</v>
      </c>
      <c r="C240" s="18" t="s">
        <v>40</v>
      </c>
      <c r="E240" s="66" t="n">
        <v>7</v>
      </c>
      <c r="F240" s="21" t="str">
        <f aca="false">CONCATENATE(B240,"_",C240, TEXT(E240, "000"))</f>
        <v>CCNB_M. guttatus007</v>
      </c>
      <c r="G240" s="21" t="s">
        <v>596</v>
      </c>
      <c r="H240" s="18" t="n">
        <v>1</v>
      </c>
      <c r="I240" s="22" t="n">
        <v>44702</v>
      </c>
      <c r="J240" s="2" t="s">
        <v>981</v>
      </c>
      <c r="K240" s="68" t="s">
        <v>987</v>
      </c>
      <c r="L240" s="2" t="n">
        <v>1</v>
      </c>
      <c r="M240" s="2" t="n">
        <v>1</v>
      </c>
      <c r="N240" s="3" t="n">
        <v>45071</v>
      </c>
      <c r="O240" s="2" t="n">
        <v>11.2</v>
      </c>
      <c r="P240" s="2" t="n">
        <v>4</v>
      </c>
      <c r="Q240" s="62" t="str">
        <f aca="false">IF(ISBLANK(N240),"",IF(N240&lt;DATE(2023,5,1),"OLD","NEW"))</f>
        <v>NEW</v>
      </c>
      <c r="S240" s="33" t="n">
        <f aca="false">IF(COUNTIF('[1]Plate_1-2_LongFormat'!$A$2:$A$193,G240)&gt;0,1,0)</f>
        <v>0</v>
      </c>
      <c r="T240" s="33" t="n">
        <f aca="false">IF(COUNTIF([2]Attached_indexes!$C$2:$C$193,G240)&gt;0,1,0)</f>
        <v>0</v>
      </c>
      <c r="U240" s="59"/>
      <c r="V240" s="1" t="s">
        <v>982</v>
      </c>
    </row>
    <row r="241" customFormat="false" ht="15.75" hidden="false" customHeight="true" outlineLevel="0" collapsed="false">
      <c r="A241" s="18" t="s">
        <v>586</v>
      </c>
      <c r="B241" s="18" t="s">
        <v>586</v>
      </c>
      <c r="C241" s="18" t="s">
        <v>40</v>
      </c>
      <c r="E241" s="66" t="n">
        <v>7</v>
      </c>
      <c r="F241" s="21" t="str">
        <f aca="false">CONCATENATE(B241,"_",C241, TEXT(E241, "000"))</f>
        <v>CCNB_M. guttatus007</v>
      </c>
      <c r="G241" s="21" t="s">
        <v>596</v>
      </c>
      <c r="H241" s="18" t="n">
        <v>1</v>
      </c>
      <c r="I241" s="22" t="n">
        <v>44702</v>
      </c>
      <c r="J241" s="2" t="s">
        <v>981</v>
      </c>
      <c r="K241" s="68" t="s">
        <v>987</v>
      </c>
      <c r="L241" s="2" t="n">
        <v>1</v>
      </c>
      <c r="M241" s="2" t="n">
        <v>1</v>
      </c>
      <c r="N241" s="3" t="n">
        <v>45071</v>
      </c>
      <c r="O241" s="2" t="n">
        <v>11.2</v>
      </c>
      <c r="P241" s="2" t="n">
        <v>4</v>
      </c>
      <c r="Q241" s="62" t="str">
        <f aca="false">IF(ISBLANK(N241),"",IF(N241&lt;DATE(2023,5,1),"OLD","NEW"))</f>
        <v>NEW</v>
      </c>
      <c r="S241" s="33" t="n">
        <f aca="false">IF(COUNTIF('[1]Plate_1-2_LongFormat'!$A$2:$A$193,G241)&gt;0,1,0)</f>
        <v>0</v>
      </c>
      <c r="T241" s="33" t="n">
        <f aca="false">IF(COUNTIF([2]Attached_indexes!$C$2:$C$193,G241)&gt;0,1,0)</f>
        <v>0</v>
      </c>
      <c r="U241" s="59"/>
      <c r="V241" s="1" t="s">
        <v>982</v>
      </c>
    </row>
    <row r="242" customFormat="false" ht="15.75" hidden="false" customHeight="true" outlineLevel="0" collapsed="false">
      <c r="A242" s="18" t="s">
        <v>586</v>
      </c>
      <c r="B242" s="18" t="s">
        <v>586</v>
      </c>
      <c r="C242" s="18" t="s">
        <v>40</v>
      </c>
      <c r="E242" s="66" t="n">
        <v>8</v>
      </c>
      <c r="F242" s="21" t="str">
        <f aca="false">CONCATENATE(B242,"_",C242, TEXT(E242, "000"))</f>
        <v>CCNB_M. guttatus008</v>
      </c>
      <c r="G242" s="21" t="s">
        <v>598</v>
      </c>
      <c r="H242" s="18" t="n">
        <v>1</v>
      </c>
      <c r="I242" s="22" t="n">
        <v>44702</v>
      </c>
      <c r="J242" s="2" t="s">
        <v>981</v>
      </c>
      <c r="K242" s="68" t="s">
        <v>1008</v>
      </c>
      <c r="L242" s="2" t="n">
        <v>1</v>
      </c>
      <c r="M242" s="2" t="n">
        <v>1</v>
      </c>
      <c r="N242" s="3" t="n">
        <v>45071</v>
      </c>
      <c r="O242" s="2" t="n">
        <v>12.9</v>
      </c>
      <c r="P242" s="2" t="n">
        <v>4</v>
      </c>
      <c r="Q242" s="62" t="str">
        <f aca="false">IF(ISBLANK(N242),"",IF(N242&lt;DATE(2023,5,1),"OLD","NEW"))</f>
        <v>NEW</v>
      </c>
      <c r="S242" s="33" t="n">
        <f aca="false">IF(COUNTIF('[1]Plate_1-2_LongFormat'!$A$2:$A$193,G242)&gt;0,1,0)</f>
        <v>0</v>
      </c>
      <c r="T242" s="33" t="n">
        <f aca="false">IF(COUNTIF([2]Attached_indexes!$C$2:$C$193,G242)&gt;0,1,0)</f>
        <v>0</v>
      </c>
      <c r="U242" s="59"/>
      <c r="V242" s="1" t="s">
        <v>982</v>
      </c>
    </row>
    <row r="243" customFormat="false" ht="15.75" hidden="false" customHeight="true" outlineLevel="0" collapsed="false">
      <c r="A243" s="18" t="s">
        <v>586</v>
      </c>
      <c r="B243" s="18" t="s">
        <v>586</v>
      </c>
      <c r="C243" s="18" t="s">
        <v>40</v>
      </c>
      <c r="E243" s="66" t="n">
        <v>8</v>
      </c>
      <c r="F243" s="21" t="str">
        <f aca="false">CONCATENATE(B243,"_",C243, TEXT(E243, "000"))</f>
        <v>CCNB_M. guttatus008</v>
      </c>
      <c r="G243" s="21" t="s">
        <v>598</v>
      </c>
      <c r="H243" s="18" t="n">
        <v>1</v>
      </c>
      <c r="I243" s="22" t="n">
        <v>44702</v>
      </c>
      <c r="J243" s="2" t="s">
        <v>981</v>
      </c>
      <c r="K243" s="68" t="s">
        <v>1008</v>
      </c>
      <c r="L243" s="2" t="n">
        <v>1</v>
      </c>
      <c r="M243" s="2" t="n">
        <v>1</v>
      </c>
      <c r="N243" s="3" t="n">
        <v>45071</v>
      </c>
      <c r="O243" s="2" t="n">
        <v>12.9</v>
      </c>
      <c r="P243" s="2" t="n">
        <v>4</v>
      </c>
      <c r="Q243" s="62" t="str">
        <f aca="false">IF(ISBLANK(N243),"",IF(N243&lt;DATE(2023,5,1),"OLD","NEW"))</f>
        <v>NEW</v>
      </c>
      <c r="S243" s="33" t="n">
        <f aca="false">IF(COUNTIF('[1]Plate_1-2_LongFormat'!$A$2:$A$193,G243)&gt;0,1,0)</f>
        <v>0</v>
      </c>
      <c r="T243" s="33" t="n">
        <f aca="false">IF(COUNTIF([2]Attached_indexes!$C$2:$C$193,G243)&gt;0,1,0)</f>
        <v>0</v>
      </c>
      <c r="U243" s="59"/>
      <c r="V243" s="1" t="s">
        <v>982</v>
      </c>
    </row>
    <row r="244" customFormat="false" ht="15.75" hidden="false" customHeight="true" outlineLevel="0" collapsed="false">
      <c r="A244" s="18" t="s">
        <v>586</v>
      </c>
      <c r="B244" s="18" t="s">
        <v>586</v>
      </c>
      <c r="C244" s="18" t="s">
        <v>40</v>
      </c>
      <c r="E244" s="66" t="n">
        <v>8</v>
      </c>
      <c r="F244" s="21" t="str">
        <f aca="false">CONCATENATE(B244,"_",C244, TEXT(E244, "000"))</f>
        <v>CCNB_M. guttatus008</v>
      </c>
      <c r="G244" s="21" t="s">
        <v>598</v>
      </c>
      <c r="H244" s="18" t="n">
        <v>1</v>
      </c>
      <c r="I244" s="22" t="n">
        <v>44702</v>
      </c>
      <c r="J244" s="2" t="s">
        <v>981</v>
      </c>
      <c r="K244" s="68" t="s">
        <v>1008</v>
      </c>
      <c r="L244" s="2" t="n">
        <v>1</v>
      </c>
      <c r="M244" s="2" t="n">
        <v>1</v>
      </c>
      <c r="N244" s="3" t="n">
        <v>45071</v>
      </c>
      <c r="O244" s="2" t="n">
        <v>12.9</v>
      </c>
      <c r="P244" s="2" t="n">
        <v>4</v>
      </c>
      <c r="Q244" s="62" t="str">
        <f aca="false">IF(ISBLANK(N244),"",IF(N244&lt;DATE(2023,5,1),"OLD","NEW"))</f>
        <v>NEW</v>
      </c>
      <c r="S244" s="33" t="n">
        <f aca="false">IF(COUNTIF('[1]Plate_1-2_LongFormat'!$A$2:$A$193,G244)&gt;0,1,0)</f>
        <v>0</v>
      </c>
      <c r="T244" s="33" t="n">
        <f aca="false">IF(COUNTIF([2]Attached_indexes!$C$2:$C$193,G244)&gt;0,1,0)</f>
        <v>0</v>
      </c>
      <c r="U244" s="59"/>
      <c r="V244" s="1" t="s">
        <v>982</v>
      </c>
    </row>
    <row r="245" customFormat="false" ht="15.75" hidden="false" customHeight="true" outlineLevel="0" collapsed="false">
      <c r="A245" s="18" t="s">
        <v>586</v>
      </c>
      <c r="B245" s="18" t="s">
        <v>586</v>
      </c>
      <c r="C245" s="18" t="s">
        <v>40</v>
      </c>
      <c r="E245" s="66" t="n">
        <v>9</v>
      </c>
      <c r="F245" s="21" t="str">
        <f aca="false">CONCATENATE(B245,"_",C245, TEXT(E245, "000"))</f>
        <v>CCNB_M. guttatus009</v>
      </c>
      <c r="G245" s="21" t="s">
        <v>599</v>
      </c>
      <c r="H245" s="18" t="n">
        <v>1</v>
      </c>
      <c r="I245" s="22" t="n">
        <v>44702</v>
      </c>
      <c r="J245" s="2" t="s">
        <v>981</v>
      </c>
      <c r="K245" s="68" t="s">
        <v>1011</v>
      </c>
      <c r="L245" s="2" t="n">
        <v>1</v>
      </c>
      <c r="M245" s="2" t="n">
        <v>1</v>
      </c>
      <c r="N245" s="3" t="n">
        <v>45077</v>
      </c>
      <c r="O245" s="2" t="n">
        <v>4.98</v>
      </c>
      <c r="P245" s="2" t="n">
        <v>4</v>
      </c>
      <c r="Q245" s="62" t="str">
        <f aca="false">IF(ISBLANK(N245),"",IF(N245&lt;DATE(2023,5,1),"OLD","NEW"))</f>
        <v>NEW</v>
      </c>
      <c r="S245" s="33" t="n">
        <f aca="false">IF(COUNTIF('[1]Plate_1-2_LongFormat'!$A$2:$A$193,G245)&gt;0,1,0)</f>
        <v>0</v>
      </c>
      <c r="T245" s="33" t="n">
        <f aca="false">IF(COUNTIF([2]Attached_indexes!$C$2:$C$193,G245)&gt;0,1,0)</f>
        <v>0</v>
      </c>
      <c r="U245" s="59"/>
      <c r="V245" s="1" t="s">
        <v>982</v>
      </c>
    </row>
    <row r="246" customFormat="false" ht="15.75" hidden="false" customHeight="true" outlineLevel="0" collapsed="false">
      <c r="A246" s="18" t="s">
        <v>586</v>
      </c>
      <c r="B246" s="18" t="s">
        <v>586</v>
      </c>
      <c r="C246" s="18" t="s">
        <v>40</v>
      </c>
      <c r="E246" s="66" t="n">
        <v>9</v>
      </c>
      <c r="F246" s="21" t="str">
        <f aca="false">CONCATENATE(B246,"_",C246, TEXT(E246, "000"))</f>
        <v>CCNB_M. guttatus009</v>
      </c>
      <c r="G246" s="21" t="s">
        <v>599</v>
      </c>
      <c r="H246" s="18" t="n">
        <v>1</v>
      </c>
      <c r="I246" s="22" t="n">
        <v>44702</v>
      </c>
      <c r="J246" s="2" t="s">
        <v>981</v>
      </c>
      <c r="K246" s="68" t="s">
        <v>1011</v>
      </c>
      <c r="L246" s="2" t="n">
        <v>1</v>
      </c>
      <c r="M246" s="2" t="n">
        <v>1</v>
      </c>
      <c r="N246" s="3" t="n">
        <v>45077</v>
      </c>
      <c r="O246" s="2" t="n">
        <v>4.98</v>
      </c>
      <c r="P246" s="2" t="n">
        <v>4</v>
      </c>
      <c r="Q246" s="62" t="str">
        <f aca="false">IF(ISBLANK(N246),"",IF(N246&lt;DATE(2023,5,1),"OLD","NEW"))</f>
        <v>NEW</v>
      </c>
      <c r="S246" s="33" t="n">
        <f aca="false">IF(COUNTIF('[1]Plate_1-2_LongFormat'!$A$2:$A$193,G246)&gt;0,1,0)</f>
        <v>0</v>
      </c>
      <c r="T246" s="33" t="n">
        <f aca="false">IF(COUNTIF([2]Attached_indexes!$C$2:$C$193,G246)&gt;0,1,0)</f>
        <v>0</v>
      </c>
      <c r="U246" s="59"/>
      <c r="V246" s="1" t="s">
        <v>982</v>
      </c>
    </row>
    <row r="247" customFormat="false" ht="15.75" hidden="false" customHeight="true" outlineLevel="0" collapsed="false">
      <c r="A247" s="18" t="s">
        <v>586</v>
      </c>
      <c r="B247" s="18" t="s">
        <v>586</v>
      </c>
      <c r="C247" s="18" t="s">
        <v>40</v>
      </c>
      <c r="E247" s="66" t="n">
        <v>9</v>
      </c>
      <c r="F247" s="21" t="str">
        <f aca="false">CONCATENATE(B247,"_",C247, TEXT(E247, "000"))</f>
        <v>CCNB_M. guttatus009</v>
      </c>
      <c r="G247" s="21" t="s">
        <v>599</v>
      </c>
      <c r="H247" s="18" t="n">
        <v>1</v>
      </c>
      <c r="I247" s="22" t="n">
        <v>44702</v>
      </c>
      <c r="J247" s="2" t="s">
        <v>981</v>
      </c>
      <c r="K247" s="68" t="s">
        <v>1011</v>
      </c>
      <c r="L247" s="2" t="n">
        <v>1</v>
      </c>
      <c r="M247" s="2" t="n">
        <v>1</v>
      </c>
      <c r="N247" s="3" t="n">
        <v>45077</v>
      </c>
      <c r="O247" s="2" t="n">
        <v>4.98</v>
      </c>
      <c r="P247" s="2" t="n">
        <v>4</v>
      </c>
      <c r="Q247" s="62" t="str">
        <f aca="false">IF(ISBLANK(N247),"",IF(N247&lt;DATE(2023,5,1),"OLD","NEW"))</f>
        <v>NEW</v>
      </c>
      <c r="S247" s="33" t="n">
        <f aca="false">IF(COUNTIF('[1]Plate_1-2_LongFormat'!$A$2:$A$193,G247)&gt;0,1,0)</f>
        <v>0</v>
      </c>
      <c r="T247" s="33" t="n">
        <f aca="false">IF(COUNTIF([2]Attached_indexes!$C$2:$C$193,G247)&gt;0,1,0)</f>
        <v>0</v>
      </c>
      <c r="U247" s="59"/>
      <c r="V247" s="1" t="s">
        <v>982</v>
      </c>
    </row>
    <row r="248" customFormat="false" ht="15.75" hidden="false" customHeight="true" outlineLevel="0" collapsed="false">
      <c r="A248" s="18" t="s">
        <v>429</v>
      </c>
      <c r="B248" s="18" t="s">
        <v>429</v>
      </c>
      <c r="C248" s="18" t="s">
        <v>159</v>
      </c>
      <c r="E248" s="66" t="n">
        <v>1</v>
      </c>
      <c r="F248" s="21" t="str">
        <f aca="false">CONCATENATE(B248,"_",C248, TEXT(E248, "000"))</f>
        <v>CCRB_M. nasutus001</v>
      </c>
      <c r="G248" s="21" t="s">
        <v>430</v>
      </c>
      <c r="H248" s="18" t="n">
        <v>1</v>
      </c>
      <c r="I248" s="22" t="n">
        <v>44686</v>
      </c>
      <c r="J248" s="2" t="s">
        <v>981</v>
      </c>
      <c r="K248" s="2" t="s">
        <v>1014</v>
      </c>
      <c r="L248" s="2" t="n">
        <v>1</v>
      </c>
      <c r="M248" s="2" t="n">
        <v>1</v>
      </c>
      <c r="N248" s="3" t="n">
        <v>44834</v>
      </c>
      <c r="P248" s="2" t="n">
        <v>1</v>
      </c>
      <c r="Q248" s="62" t="str">
        <f aca="false">IF(ISBLANK(N248),"",IF(N248&lt;DATE(2023,5,1),"OLD","NEW"))</f>
        <v>OLD</v>
      </c>
      <c r="R248" s="56" t="s">
        <v>1015</v>
      </c>
      <c r="S248" s="33" t="n">
        <f aca="false">IF(COUNTIF('[1]Plate_1-2_LongFormat'!$A$2:$A$193,G248)&gt;0,1,0)</f>
        <v>1</v>
      </c>
      <c r="T248" s="33" t="n">
        <f aca="false">IF(COUNTIF([2]Attached_indexes!$C$2:$C$193,G248)&gt;0,1,0)</f>
        <v>1</v>
      </c>
      <c r="U248" s="59"/>
      <c r="V248" s="1" t="s">
        <v>982</v>
      </c>
    </row>
    <row r="249" customFormat="false" ht="15.75" hidden="false" customHeight="true" outlineLevel="0" collapsed="false">
      <c r="A249" s="18" t="s">
        <v>429</v>
      </c>
      <c r="B249" s="18" t="s">
        <v>429</v>
      </c>
      <c r="C249" s="18" t="s">
        <v>159</v>
      </c>
      <c r="E249" s="66" t="n">
        <v>1</v>
      </c>
      <c r="F249" s="21" t="str">
        <f aca="false">CONCATENATE(B249,"_",C249, TEXT(E249, "000"))</f>
        <v>CCRB_M. nasutus001</v>
      </c>
      <c r="G249" s="21" t="s">
        <v>430</v>
      </c>
      <c r="H249" s="18" t="n">
        <v>1</v>
      </c>
      <c r="I249" s="22" t="n">
        <v>44686</v>
      </c>
      <c r="J249" s="2" t="s">
        <v>981</v>
      </c>
      <c r="K249" s="2" t="s">
        <v>1014</v>
      </c>
      <c r="L249" s="2" t="n">
        <v>1</v>
      </c>
      <c r="M249" s="2" t="n">
        <v>1</v>
      </c>
      <c r="N249" s="3" t="n">
        <v>44834</v>
      </c>
      <c r="P249" s="2" t="n">
        <v>1</v>
      </c>
      <c r="Q249" s="62" t="str">
        <f aca="false">IF(ISBLANK(N249),"",IF(N249&lt;DATE(2023,5,1),"OLD","NEW"))</f>
        <v>OLD</v>
      </c>
      <c r="R249" s="56" t="s">
        <v>1015</v>
      </c>
      <c r="S249" s="33" t="n">
        <f aca="false">IF(COUNTIF('[1]Plate_1-2_LongFormat'!$A$2:$A$193,G249)&gt;0,1,0)</f>
        <v>1</v>
      </c>
      <c r="T249" s="33" t="n">
        <f aca="false">IF(COUNTIF([2]Attached_indexes!$C$2:$C$193,G249)&gt;0,1,0)</f>
        <v>1</v>
      </c>
      <c r="U249" s="59"/>
      <c r="V249" s="1" t="s">
        <v>982</v>
      </c>
    </row>
    <row r="250" customFormat="false" ht="15.75" hidden="false" customHeight="true" outlineLevel="0" collapsed="false">
      <c r="A250" s="18" t="s">
        <v>429</v>
      </c>
      <c r="B250" s="18" t="s">
        <v>429</v>
      </c>
      <c r="C250" s="18" t="s">
        <v>159</v>
      </c>
      <c r="E250" s="66" t="n">
        <v>1</v>
      </c>
      <c r="F250" s="21" t="str">
        <f aca="false">CONCATENATE(B250,"_",C250, TEXT(E250, "000"))</f>
        <v>CCRB_M. nasutus001</v>
      </c>
      <c r="G250" s="21" t="s">
        <v>430</v>
      </c>
      <c r="H250" s="18" t="n">
        <v>1</v>
      </c>
      <c r="I250" s="22" t="n">
        <v>44686</v>
      </c>
      <c r="J250" s="2" t="s">
        <v>981</v>
      </c>
      <c r="K250" s="2" t="s">
        <v>1014</v>
      </c>
      <c r="L250" s="2" t="n">
        <v>1</v>
      </c>
      <c r="M250" s="2" t="n">
        <v>1</v>
      </c>
      <c r="N250" s="3" t="n">
        <v>44834</v>
      </c>
      <c r="P250" s="2" t="n">
        <v>1</v>
      </c>
      <c r="Q250" s="62" t="str">
        <f aca="false">IF(ISBLANK(N250),"",IF(N250&lt;DATE(2023,5,1),"OLD","NEW"))</f>
        <v>OLD</v>
      </c>
      <c r="R250" s="56" t="s">
        <v>1015</v>
      </c>
      <c r="S250" s="33" t="n">
        <f aca="false">IF(COUNTIF('[1]Plate_1-2_LongFormat'!$A$2:$A$193,G250)&gt;0,1,0)</f>
        <v>1</v>
      </c>
      <c r="T250" s="33" t="n">
        <f aca="false">IF(COUNTIF([2]Attached_indexes!$C$2:$C$193,G250)&gt;0,1,0)</f>
        <v>1</v>
      </c>
      <c r="U250" s="59"/>
      <c r="V250" s="1" t="s">
        <v>982</v>
      </c>
    </row>
    <row r="251" customFormat="false" ht="15.75" hidden="false" customHeight="true" outlineLevel="0" collapsed="false">
      <c r="A251" s="18" t="s">
        <v>429</v>
      </c>
      <c r="B251" s="18" t="s">
        <v>429</v>
      </c>
      <c r="C251" s="18" t="s">
        <v>159</v>
      </c>
      <c r="E251" s="66" t="n">
        <v>2</v>
      </c>
      <c r="F251" s="21" t="str">
        <f aca="false">CONCATENATE(B251,"_",C251, TEXT(E251, "000"))</f>
        <v>CCRB_M. nasutus002</v>
      </c>
      <c r="G251" s="21" t="s">
        <v>434</v>
      </c>
      <c r="H251" s="18" t="n">
        <v>1</v>
      </c>
      <c r="I251" s="22" t="n">
        <v>44686</v>
      </c>
      <c r="J251" s="2" t="s">
        <v>981</v>
      </c>
      <c r="L251" s="2" t="n">
        <v>1</v>
      </c>
      <c r="M251" s="2" t="n">
        <v>1</v>
      </c>
      <c r="N251" s="3" t="n">
        <v>44870</v>
      </c>
      <c r="O251" s="2" t="n">
        <v>4.03</v>
      </c>
      <c r="P251" s="2" t="n">
        <v>2</v>
      </c>
      <c r="Q251" s="62" t="str">
        <f aca="false">IF(ISBLANK(N251),"",IF(N251&lt;DATE(2023,5,1),"OLD","NEW"))</f>
        <v>OLD</v>
      </c>
      <c r="S251" s="33" t="n">
        <f aca="false">IF(COUNTIF('[1]Plate_1-2_LongFormat'!$A$2:$A$193,G251)&gt;0,1,0)</f>
        <v>1</v>
      </c>
      <c r="T251" s="33" t="n">
        <f aca="false">IF(COUNTIF([2]Attached_indexes!$C$2:$C$193,G251)&gt;0,1,0)</f>
        <v>1</v>
      </c>
      <c r="U251" s="59"/>
      <c r="V251" s="1" t="s">
        <v>982</v>
      </c>
    </row>
    <row r="252" customFormat="false" ht="15.75" hidden="false" customHeight="true" outlineLevel="0" collapsed="false">
      <c r="A252" s="18" t="s">
        <v>429</v>
      </c>
      <c r="B252" s="18" t="s">
        <v>429</v>
      </c>
      <c r="C252" s="18" t="s">
        <v>159</v>
      </c>
      <c r="E252" s="66" t="n">
        <v>2</v>
      </c>
      <c r="F252" s="21" t="str">
        <f aca="false">CONCATENATE(B252,"_",C252, TEXT(E252, "000"))</f>
        <v>CCRB_M. nasutus002</v>
      </c>
      <c r="G252" s="21" t="s">
        <v>434</v>
      </c>
      <c r="H252" s="18" t="n">
        <v>1</v>
      </c>
      <c r="I252" s="22" t="n">
        <v>44686</v>
      </c>
      <c r="J252" s="2" t="s">
        <v>981</v>
      </c>
      <c r="L252" s="2" t="n">
        <v>1</v>
      </c>
      <c r="M252" s="2" t="n">
        <v>1</v>
      </c>
      <c r="N252" s="3" t="n">
        <v>44870</v>
      </c>
      <c r="O252" s="2" t="n">
        <v>4.03</v>
      </c>
      <c r="P252" s="2" t="n">
        <v>2</v>
      </c>
      <c r="Q252" s="62" t="str">
        <f aca="false">IF(ISBLANK(N252),"",IF(N252&lt;DATE(2023,5,1),"OLD","NEW"))</f>
        <v>OLD</v>
      </c>
      <c r="S252" s="33" t="n">
        <f aca="false">IF(COUNTIF('[1]Plate_1-2_LongFormat'!$A$2:$A$193,G252)&gt;0,1,0)</f>
        <v>1</v>
      </c>
      <c r="T252" s="33" t="n">
        <f aca="false">IF(COUNTIF([2]Attached_indexes!$C$2:$C$193,G252)&gt;0,1,0)</f>
        <v>1</v>
      </c>
      <c r="U252" s="59"/>
      <c r="V252" s="1" t="s">
        <v>982</v>
      </c>
    </row>
    <row r="253" customFormat="false" ht="15.75" hidden="false" customHeight="true" outlineLevel="0" collapsed="false">
      <c r="A253" s="18" t="s">
        <v>429</v>
      </c>
      <c r="B253" s="18" t="s">
        <v>429</v>
      </c>
      <c r="C253" s="18" t="s">
        <v>159</v>
      </c>
      <c r="E253" s="66" t="n">
        <v>2</v>
      </c>
      <c r="F253" s="21" t="str">
        <f aca="false">CONCATENATE(B253,"_",C253, TEXT(E253, "000"))</f>
        <v>CCRB_M. nasutus002</v>
      </c>
      <c r="G253" s="21" t="s">
        <v>434</v>
      </c>
      <c r="H253" s="18" t="n">
        <v>1</v>
      </c>
      <c r="I253" s="22" t="n">
        <v>44686</v>
      </c>
      <c r="J253" s="2" t="s">
        <v>981</v>
      </c>
      <c r="L253" s="2" t="n">
        <v>1</v>
      </c>
      <c r="M253" s="2" t="n">
        <v>1</v>
      </c>
      <c r="N253" s="3" t="n">
        <v>44870</v>
      </c>
      <c r="O253" s="2" t="n">
        <v>4.03</v>
      </c>
      <c r="P253" s="2" t="n">
        <v>2</v>
      </c>
      <c r="Q253" s="62" t="str">
        <f aca="false">IF(ISBLANK(N253),"",IF(N253&lt;DATE(2023,5,1),"OLD","NEW"))</f>
        <v>OLD</v>
      </c>
      <c r="S253" s="33" t="n">
        <f aca="false">IF(COUNTIF('[1]Plate_1-2_LongFormat'!$A$2:$A$193,G253)&gt;0,1,0)</f>
        <v>1</v>
      </c>
      <c r="T253" s="33" t="n">
        <f aca="false">IF(COUNTIF([2]Attached_indexes!$C$2:$C$193,G253)&gt;0,1,0)</f>
        <v>1</v>
      </c>
      <c r="U253" s="59"/>
      <c r="V253" s="1" t="s">
        <v>982</v>
      </c>
    </row>
    <row r="254" customFormat="false" ht="15.75" hidden="false" customHeight="true" outlineLevel="0" collapsed="false">
      <c r="A254" s="18" t="s">
        <v>429</v>
      </c>
      <c r="B254" s="18" t="s">
        <v>429</v>
      </c>
      <c r="C254" s="18" t="s">
        <v>159</v>
      </c>
      <c r="E254" s="66" t="n">
        <v>3</v>
      </c>
      <c r="F254" s="21" t="str">
        <f aca="false">CONCATENATE(B254,"_",C254, TEXT(E254, "000"))</f>
        <v>CCRB_M. nasutus003</v>
      </c>
      <c r="G254" s="21" t="s">
        <v>435</v>
      </c>
      <c r="H254" s="18" t="n">
        <v>1</v>
      </c>
      <c r="I254" s="22" t="n">
        <v>44686</v>
      </c>
      <c r="J254" s="2" t="s">
        <v>981</v>
      </c>
      <c r="L254" s="2" t="n">
        <v>1</v>
      </c>
      <c r="M254" s="2" t="n">
        <v>1</v>
      </c>
      <c r="N254" s="3" t="n">
        <v>44870</v>
      </c>
      <c r="O254" s="2" t="n">
        <v>2.73</v>
      </c>
      <c r="P254" s="2" t="n">
        <v>1</v>
      </c>
      <c r="Q254" s="62" t="str">
        <f aca="false">IF(ISBLANK(N254),"",IF(N254&lt;DATE(2023,5,1),"OLD","NEW"))</f>
        <v>OLD</v>
      </c>
      <c r="S254" s="33" t="n">
        <f aca="false">IF(COUNTIF('[1]Plate_1-2_LongFormat'!$A$2:$A$193,G254)&gt;0,1,0)</f>
        <v>1</v>
      </c>
      <c r="T254" s="33" t="n">
        <f aca="false">IF(COUNTIF([2]Attached_indexes!$C$2:$C$193,G254)&gt;0,1,0)</f>
        <v>1</v>
      </c>
      <c r="U254" s="59"/>
      <c r="V254" s="1" t="s">
        <v>982</v>
      </c>
    </row>
    <row r="255" customFormat="false" ht="15.75" hidden="false" customHeight="true" outlineLevel="0" collapsed="false">
      <c r="A255" s="18" t="s">
        <v>429</v>
      </c>
      <c r="B255" s="18" t="s">
        <v>429</v>
      </c>
      <c r="C255" s="18" t="s">
        <v>159</v>
      </c>
      <c r="E255" s="66" t="n">
        <v>3</v>
      </c>
      <c r="F255" s="21" t="str">
        <f aca="false">CONCATENATE(B255,"_",C255, TEXT(E255, "000"))</f>
        <v>CCRB_M. nasutus003</v>
      </c>
      <c r="G255" s="21" t="s">
        <v>435</v>
      </c>
      <c r="H255" s="18" t="n">
        <v>1</v>
      </c>
      <c r="I255" s="22" t="n">
        <v>44686</v>
      </c>
      <c r="J255" s="2" t="s">
        <v>981</v>
      </c>
      <c r="L255" s="2" t="n">
        <v>1</v>
      </c>
      <c r="M255" s="2" t="n">
        <v>1</v>
      </c>
      <c r="N255" s="3" t="n">
        <v>44870</v>
      </c>
      <c r="O255" s="2" t="n">
        <v>2.73</v>
      </c>
      <c r="P255" s="2" t="n">
        <v>1</v>
      </c>
      <c r="Q255" s="62" t="str">
        <f aca="false">IF(ISBLANK(N255),"",IF(N255&lt;DATE(2023,5,1),"OLD","NEW"))</f>
        <v>OLD</v>
      </c>
      <c r="S255" s="33" t="n">
        <f aca="false">IF(COUNTIF('[1]Plate_1-2_LongFormat'!$A$2:$A$193,G255)&gt;0,1,0)</f>
        <v>1</v>
      </c>
      <c r="T255" s="33" t="n">
        <f aca="false">IF(COUNTIF([2]Attached_indexes!$C$2:$C$193,G255)&gt;0,1,0)</f>
        <v>1</v>
      </c>
      <c r="U255" s="59"/>
      <c r="V255" s="1" t="s">
        <v>982</v>
      </c>
    </row>
    <row r="256" customFormat="false" ht="15.75" hidden="false" customHeight="true" outlineLevel="0" collapsed="false">
      <c r="A256" s="18" t="s">
        <v>429</v>
      </c>
      <c r="B256" s="18" t="s">
        <v>429</v>
      </c>
      <c r="C256" s="18" t="s">
        <v>159</v>
      </c>
      <c r="E256" s="66" t="n">
        <v>3</v>
      </c>
      <c r="F256" s="21" t="str">
        <f aca="false">CONCATENATE(B256,"_",C256, TEXT(E256, "000"))</f>
        <v>CCRB_M. nasutus003</v>
      </c>
      <c r="G256" s="21" t="s">
        <v>435</v>
      </c>
      <c r="H256" s="18" t="n">
        <v>1</v>
      </c>
      <c r="I256" s="22" t="n">
        <v>44686</v>
      </c>
      <c r="J256" s="2" t="s">
        <v>981</v>
      </c>
      <c r="L256" s="2" t="n">
        <v>1</v>
      </c>
      <c r="M256" s="2" t="n">
        <v>1</v>
      </c>
      <c r="N256" s="3" t="n">
        <v>44870</v>
      </c>
      <c r="O256" s="2" t="n">
        <v>2.73</v>
      </c>
      <c r="P256" s="2" t="n">
        <v>1</v>
      </c>
      <c r="Q256" s="62" t="str">
        <f aca="false">IF(ISBLANK(N256),"",IF(N256&lt;DATE(2023,5,1),"OLD","NEW"))</f>
        <v>OLD</v>
      </c>
      <c r="S256" s="33" t="n">
        <f aca="false">IF(COUNTIF('[1]Plate_1-2_LongFormat'!$A$2:$A$193,G256)&gt;0,1,0)</f>
        <v>1</v>
      </c>
      <c r="T256" s="33" t="n">
        <f aca="false">IF(COUNTIF([2]Attached_indexes!$C$2:$C$193,G256)&gt;0,1,0)</f>
        <v>1</v>
      </c>
      <c r="U256" s="59"/>
      <c r="V256" s="1" t="s">
        <v>982</v>
      </c>
    </row>
    <row r="257" customFormat="false" ht="15.75" hidden="false" customHeight="true" outlineLevel="0" collapsed="false">
      <c r="A257" s="18" t="s">
        <v>429</v>
      </c>
      <c r="B257" s="18" t="s">
        <v>429</v>
      </c>
      <c r="C257" s="18" t="s">
        <v>159</v>
      </c>
      <c r="E257" s="66" t="n">
        <v>4</v>
      </c>
      <c r="F257" s="21" t="str">
        <f aca="false">CONCATENATE(B257,"_",C257, TEXT(E257, "000"))</f>
        <v>CCRB_M. nasutus004</v>
      </c>
      <c r="G257" s="21" t="s">
        <v>437</v>
      </c>
      <c r="H257" s="18" t="n">
        <v>1</v>
      </c>
      <c r="I257" s="22" t="n">
        <v>44686</v>
      </c>
      <c r="J257" s="2" t="s">
        <v>981</v>
      </c>
      <c r="L257" s="2" t="n">
        <v>1</v>
      </c>
      <c r="M257" s="2" t="n">
        <v>1</v>
      </c>
      <c r="N257" s="3" t="n">
        <v>44914</v>
      </c>
      <c r="O257" s="2" t="n">
        <v>11.4</v>
      </c>
      <c r="P257" s="2" t="n">
        <v>2</v>
      </c>
      <c r="Q257" s="62" t="str">
        <f aca="false">IF(ISBLANK(N257),"",IF(N257&lt;DATE(2023,5,1),"OLD","NEW"))</f>
        <v>OLD</v>
      </c>
      <c r="S257" s="33" t="n">
        <f aca="false">IF(COUNTIF('[1]Plate_1-2_LongFormat'!$A$2:$A$193,G257)&gt;0,1,0)</f>
        <v>1</v>
      </c>
      <c r="T257" s="33" t="n">
        <f aca="false">IF(COUNTIF([2]Attached_indexes!$C$2:$C$193,G257)&gt;0,1,0)</f>
        <v>1</v>
      </c>
      <c r="U257" s="59"/>
      <c r="V257" s="1" t="s">
        <v>982</v>
      </c>
    </row>
    <row r="258" customFormat="false" ht="15.75" hidden="false" customHeight="true" outlineLevel="0" collapsed="false">
      <c r="A258" s="18" t="s">
        <v>429</v>
      </c>
      <c r="B258" s="18" t="s">
        <v>429</v>
      </c>
      <c r="C258" s="18" t="s">
        <v>159</v>
      </c>
      <c r="E258" s="66" t="n">
        <v>4</v>
      </c>
      <c r="F258" s="21" t="str">
        <f aca="false">CONCATENATE(B258,"_",C258, TEXT(E258, "000"))</f>
        <v>CCRB_M. nasutus004</v>
      </c>
      <c r="G258" s="21" t="s">
        <v>437</v>
      </c>
      <c r="H258" s="18" t="n">
        <v>1</v>
      </c>
      <c r="I258" s="22" t="n">
        <v>44686</v>
      </c>
      <c r="J258" s="2" t="s">
        <v>981</v>
      </c>
      <c r="L258" s="2" t="n">
        <v>1</v>
      </c>
      <c r="M258" s="2" t="n">
        <v>1</v>
      </c>
      <c r="N258" s="3" t="n">
        <v>44914</v>
      </c>
      <c r="O258" s="2" t="n">
        <v>11.4</v>
      </c>
      <c r="P258" s="2" t="n">
        <v>2</v>
      </c>
      <c r="Q258" s="62" t="str">
        <f aca="false">IF(ISBLANK(N258),"",IF(N258&lt;DATE(2023,5,1),"OLD","NEW"))</f>
        <v>OLD</v>
      </c>
      <c r="S258" s="33" t="n">
        <f aca="false">IF(COUNTIF('[1]Plate_1-2_LongFormat'!$A$2:$A$193,G258)&gt;0,1,0)</f>
        <v>1</v>
      </c>
      <c r="T258" s="33" t="n">
        <f aca="false">IF(COUNTIF([2]Attached_indexes!$C$2:$C$193,G258)&gt;0,1,0)</f>
        <v>1</v>
      </c>
      <c r="U258" s="59"/>
      <c r="V258" s="1" t="s">
        <v>982</v>
      </c>
    </row>
    <row r="259" customFormat="false" ht="15.75" hidden="false" customHeight="true" outlineLevel="0" collapsed="false">
      <c r="A259" s="18" t="s">
        <v>429</v>
      </c>
      <c r="B259" s="18" t="s">
        <v>429</v>
      </c>
      <c r="C259" s="18" t="s">
        <v>159</v>
      </c>
      <c r="E259" s="66" t="n">
        <v>4</v>
      </c>
      <c r="F259" s="21" t="str">
        <f aca="false">CONCATENATE(B259,"_",C259, TEXT(E259, "000"))</f>
        <v>CCRB_M. nasutus004</v>
      </c>
      <c r="G259" s="21" t="s">
        <v>437</v>
      </c>
      <c r="H259" s="18" t="n">
        <v>1</v>
      </c>
      <c r="I259" s="22" t="n">
        <v>44686</v>
      </c>
      <c r="J259" s="2" t="s">
        <v>981</v>
      </c>
      <c r="L259" s="2" t="n">
        <v>1</v>
      </c>
      <c r="M259" s="2" t="n">
        <v>1</v>
      </c>
      <c r="N259" s="3" t="n">
        <v>44914</v>
      </c>
      <c r="O259" s="2" t="n">
        <v>11.4</v>
      </c>
      <c r="P259" s="2" t="n">
        <v>2</v>
      </c>
      <c r="Q259" s="62" t="str">
        <f aca="false">IF(ISBLANK(N259),"",IF(N259&lt;DATE(2023,5,1),"OLD","NEW"))</f>
        <v>OLD</v>
      </c>
      <c r="S259" s="33" t="n">
        <f aca="false">IF(COUNTIF('[1]Plate_1-2_LongFormat'!$A$2:$A$193,G259)&gt;0,1,0)</f>
        <v>1</v>
      </c>
      <c r="T259" s="33" t="n">
        <f aca="false">IF(COUNTIF([2]Attached_indexes!$C$2:$C$193,G259)&gt;0,1,0)</f>
        <v>1</v>
      </c>
      <c r="U259" s="59"/>
      <c r="V259" s="1" t="s">
        <v>982</v>
      </c>
    </row>
    <row r="260" customFormat="false" ht="15.75" hidden="false" customHeight="true" outlineLevel="0" collapsed="false">
      <c r="A260" s="18" t="s">
        <v>429</v>
      </c>
      <c r="B260" s="18" t="s">
        <v>429</v>
      </c>
      <c r="C260" s="18" t="s">
        <v>159</v>
      </c>
      <c r="E260" s="66" t="n">
        <v>5</v>
      </c>
      <c r="F260" s="21" t="str">
        <f aca="false">CONCATENATE(B260,"_",C260, TEXT(E260, "000"))</f>
        <v>CCRB_M. nasutus005</v>
      </c>
      <c r="G260" s="21" t="s">
        <v>439</v>
      </c>
      <c r="H260" s="18" t="n">
        <v>1</v>
      </c>
      <c r="I260" s="22" t="n">
        <v>44686</v>
      </c>
      <c r="J260" s="2" t="s">
        <v>981</v>
      </c>
      <c r="L260" s="2" t="n">
        <v>1</v>
      </c>
      <c r="M260" s="2" t="n">
        <v>1</v>
      </c>
      <c r="N260" s="3" t="n">
        <v>44999</v>
      </c>
      <c r="O260" s="2" t="n">
        <v>7.73</v>
      </c>
      <c r="P260" s="2" t="n">
        <v>3</v>
      </c>
      <c r="Q260" s="62" t="str">
        <f aca="false">IF(ISBLANK(N260),"",IF(N260&lt;DATE(2023,5,1),"OLD","NEW"))</f>
        <v>OLD</v>
      </c>
      <c r="S260" s="33" t="n">
        <f aca="false">IF(COUNTIF('[1]Plate_1-2_LongFormat'!$A$2:$A$193,G260)&gt;0,1,0)</f>
        <v>1</v>
      </c>
      <c r="T260" s="33" t="n">
        <f aca="false">IF(COUNTIF([2]Attached_indexes!$C$2:$C$193,G260)&gt;0,1,0)</f>
        <v>1</v>
      </c>
      <c r="U260" s="59"/>
      <c r="V260" s="1" t="s">
        <v>982</v>
      </c>
    </row>
    <row r="261" customFormat="false" ht="15.75" hidden="false" customHeight="true" outlineLevel="0" collapsed="false">
      <c r="A261" s="18" t="s">
        <v>429</v>
      </c>
      <c r="B261" s="18" t="s">
        <v>429</v>
      </c>
      <c r="C261" s="18" t="s">
        <v>159</v>
      </c>
      <c r="E261" s="66" t="n">
        <v>5</v>
      </c>
      <c r="F261" s="21" t="str">
        <f aca="false">CONCATENATE(B261,"_",C261, TEXT(E261, "000"))</f>
        <v>CCRB_M. nasutus005</v>
      </c>
      <c r="G261" s="21" t="s">
        <v>439</v>
      </c>
      <c r="H261" s="18" t="n">
        <v>1</v>
      </c>
      <c r="I261" s="22" t="n">
        <v>44686</v>
      </c>
      <c r="J261" s="2" t="s">
        <v>981</v>
      </c>
      <c r="L261" s="2" t="n">
        <v>1</v>
      </c>
      <c r="M261" s="2" t="n">
        <v>1</v>
      </c>
      <c r="N261" s="3" t="n">
        <v>44999</v>
      </c>
      <c r="O261" s="2" t="n">
        <v>7.73</v>
      </c>
      <c r="P261" s="2" t="n">
        <v>3</v>
      </c>
      <c r="Q261" s="62" t="str">
        <f aca="false">IF(ISBLANK(N261),"",IF(N261&lt;DATE(2023,5,1),"OLD","NEW"))</f>
        <v>OLD</v>
      </c>
      <c r="S261" s="33" t="n">
        <f aca="false">IF(COUNTIF('[1]Plate_1-2_LongFormat'!$A$2:$A$193,G261)&gt;0,1,0)</f>
        <v>1</v>
      </c>
      <c r="T261" s="33" t="n">
        <f aca="false">IF(COUNTIF([2]Attached_indexes!$C$2:$C$193,G261)&gt;0,1,0)</f>
        <v>1</v>
      </c>
      <c r="U261" s="59"/>
      <c r="V261" s="1" t="s">
        <v>982</v>
      </c>
    </row>
    <row r="262" customFormat="false" ht="15.75" hidden="false" customHeight="true" outlineLevel="0" collapsed="false">
      <c r="A262" s="18" t="s">
        <v>429</v>
      </c>
      <c r="B262" s="18" t="s">
        <v>429</v>
      </c>
      <c r="C262" s="18" t="s">
        <v>159</v>
      </c>
      <c r="E262" s="66" t="n">
        <v>5</v>
      </c>
      <c r="F262" s="21" t="str">
        <f aca="false">CONCATENATE(B262,"_",C262, TEXT(E262, "000"))</f>
        <v>CCRB_M. nasutus005</v>
      </c>
      <c r="G262" s="21" t="s">
        <v>439</v>
      </c>
      <c r="H262" s="18" t="n">
        <v>1</v>
      </c>
      <c r="I262" s="22" t="n">
        <v>44686</v>
      </c>
      <c r="J262" s="2" t="s">
        <v>981</v>
      </c>
      <c r="L262" s="2" t="n">
        <v>1</v>
      </c>
      <c r="M262" s="2" t="n">
        <v>1</v>
      </c>
      <c r="N262" s="3" t="n">
        <v>44999</v>
      </c>
      <c r="O262" s="2" t="n">
        <v>7.73</v>
      </c>
      <c r="P262" s="2" t="n">
        <v>3</v>
      </c>
      <c r="Q262" s="62" t="str">
        <f aca="false">IF(ISBLANK(N262),"",IF(N262&lt;DATE(2023,5,1),"OLD","NEW"))</f>
        <v>OLD</v>
      </c>
      <c r="S262" s="33" t="n">
        <f aca="false">IF(COUNTIF('[1]Plate_1-2_LongFormat'!$A$2:$A$193,G262)&gt;0,1,0)</f>
        <v>1</v>
      </c>
      <c r="T262" s="33" t="n">
        <f aca="false">IF(COUNTIF([2]Attached_indexes!$C$2:$C$193,G262)&gt;0,1,0)</f>
        <v>1</v>
      </c>
      <c r="U262" s="59"/>
      <c r="V262" s="1" t="s">
        <v>982</v>
      </c>
    </row>
    <row r="263" customFormat="false" ht="15.75" hidden="false" customHeight="true" outlineLevel="0" collapsed="false">
      <c r="A263" s="18" t="s">
        <v>429</v>
      </c>
      <c r="B263" s="18" t="s">
        <v>429</v>
      </c>
      <c r="C263" s="18" t="s">
        <v>159</v>
      </c>
      <c r="E263" s="66" t="n">
        <v>6</v>
      </c>
      <c r="F263" s="21" t="str">
        <f aca="false">CONCATENATE(B263,"_",C263, TEXT(E263, "000"))</f>
        <v>CCRB_M. nasutus006</v>
      </c>
      <c r="G263" s="21" t="s">
        <v>441</v>
      </c>
      <c r="H263" s="18" t="n">
        <v>1</v>
      </c>
      <c r="I263" s="22" t="n">
        <v>44686</v>
      </c>
      <c r="J263" s="2" t="s">
        <v>981</v>
      </c>
      <c r="L263" s="2" t="n">
        <v>1</v>
      </c>
      <c r="M263" s="2" t="n">
        <v>1</v>
      </c>
      <c r="N263" s="3" t="n">
        <v>44799</v>
      </c>
      <c r="O263" s="2" t="n">
        <v>0.687</v>
      </c>
      <c r="P263" s="2" t="n">
        <v>1</v>
      </c>
      <c r="Q263" s="62" t="str">
        <f aca="false">IF(ISBLANK(N263),"",IF(N263&lt;DATE(2023,5,1),"OLD","NEW"))</f>
        <v>OLD</v>
      </c>
      <c r="S263" s="33" t="n">
        <f aca="false">IF(COUNTIF('[1]Plate_1-2_LongFormat'!$A$2:$A$193,G263)&gt;0,1,0)</f>
        <v>1</v>
      </c>
      <c r="T263" s="33" t="n">
        <f aca="false">IF(COUNTIF([2]Attached_indexes!$C$2:$C$193,G263)&gt;0,1,0)</f>
        <v>1</v>
      </c>
      <c r="U263" s="59"/>
      <c r="V263" s="1" t="s">
        <v>982</v>
      </c>
    </row>
    <row r="264" customFormat="false" ht="15.75" hidden="false" customHeight="true" outlineLevel="0" collapsed="false">
      <c r="A264" s="18" t="s">
        <v>429</v>
      </c>
      <c r="B264" s="18" t="s">
        <v>429</v>
      </c>
      <c r="C264" s="18" t="s">
        <v>159</v>
      </c>
      <c r="E264" s="66" t="n">
        <v>6</v>
      </c>
      <c r="F264" s="21" t="str">
        <f aca="false">CONCATENATE(B264,"_",C264, TEXT(E264, "000"))</f>
        <v>CCRB_M. nasutus006</v>
      </c>
      <c r="G264" s="21" t="s">
        <v>441</v>
      </c>
      <c r="H264" s="18" t="n">
        <v>1</v>
      </c>
      <c r="I264" s="22" t="n">
        <v>44686</v>
      </c>
      <c r="J264" s="2" t="s">
        <v>981</v>
      </c>
      <c r="L264" s="2" t="n">
        <v>1</v>
      </c>
      <c r="M264" s="2" t="n">
        <v>1</v>
      </c>
      <c r="N264" s="3" t="n">
        <v>44799</v>
      </c>
      <c r="O264" s="2" t="n">
        <v>0.687</v>
      </c>
      <c r="P264" s="2" t="n">
        <v>1</v>
      </c>
      <c r="Q264" s="62" t="str">
        <f aca="false">IF(ISBLANK(N264),"",IF(N264&lt;DATE(2023,5,1),"OLD","NEW"))</f>
        <v>OLD</v>
      </c>
      <c r="S264" s="33" t="n">
        <f aca="false">IF(COUNTIF('[1]Plate_1-2_LongFormat'!$A$2:$A$193,G264)&gt;0,1,0)</f>
        <v>1</v>
      </c>
      <c r="T264" s="33" t="n">
        <f aca="false">IF(COUNTIF([2]Attached_indexes!$C$2:$C$193,G264)&gt;0,1,0)</f>
        <v>1</v>
      </c>
      <c r="U264" s="59"/>
      <c r="V264" s="1" t="s">
        <v>982</v>
      </c>
    </row>
    <row r="265" customFormat="false" ht="15.75" hidden="false" customHeight="true" outlineLevel="0" collapsed="false">
      <c r="A265" s="18" t="s">
        <v>429</v>
      </c>
      <c r="B265" s="18" t="s">
        <v>429</v>
      </c>
      <c r="C265" s="18" t="s">
        <v>159</v>
      </c>
      <c r="E265" s="66" t="n">
        <v>6</v>
      </c>
      <c r="F265" s="21" t="str">
        <f aca="false">CONCATENATE(B265,"_",C265, TEXT(E265, "000"))</f>
        <v>CCRB_M. nasutus006</v>
      </c>
      <c r="G265" s="21" t="s">
        <v>441</v>
      </c>
      <c r="H265" s="18" t="n">
        <v>1</v>
      </c>
      <c r="I265" s="22" t="n">
        <v>44686</v>
      </c>
      <c r="J265" s="2" t="s">
        <v>981</v>
      </c>
      <c r="K265" s="2"/>
      <c r="L265" s="2" t="n">
        <v>1</v>
      </c>
      <c r="M265" s="2" t="n">
        <v>1</v>
      </c>
      <c r="N265" s="3" t="n">
        <v>44799</v>
      </c>
      <c r="O265" s="2" t="n">
        <v>0.687</v>
      </c>
      <c r="P265" s="2" t="n">
        <v>1</v>
      </c>
      <c r="Q265" s="62" t="str">
        <f aca="false">IF(ISBLANK(N265),"",IF(N265&lt;DATE(2023,5,1),"OLD","NEW"))</f>
        <v>OLD</v>
      </c>
      <c r="S265" s="33" t="n">
        <f aca="false">IF(COUNTIF('[1]Plate_1-2_LongFormat'!$A$2:$A$193,G265)&gt;0,1,0)</f>
        <v>1</v>
      </c>
      <c r="T265" s="33" t="n">
        <f aca="false">IF(COUNTIF([2]Attached_indexes!$C$2:$C$193,G265)&gt;0,1,0)</f>
        <v>1</v>
      </c>
      <c r="U265" s="59"/>
      <c r="V265" s="1" t="s">
        <v>982</v>
      </c>
    </row>
    <row r="266" customFormat="false" ht="15.75" hidden="false" customHeight="true" outlineLevel="0" collapsed="false">
      <c r="A266" s="18" t="s">
        <v>429</v>
      </c>
      <c r="B266" s="18" t="s">
        <v>429</v>
      </c>
      <c r="C266" s="18" t="s">
        <v>159</v>
      </c>
      <c r="E266" s="66" t="n">
        <v>7</v>
      </c>
      <c r="F266" s="21" t="str">
        <f aca="false">CONCATENATE(B266,"_",C266, TEXT(E266, "000"))</f>
        <v>CCRB_M. nasutus007</v>
      </c>
      <c r="G266" s="21" t="s">
        <v>443</v>
      </c>
      <c r="H266" s="18" t="n">
        <v>1</v>
      </c>
      <c r="I266" s="22" t="n">
        <v>44686</v>
      </c>
      <c r="J266" s="2" t="s">
        <v>981</v>
      </c>
      <c r="K266" s="2"/>
      <c r="L266" s="2" t="n">
        <v>1</v>
      </c>
      <c r="M266" s="2" t="n">
        <v>1</v>
      </c>
      <c r="N266" s="3" t="n">
        <v>44799</v>
      </c>
      <c r="O266" s="2" t="n">
        <v>0.9</v>
      </c>
      <c r="P266" s="2" t="n">
        <v>1</v>
      </c>
      <c r="Q266" s="62" t="str">
        <f aca="false">IF(ISBLANK(N266),"",IF(N266&lt;DATE(2023,5,1),"OLD","NEW"))</f>
        <v>OLD</v>
      </c>
      <c r="R266" s="2" t="s">
        <v>1016</v>
      </c>
      <c r="S266" s="33" t="n">
        <f aca="false">IF(COUNTIF('[1]Plate_1-2_LongFormat'!$A$2:$A$193,G266)&gt;0,1,0)</f>
        <v>1</v>
      </c>
      <c r="T266" s="33" t="n">
        <f aca="false">IF(COUNTIF([2]Attached_indexes!$C$2:$C$193,G266)&gt;0,1,0)</f>
        <v>1</v>
      </c>
      <c r="U266" s="59"/>
      <c r="V266" s="1" t="s">
        <v>982</v>
      </c>
    </row>
    <row r="267" customFormat="false" ht="15.75" hidden="false" customHeight="true" outlineLevel="0" collapsed="false">
      <c r="A267" s="18" t="s">
        <v>429</v>
      </c>
      <c r="B267" s="18" t="s">
        <v>429</v>
      </c>
      <c r="C267" s="18" t="s">
        <v>159</v>
      </c>
      <c r="E267" s="66" t="n">
        <v>7</v>
      </c>
      <c r="F267" s="21" t="str">
        <f aca="false">CONCATENATE(B267,"_",C267, TEXT(E267, "000"))</f>
        <v>CCRB_M. nasutus007</v>
      </c>
      <c r="G267" s="21" t="s">
        <v>443</v>
      </c>
      <c r="H267" s="18" t="n">
        <v>1</v>
      </c>
      <c r="I267" s="22" t="n">
        <v>44686</v>
      </c>
      <c r="J267" s="2" t="s">
        <v>981</v>
      </c>
      <c r="K267" s="2"/>
      <c r="L267" s="2" t="n">
        <v>1</v>
      </c>
      <c r="M267" s="2" t="n">
        <v>1</v>
      </c>
      <c r="N267" s="3" t="n">
        <v>44799</v>
      </c>
      <c r="O267" s="2" t="n">
        <v>0.9</v>
      </c>
      <c r="P267" s="2" t="n">
        <v>1</v>
      </c>
      <c r="Q267" s="62" t="str">
        <f aca="false">IF(ISBLANK(N267),"",IF(N267&lt;DATE(2023,5,1),"OLD","NEW"))</f>
        <v>OLD</v>
      </c>
      <c r="R267" s="2" t="s">
        <v>1016</v>
      </c>
      <c r="S267" s="33" t="n">
        <f aca="false">IF(COUNTIF('[1]Plate_1-2_LongFormat'!$A$2:$A$193,G267)&gt;0,1,0)</f>
        <v>1</v>
      </c>
      <c r="T267" s="33" t="n">
        <f aca="false">IF(COUNTIF([2]Attached_indexes!$C$2:$C$193,G267)&gt;0,1,0)</f>
        <v>1</v>
      </c>
      <c r="U267" s="59"/>
      <c r="V267" s="1" t="s">
        <v>982</v>
      </c>
    </row>
    <row r="268" customFormat="false" ht="15.75" hidden="false" customHeight="true" outlineLevel="0" collapsed="false">
      <c r="A268" s="18" t="s">
        <v>429</v>
      </c>
      <c r="B268" s="18" t="s">
        <v>429</v>
      </c>
      <c r="C268" s="18" t="s">
        <v>159</v>
      </c>
      <c r="E268" s="66" t="n">
        <v>7</v>
      </c>
      <c r="F268" s="21" t="str">
        <f aca="false">CONCATENATE(B268,"_",C268, TEXT(E268, "000"))</f>
        <v>CCRB_M. nasutus007</v>
      </c>
      <c r="G268" s="21" t="s">
        <v>443</v>
      </c>
      <c r="H268" s="18" t="n">
        <v>1</v>
      </c>
      <c r="I268" s="22" t="n">
        <v>44686</v>
      </c>
      <c r="J268" s="2" t="s">
        <v>981</v>
      </c>
      <c r="L268" s="2" t="n">
        <v>1</v>
      </c>
      <c r="M268" s="2" t="n">
        <v>1</v>
      </c>
      <c r="N268" s="3" t="n">
        <v>44799</v>
      </c>
      <c r="O268" s="2" t="n">
        <v>0.9</v>
      </c>
      <c r="P268" s="2" t="n">
        <v>1</v>
      </c>
      <c r="Q268" s="62" t="str">
        <f aca="false">IF(ISBLANK(N268),"",IF(N268&lt;DATE(2023,5,1),"OLD","NEW"))</f>
        <v>OLD</v>
      </c>
      <c r="R268" s="2" t="s">
        <v>1016</v>
      </c>
      <c r="S268" s="33" t="n">
        <f aca="false">IF(COUNTIF('[1]Plate_1-2_LongFormat'!$A$2:$A$193,G268)&gt;0,1,0)</f>
        <v>1</v>
      </c>
      <c r="T268" s="33" t="n">
        <f aca="false">IF(COUNTIF([2]Attached_indexes!$C$2:$C$193,G268)&gt;0,1,0)</f>
        <v>1</v>
      </c>
      <c r="U268" s="59"/>
      <c r="V268" s="1" t="s">
        <v>982</v>
      </c>
    </row>
    <row r="269" customFormat="false" ht="15.75" hidden="false" customHeight="true" outlineLevel="0" collapsed="false">
      <c r="A269" s="18" t="s">
        <v>429</v>
      </c>
      <c r="B269" s="18" t="s">
        <v>429</v>
      </c>
      <c r="C269" s="18" t="s">
        <v>159</v>
      </c>
      <c r="E269" s="66" t="n">
        <v>8</v>
      </c>
      <c r="F269" s="21" t="str">
        <f aca="false">CONCATENATE(B269,"_",C269, TEXT(E269, "000"))</f>
        <v>CCRB_M. nasutus008</v>
      </c>
      <c r="G269" s="21" t="s">
        <v>445</v>
      </c>
      <c r="H269" s="18" t="n">
        <v>1</v>
      </c>
      <c r="I269" s="22" t="n">
        <v>44686</v>
      </c>
      <c r="J269" s="2" t="s">
        <v>981</v>
      </c>
      <c r="L269" s="2" t="n">
        <v>1</v>
      </c>
      <c r="M269" s="2" t="n">
        <v>1</v>
      </c>
      <c r="N269" s="3" t="n">
        <v>44945</v>
      </c>
      <c r="O269" s="2" t="n">
        <v>3.47</v>
      </c>
      <c r="P269" s="2" t="n">
        <v>2</v>
      </c>
      <c r="Q269" s="62" t="str">
        <f aca="false">IF(ISBLANK(N269),"",IF(N269&lt;DATE(2023,5,1),"OLD","NEW"))</f>
        <v>OLD</v>
      </c>
      <c r="S269" s="33" t="n">
        <f aca="false">IF(COUNTIF('[1]Plate_1-2_LongFormat'!$A$2:$A$193,G269)&gt;0,1,0)</f>
        <v>1</v>
      </c>
      <c r="T269" s="33" t="n">
        <f aca="false">IF(COUNTIF([2]Attached_indexes!$C$2:$C$193,G269)&gt;0,1,0)</f>
        <v>1</v>
      </c>
      <c r="U269" s="59"/>
      <c r="V269" s="1" t="s">
        <v>982</v>
      </c>
    </row>
    <row r="270" customFormat="false" ht="15.75" hidden="false" customHeight="true" outlineLevel="0" collapsed="false">
      <c r="A270" s="18" t="s">
        <v>429</v>
      </c>
      <c r="B270" s="18" t="s">
        <v>429</v>
      </c>
      <c r="C270" s="18" t="s">
        <v>159</v>
      </c>
      <c r="E270" s="66" t="n">
        <v>8</v>
      </c>
      <c r="F270" s="21" t="str">
        <f aca="false">CONCATENATE(B270,"_",C270, TEXT(E270, "000"))</f>
        <v>CCRB_M. nasutus008</v>
      </c>
      <c r="G270" s="21" t="s">
        <v>445</v>
      </c>
      <c r="H270" s="18" t="n">
        <v>1</v>
      </c>
      <c r="I270" s="22" t="n">
        <v>44686</v>
      </c>
      <c r="J270" s="2" t="s">
        <v>981</v>
      </c>
      <c r="L270" s="2" t="n">
        <v>1</v>
      </c>
      <c r="M270" s="2" t="n">
        <v>1</v>
      </c>
      <c r="N270" s="3" t="n">
        <v>44945</v>
      </c>
      <c r="O270" s="2" t="n">
        <v>3.47</v>
      </c>
      <c r="P270" s="2" t="n">
        <v>2</v>
      </c>
      <c r="Q270" s="62" t="str">
        <f aca="false">IF(ISBLANK(N270),"",IF(N270&lt;DATE(2023,5,1),"OLD","NEW"))</f>
        <v>OLD</v>
      </c>
      <c r="S270" s="33" t="n">
        <f aca="false">IF(COUNTIF('[1]Plate_1-2_LongFormat'!$A$2:$A$193,G270)&gt;0,1,0)</f>
        <v>1</v>
      </c>
      <c r="T270" s="33" t="n">
        <f aca="false">IF(COUNTIF([2]Attached_indexes!$C$2:$C$193,G270)&gt;0,1,0)</f>
        <v>1</v>
      </c>
      <c r="U270" s="59"/>
      <c r="V270" s="1" t="s">
        <v>982</v>
      </c>
    </row>
    <row r="271" customFormat="false" ht="15.75" hidden="false" customHeight="true" outlineLevel="0" collapsed="false">
      <c r="A271" s="18" t="s">
        <v>429</v>
      </c>
      <c r="B271" s="18" t="s">
        <v>429</v>
      </c>
      <c r="C271" s="18" t="s">
        <v>159</v>
      </c>
      <c r="E271" s="66" t="n">
        <v>8</v>
      </c>
      <c r="F271" s="21" t="str">
        <f aca="false">CONCATENATE(B271,"_",C271, TEXT(E271, "000"))</f>
        <v>CCRB_M. nasutus008</v>
      </c>
      <c r="G271" s="21" t="s">
        <v>445</v>
      </c>
      <c r="H271" s="18" t="n">
        <v>1</v>
      </c>
      <c r="I271" s="22" t="n">
        <v>44686</v>
      </c>
      <c r="J271" s="2" t="s">
        <v>981</v>
      </c>
      <c r="L271" s="2" t="n">
        <v>1</v>
      </c>
      <c r="M271" s="2" t="n">
        <v>1</v>
      </c>
      <c r="N271" s="3" t="n">
        <v>44945</v>
      </c>
      <c r="O271" s="2" t="n">
        <v>3.47</v>
      </c>
      <c r="P271" s="2" t="n">
        <v>2</v>
      </c>
      <c r="Q271" s="62" t="str">
        <f aca="false">IF(ISBLANK(N271),"",IF(N271&lt;DATE(2023,5,1),"OLD","NEW"))</f>
        <v>OLD</v>
      </c>
      <c r="S271" s="33" t="n">
        <f aca="false">IF(COUNTIF('[1]Plate_1-2_LongFormat'!$A$2:$A$193,G271)&gt;0,1,0)</f>
        <v>1</v>
      </c>
      <c r="T271" s="33" t="n">
        <f aca="false">IF(COUNTIF([2]Attached_indexes!$C$2:$C$193,G271)&gt;0,1,0)</f>
        <v>1</v>
      </c>
      <c r="U271" s="59"/>
      <c r="V271" s="1" t="s">
        <v>982</v>
      </c>
    </row>
    <row r="272" customFormat="false" ht="15.75" hidden="false" customHeight="true" outlineLevel="0" collapsed="false">
      <c r="A272" s="18" t="s">
        <v>429</v>
      </c>
      <c r="B272" s="18" t="s">
        <v>429</v>
      </c>
      <c r="C272" s="18" t="s">
        <v>159</v>
      </c>
      <c r="E272" s="66" t="n">
        <v>9</v>
      </c>
      <c r="F272" s="21" t="str">
        <f aca="false">CONCATENATE(B272,"_",C272, TEXT(E272, "000"))</f>
        <v>CCRB_M. nasutus009</v>
      </c>
      <c r="G272" s="21" t="s">
        <v>447</v>
      </c>
      <c r="H272" s="18" t="n">
        <v>1</v>
      </c>
      <c r="I272" s="22" t="n">
        <v>44686</v>
      </c>
      <c r="J272" s="2" t="s">
        <v>981</v>
      </c>
      <c r="L272" s="2" t="n">
        <v>1</v>
      </c>
      <c r="M272" s="2" t="n">
        <v>1</v>
      </c>
      <c r="N272" s="3" t="n">
        <v>44938</v>
      </c>
      <c r="O272" s="2" t="n">
        <v>0.13</v>
      </c>
      <c r="P272" s="2" t="n">
        <v>2</v>
      </c>
      <c r="Q272" s="62" t="str">
        <f aca="false">IF(ISBLANK(N272),"",IF(N272&lt;DATE(2023,5,1),"OLD","NEW"))</f>
        <v>OLD</v>
      </c>
      <c r="S272" s="33" t="n">
        <f aca="false">IF(COUNTIF('[1]Plate_1-2_LongFormat'!$A$2:$A$193,G272)&gt;0,1,0)</f>
        <v>1</v>
      </c>
      <c r="T272" s="33" t="n">
        <f aca="false">IF(COUNTIF([2]Attached_indexes!$C$2:$C$193,G272)&gt;0,1,0)</f>
        <v>1</v>
      </c>
      <c r="U272" s="59"/>
      <c r="V272" s="1" t="s">
        <v>982</v>
      </c>
    </row>
    <row r="273" customFormat="false" ht="15.75" hidden="false" customHeight="true" outlineLevel="0" collapsed="false">
      <c r="A273" s="18" t="s">
        <v>429</v>
      </c>
      <c r="B273" s="18" t="s">
        <v>429</v>
      </c>
      <c r="C273" s="18" t="s">
        <v>159</v>
      </c>
      <c r="E273" s="66" t="n">
        <v>9</v>
      </c>
      <c r="F273" s="21" t="str">
        <f aca="false">CONCATENATE(B273,"_",C273, TEXT(E273, "000"))</f>
        <v>CCRB_M. nasutus009</v>
      </c>
      <c r="G273" s="21" t="s">
        <v>447</v>
      </c>
      <c r="H273" s="18" t="n">
        <v>1</v>
      </c>
      <c r="I273" s="22" t="n">
        <v>44686</v>
      </c>
      <c r="J273" s="2" t="s">
        <v>981</v>
      </c>
      <c r="K273" s="61"/>
      <c r="L273" s="2" t="n">
        <v>1</v>
      </c>
      <c r="M273" s="2" t="n">
        <v>1</v>
      </c>
      <c r="N273" s="3" t="n">
        <v>44938</v>
      </c>
      <c r="O273" s="2" t="n">
        <v>0.13</v>
      </c>
      <c r="P273" s="2" t="n">
        <v>2</v>
      </c>
      <c r="Q273" s="62" t="str">
        <f aca="false">IF(ISBLANK(N273),"",IF(N273&lt;DATE(2023,5,1),"OLD","NEW"))</f>
        <v>OLD</v>
      </c>
      <c r="S273" s="33" t="n">
        <f aca="false">IF(COUNTIF('[1]Plate_1-2_LongFormat'!$A$2:$A$193,G273)&gt;0,1,0)</f>
        <v>1</v>
      </c>
      <c r="T273" s="33" t="n">
        <f aca="false">IF(COUNTIF([2]Attached_indexes!$C$2:$C$193,G273)&gt;0,1,0)</f>
        <v>1</v>
      </c>
      <c r="U273" s="59"/>
      <c r="V273" s="1" t="s">
        <v>982</v>
      </c>
    </row>
    <row r="274" customFormat="false" ht="15.75" hidden="false" customHeight="true" outlineLevel="0" collapsed="false">
      <c r="A274" s="18" t="s">
        <v>429</v>
      </c>
      <c r="B274" s="18" t="s">
        <v>429</v>
      </c>
      <c r="C274" s="18" t="s">
        <v>159</v>
      </c>
      <c r="E274" s="66" t="n">
        <v>9</v>
      </c>
      <c r="F274" s="21" t="str">
        <f aca="false">CONCATENATE(B274,"_",C274, TEXT(E274, "000"))</f>
        <v>CCRB_M. nasutus009</v>
      </c>
      <c r="G274" s="21" t="s">
        <v>447</v>
      </c>
      <c r="H274" s="18" t="n">
        <v>1</v>
      </c>
      <c r="I274" s="22" t="n">
        <v>44686</v>
      </c>
      <c r="J274" s="2" t="s">
        <v>981</v>
      </c>
      <c r="K274" s="61"/>
      <c r="L274" s="2" t="n">
        <v>1</v>
      </c>
      <c r="M274" s="2" t="n">
        <v>1</v>
      </c>
      <c r="N274" s="3" t="n">
        <v>44938</v>
      </c>
      <c r="O274" s="2" t="n">
        <v>0.13</v>
      </c>
      <c r="P274" s="2" t="n">
        <v>2</v>
      </c>
      <c r="Q274" s="62" t="str">
        <f aca="false">IF(ISBLANK(N274),"",IF(N274&lt;DATE(2023,5,1),"OLD","NEW"))</f>
        <v>OLD</v>
      </c>
      <c r="S274" s="33" t="n">
        <f aca="false">IF(COUNTIF('[1]Plate_1-2_LongFormat'!$A$2:$A$193,G274)&gt;0,1,0)</f>
        <v>1</v>
      </c>
      <c r="T274" s="33" t="n">
        <f aca="false">IF(COUNTIF([2]Attached_indexes!$C$2:$C$193,G274)&gt;0,1,0)</f>
        <v>1</v>
      </c>
      <c r="U274" s="59"/>
      <c r="V274" s="1" t="s">
        <v>982</v>
      </c>
    </row>
    <row r="275" customFormat="false" ht="15.75" hidden="false" customHeight="true" outlineLevel="0" collapsed="false">
      <c r="A275" s="18" t="s">
        <v>793</v>
      </c>
      <c r="B275" s="18" t="s">
        <v>793</v>
      </c>
      <c r="C275" s="18" t="s">
        <v>40</v>
      </c>
      <c r="E275" s="66" t="n">
        <v>1</v>
      </c>
      <c r="F275" s="21" t="str">
        <f aca="false">CONCATENATE(B275,"_",C275, TEXT(E275, "000"))</f>
        <v>CFZZ_M. guttatus001</v>
      </c>
      <c r="G275" s="21" t="s">
        <v>230</v>
      </c>
      <c r="H275" s="18" t="n">
        <v>1</v>
      </c>
      <c r="I275" s="22" t="n">
        <v>44371</v>
      </c>
      <c r="J275" s="2" t="s">
        <v>981</v>
      </c>
      <c r="K275" s="61"/>
      <c r="L275" s="2" t="n">
        <v>1</v>
      </c>
      <c r="M275" s="2" t="n">
        <v>1</v>
      </c>
      <c r="N275" s="3" t="n">
        <v>45053</v>
      </c>
      <c r="O275" s="2" t="n">
        <v>16.2</v>
      </c>
      <c r="P275" s="2" t="n">
        <v>3</v>
      </c>
      <c r="Q275" s="62" t="str">
        <f aca="false">IF(ISBLANK(N275),"",IF(N275&lt;DATE(2023,5,1),"OLD","NEW"))</f>
        <v>NEW</v>
      </c>
      <c r="S275" s="33" t="n">
        <f aca="false">IF(COUNTIF('[1]Plate_1-2_LongFormat'!$A$2:$A$193,G275)&gt;0,1,0)</f>
        <v>0</v>
      </c>
      <c r="T275" s="33" t="n">
        <f aca="false">IF(COUNTIF([2]Attached_indexes!$C$2:$C$193,G275)&gt;0,1,0)</f>
        <v>0</v>
      </c>
      <c r="U275" s="59"/>
      <c r="V275" s="1" t="s">
        <v>982</v>
      </c>
    </row>
    <row r="276" customFormat="false" ht="15.75" hidden="false" customHeight="true" outlineLevel="0" collapsed="false">
      <c r="A276" s="18" t="s">
        <v>793</v>
      </c>
      <c r="B276" s="18" t="s">
        <v>793</v>
      </c>
      <c r="C276" s="18" t="s">
        <v>40</v>
      </c>
      <c r="E276" s="66" t="n">
        <v>1</v>
      </c>
      <c r="F276" s="21" t="str">
        <f aca="false">CONCATENATE(B276,"_",C276, TEXT(E276, "000"))</f>
        <v>CFZZ_M. guttatus001</v>
      </c>
      <c r="G276" s="21" t="s">
        <v>230</v>
      </c>
      <c r="H276" s="18" t="n">
        <v>1</v>
      </c>
      <c r="I276" s="22" t="n">
        <v>44371</v>
      </c>
      <c r="J276" s="2" t="s">
        <v>981</v>
      </c>
      <c r="K276" s="61"/>
      <c r="L276" s="2" t="n">
        <v>1</v>
      </c>
      <c r="M276" s="2" t="n">
        <v>1</v>
      </c>
      <c r="N276" s="3" t="n">
        <v>45053</v>
      </c>
      <c r="O276" s="2" t="n">
        <v>16.2</v>
      </c>
      <c r="P276" s="2" t="n">
        <v>3</v>
      </c>
      <c r="Q276" s="62" t="str">
        <f aca="false">IF(ISBLANK(N276),"",IF(N276&lt;DATE(2023,5,1),"OLD","NEW"))</f>
        <v>NEW</v>
      </c>
      <c r="S276" s="33" t="n">
        <f aca="false">IF(COUNTIF('[1]Plate_1-2_LongFormat'!$A$2:$A$193,G276)&gt;0,1,0)</f>
        <v>0</v>
      </c>
      <c r="T276" s="33" t="n">
        <f aca="false">IF(COUNTIF([2]Attached_indexes!$C$2:$C$193,G276)&gt;0,1,0)</f>
        <v>0</v>
      </c>
      <c r="U276" s="59"/>
      <c r="V276" s="1" t="s">
        <v>982</v>
      </c>
    </row>
    <row r="277" customFormat="false" ht="15.75" hidden="false" customHeight="true" outlineLevel="0" collapsed="false">
      <c r="A277" s="18" t="s">
        <v>793</v>
      </c>
      <c r="B277" s="18" t="s">
        <v>793</v>
      </c>
      <c r="C277" s="18" t="s">
        <v>40</v>
      </c>
      <c r="E277" s="66" t="n">
        <v>1</v>
      </c>
      <c r="F277" s="21" t="str">
        <f aca="false">CONCATENATE(B277,"_",C277, TEXT(E277, "000"))</f>
        <v>CFZZ_M. guttatus001</v>
      </c>
      <c r="G277" s="21" t="s">
        <v>230</v>
      </c>
      <c r="H277" s="18" t="n">
        <v>1</v>
      </c>
      <c r="I277" s="22" t="n">
        <v>44371</v>
      </c>
      <c r="J277" s="2" t="s">
        <v>981</v>
      </c>
      <c r="K277" s="61"/>
      <c r="L277" s="2" t="n">
        <v>1</v>
      </c>
      <c r="M277" s="2" t="n">
        <v>1</v>
      </c>
      <c r="N277" s="3" t="n">
        <v>45053</v>
      </c>
      <c r="O277" s="2" t="n">
        <v>16.2</v>
      </c>
      <c r="P277" s="2" t="n">
        <v>3</v>
      </c>
      <c r="Q277" s="62" t="str">
        <f aca="false">IF(ISBLANK(N277),"",IF(N277&lt;DATE(2023,5,1),"OLD","NEW"))</f>
        <v>NEW</v>
      </c>
      <c r="S277" s="33" t="n">
        <f aca="false">IF(COUNTIF('[1]Plate_1-2_LongFormat'!$A$2:$A$193,G277)&gt;0,1,0)</f>
        <v>0</v>
      </c>
      <c r="T277" s="33" t="n">
        <f aca="false">IF(COUNTIF([2]Attached_indexes!$C$2:$C$193,G277)&gt;0,1,0)</f>
        <v>0</v>
      </c>
      <c r="U277" s="59"/>
      <c r="V277" s="1" t="s">
        <v>982</v>
      </c>
    </row>
    <row r="278" customFormat="false" ht="15.75" hidden="false" customHeight="true" outlineLevel="0" collapsed="false">
      <c r="A278" s="18" t="s">
        <v>793</v>
      </c>
      <c r="B278" s="18" t="s">
        <v>793</v>
      </c>
      <c r="C278" s="18" t="s">
        <v>40</v>
      </c>
      <c r="E278" s="66" t="n">
        <v>10</v>
      </c>
      <c r="F278" s="21" t="str">
        <f aca="false">CONCATENATE(B278,"_",C278, TEXT(E278, "000"))</f>
        <v>CFZZ_M. guttatus010</v>
      </c>
      <c r="G278" s="21" t="s">
        <v>257</v>
      </c>
      <c r="H278" s="18" t="n">
        <v>1</v>
      </c>
      <c r="I278" s="22" t="n">
        <v>44371</v>
      </c>
      <c r="J278" s="2" t="s">
        <v>981</v>
      </c>
      <c r="K278" s="61"/>
      <c r="L278" s="2" t="n">
        <v>1</v>
      </c>
      <c r="M278" s="2" t="n">
        <v>1</v>
      </c>
      <c r="N278" s="3" t="n">
        <v>45053</v>
      </c>
      <c r="O278" s="2" t="n">
        <v>13.9</v>
      </c>
      <c r="P278" s="2" t="n">
        <v>3</v>
      </c>
      <c r="Q278" s="62" t="str">
        <f aca="false">IF(ISBLANK(N278),"",IF(N278&lt;DATE(2023,5,1),"OLD","NEW"))</f>
        <v>NEW</v>
      </c>
      <c r="S278" s="33" t="n">
        <f aca="false">IF(COUNTIF('[1]Plate_1-2_LongFormat'!$A$2:$A$193,G278)&gt;0,1,0)</f>
        <v>0</v>
      </c>
      <c r="T278" s="33" t="n">
        <f aca="false">IF(COUNTIF([2]Attached_indexes!$C$2:$C$193,G278)&gt;0,1,0)</f>
        <v>0</v>
      </c>
      <c r="U278" s="59"/>
      <c r="V278" s="1" t="s">
        <v>982</v>
      </c>
    </row>
    <row r="279" customFormat="false" ht="15.75" hidden="false" customHeight="true" outlineLevel="0" collapsed="false">
      <c r="A279" s="18" t="s">
        <v>793</v>
      </c>
      <c r="B279" s="18" t="s">
        <v>793</v>
      </c>
      <c r="C279" s="18" t="s">
        <v>40</v>
      </c>
      <c r="E279" s="66" t="n">
        <v>10</v>
      </c>
      <c r="F279" s="21" t="str">
        <f aca="false">CONCATENATE(B279,"_",C279, TEXT(E279, "000"))</f>
        <v>CFZZ_M. guttatus010</v>
      </c>
      <c r="G279" s="21" t="s">
        <v>257</v>
      </c>
      <c r="H279" s="18" t="n">
        <v>1</v>
      </c>
      <c r="I279" s="22" t="n">
        <v>44371</v>
      </c>
      <c r="J279" s="2" t="s">
        <v>981</v>
      </c>
      <c r="K279" s="61"/>
      <c r="L279" s="2" t="n">
        <v>1</v>
      </c>
      <c r="M279" s="2" t="n">
        <v>1</v>
      </c>
      <c r="N279" s="3" t="n">
        <v>45053</v>
      </c>
      <c r="O279" s="2" t="n">
        <v>13.9</v>
      </c>
      <c r="P279" s="2" t="n">
        <v>3</v>
      </c>
      <c r="Q279" s="62" t="str">
        <f aca="false">IF(ISBLANK(N279),"",IF(N279&lt;DATE(2023,5,1),"OLD","NEW"))</f>
        <v>NEW</v>
      </c>
      <c r="S279" s="33" t="n">
        <f aca="false">IF(COUNTIF('[1]Plate_1-2_LongFormat'!$A$2:$A$193,G279)&gt;0,1,0)</f>
        <v>0</v>
      </c>
      <c r="T279" s="33" t="n">
        <f aca="false">IF(COUNTIF([2]Attached_indexes!$C$2:$C$193,G279)&gt;0,1,0)</f>
        <v>0</v>
      </c>
      <c r="U279" s="59"/>
      <c r="V279" s="1" t="s">
        <v>982</v>
      </c>
    </row>
    <row r="280" customFormat="false" ht="15.75" hidden="false" customHeight="true" outlineLevel="0" collapsed="false">
      <c r="A280" s="18" t="s">
        <v>793</v>
      </c>
      <c r="B280" s="18" t="s">
        <v>793</v>
      </c>
      <c r="C280" s="18" t="s">
        <v>40</v>
      </c>
      <c r="E280" s="66" t="n">
        <v>10</v>
      </c>
      <c r="F280" s="21" t="str">
        <f aca="false">CONCATENATE(B280,"_",C280, TEXT(E280, "000"))</f>
        <v>CFZZ_M. guttatus010</v>
      </c>
      <c r="G280" s="21" t="s">
        <v>257</v>
      </c>
      <c r="H280" s="18" t="n">
        <v>1</v>
      </c>
      <c r="I280" s="22" t="n">
        <v>44371</v>
      </c>
      <c r="J280" s="2" t="s">
        <v>981</v>
      </c>
      <c r="K280" s="61"/>
      <c r="L280" s="2" t="n">
        <v>1</v>
      </c>
      <c r="M280" s="2" t="n">
        <v>1</v>
      </c>
      <c r="N280" s="3" t="n">
        <v>45053</v>
      </c>
      <c r="O280" s="2" t="n">
        <v>13.9</v>
      </c>
      <c r="P280" s="2" t="n">
        <v>3</v>
      </c>
      <c r="Q280" s="62" t="str">
        <f aca="false">IF(ISBLANK(N280),"",IF(N280&lt;DATE(2023,5,1),"OLD","NEW"))</f>
        <v>NEW</v>
      </c>
      <c r="S280" s="33" t="n">
        <f aca="false">IF(COUNTIF('[1]Plate_1-2_LongFormat'!$A$2:$A$193,G280)&gt;0,1,0)</f>
        <v>0</v>
      </c>
      <c r="T280" s="33" t="n">
        <f aca="false">IF(COUNTIF([2]Attached_indexes!$C$2:$C$193,G280)&gt;0,1,0)</f>
        <v>0</v>
      </c>
      <c r="U280" s="59"/>
      <c r="V280" s="1" t="s">
        <v>982</v>
      </c>
    </row>
    <row r="281" customFormat="false" ht="15.75" hidden="false" customHeight="true" outlineLevel="0" collapsed="false">
      <c r="A281" s="18" t="s">
        <v>793</v>
      </c>
      <c r="B281" s="18" t="s">
        <v>793</v>
      </c>
      <c r="C281" s="18" t="s">
        <v>40</v>
      </c>
      <c r="E281" s="66" t="n">
        <v>2</v>
      </c>
      <c r="F281" s="21" t="str">
        <f aca="false">CONCATENATE(B281,"_",C281, TEXT(E281, "000"))</f>
        <v>CFZZ_M. guttatus002</v>
      </c>
      <c r="G281" s="21" t="s">
        <v>233</v>
      </c>
      <c r="H281" s="18" t="n">
        <v>1</v>
      </c>
      <c r="I281" s="22" t="n">
        <v>44371</v>
      </c>
      <c r="J281" s="2" t="s">
        <v>981</v>
      </c>
      <c r="L281" s="2" t="n">
        <v>1</v>
      </c>
      <c r="M281" s="2" t="n">
        <v>1</v>
      </c>
      <c r="N281" s="3" t="n">
        <v>45053</v>
      </c>
      <c r="O281" s="2" t="n">
        <v>24.3</v>
      </c>
      <c r="P281" s="2" t="n">
        <v>3</v>
      </c>
      <c r="Q281" s="62" t="str">
        <f aca="false">IF(ISBLANK(N281),"",IF(N281&lt;DATE(2023,5,1),"OLD","NEW"))</f>
        <v>NEW</v>
      </c>
      <c r="S281" s="33" t="n">
        <f aca="false">IF(COUNTIF('[1]Plate_1-2_LongFormat'!$A$2:$A$193,G281)&gt;0,1,0)</f>
        <v>0</v>
      </c>
      <c r="T281" s="33" t="n">
        <f aca="false">IF(COUNTIF([2]Attached_indexes!$C$2:$C$193,G281)&gt;0,1,0)</f>
        <v>0</v>
      </c>
      <c r="U281" s="59"/>
      <c r="V281" s="1" t="s">
        <v>982</v>
      </c>
    </row>
    <row r="282" customFormat="false" ht="15.75" hidden="false" customHeight="true" outlineLevel="0" collapsed="false">
      <c r="A282" s="18" t="s">
        <v>793</v>
      </c>
      <c r="B282" s="18" t="s">
        <v>793</v>
      </c>
      <c r="C282" s="18" t="s">
        <v>40</v>
      </c>
      <c r="E282" s="66" t="n">
        <v>2</v>
      </c>
      <c r="F282" s="21" t="str">
        <f aca="false">CONCATENATE(B282,"_",C282, TEXT(E282, "000"))</f>
        <v>CFZZ_M. guttatus002</v>
      </c>
      <c r="G282" s="21" t="s">
        <v>233</v>
      </c>
      <c r="H282" s="18" t="n">
        <v>1</v>
      </c>
      <c r="I282" s="22" t="n">
        <v>44371</v>
      </c>
      <c r="J282" s="2" t="s">
        <v>981</v>
      </c>
      <c r="L282" s="2" t="n">
        <v>1</v>
      </c>
      <c r="M282" s="2" t="n">
        <v>1</v>
      </c>
      <c r="N282" s="3" t="n">
        <v>45053</v>
      </c>
      <c r="O282" s="2" t="n">
        <v>24.3</v>
      </c>
      <c r="P282" s="2" t="n">
        <v>3</v>
      </c>
      <c r="Q282" s="62" t="str">
        <f aca="false">IF(ISBLANK(N282),"",IF(N282&lt;DATE(2023,5,1),"OLD","NEW"))</f>
        <v>NEW</v>
      </c>
      <c r="S282" s="33" t="n">
        <f aca="false">IF(COUNTIF('[1]Plate_1-2_LongFormat'!$A$2:$A$193,G282)&gt;0,1,0)</f>
        <v>0</v>
      </c>
      <c r="T282" s="33" t="n">
        <f aca="false">IF(COUNTIF([2]Attached_indexes!$C$2:$C$193,G282)&gt;0,1,0)</f>
        <v>0</v>
      </c>
      <c r="U282" s="59"/>
      <c r="V282" s="1" t="s">
        <v>982</v>
      </c>
    </row>
    <row r="283" customFormat="false" ht="15.75" hidden="false" customHeight="true" outlineLevel="0" collapsed="false">
      <c r="A283" s="18" t="s">
        <v>793</v>
      </c>
      <c r="B283" s="18" t="s">
        <v>793</v>
      </c>
      <c r="C283" s="18" t="s">
        <v>40</v>
      </c>
      <c r="E283" s="66" t="n">
        <v>2</v>
      </c>
      <c r="F283" s="21" t="str">
        <f aca="false">CONCATENATE(B283,"_",C283, TEXT(E283, "000"))</f>
        <v>CFZZ_M. guttatus002</v>
      </c>
      <c r="G283" s="21" t="s">
        <v>233</v>
      </c>
      <c r="H283" s="18" t="n">
        <v>1</v>
      </c>
      <c r="I283" s="22" t="n">
        <v>44371</v>
      </c>
      <c r="J283" s="2" t="s">
        <v>981</v>
      </c>
      <c r="L283" s="2" t="n">
        <v>1</v>
      </c>
      <c r="M283" s="2" t="n">
        <v>1</v>
      </c>
      <c r="N283" s="3" t="n">
        <v>45053</v>
      </c>
      <c r="O283" s="2" t="n">
        <v>24.3</v>
      </c>
      <c r="P283" s="2" t="n">
        <v>3</v>
      </c>
      <c r="Q283" s="62" t="str">
        <f aca="false">IF(ISBLANK(N283),"",IF(N283&lt;DATE(2023,5,1),"OLD","NEW"))</f>
        <v>NEW</v>
      </c>
      <c r="S283" s="33" t="n">
        <f aca="false">IF(COUNTIF('[1]Plate_1-2_LongFormat'!$A$2:$A$193,G283)&gt;0,1,0)</f>
        <v>0</v>
      </c>
      <c r="T283" s="33" t="n">
        <f aca="false">IF(COUNTIF([2]Attached_indexes!$C$2:$C$193,G283)&gt;0,1,0)</f>
        <v>0</v>
      </c>
      <c r="U283" s="59"/>
      <c r="V283" s="1" t="s">
        <v>982</v>
      </c>
    </row>
    <row r="284" customFormat="false" ht="15.75" hidden="false" customHeight="true" outlineLevel="0" collapsed="false">
      <c r="A284" s="18" t="s">
        <v>793</v>
      </c>
      <c r="B284" s="18" t="s">
        <v>793</v>
      </c>
      <c r="C284" s="18" t="s">
        <v>40</v>
      </c>
      <c r="E284" s="66" t="n">
        <v>3</v>
      </c>
      <c r="F284" s="21" t="str">
        <f aca="false">CONCATENATE(B284,"_",C284, TEXT(E284, "000"))</f>
        <v>CFZZ_M. guttatus003</v>
      </c>
      <c r="G284" s="21" t="s">
        <v>236</v>
      </c>
      <c r="H284" s="18" t="n">
        <v>1</v>
      </c>
      <c r="I284" s="22" t="n">
        <v>44371</v>
      </c>
      <c r="J284" s="2" t="s">
        <v>981</v>
      </c>
      <c r="L284" s="2" t="n">
        <v>1</v>
      </c>
      <c r="M284" s="2" t="n">
        <v>1</v>
      </c>
      <c r="N284" s="3" t="n">
        <v>45053</v>
      </c>
      <c r="O284" s="2" t="n">
        <v>13.7</v>
      </c>
      <c r="P284" s="2" t="n">
        <v>3</v>
      </c>
      <c r="Q284" s="62" t="str">
        <f aca="false">IF(ISBLANK(N284),"",IF(N284&lt;DATE(2023,5,1),"OLD","NEW"))</f>
        <v>NEW</v>
      </c>
      <c r="S284" s="33" t="n">
        <f aca="false">IF(COUNTIF('[1]Plate_1-2_LongFormat'!$A$2:$A$193,G284)&gt;0,1,0)</f>
        <v>0</v>
      </c>
      <c r="T284" s="33" t="n">
        <f aca="false">IF(COUNTIF([2]Attached_indexes!$C$2:$C$193,G284)&gt;0,1,0)</f>
        <v>0</v>
      </c>
      <c r="U284" s="59"/>
      <c r="V284" s="1" t="s">
        <v>982</v>
      </c>
    </row>
    <row r="285" customFormat="false" ht="15.75" hidden="false" customHeight="true" outlineLevel="0" collapsed="false">
      <c r="A285" s="18" t="s">
        <v>793</v>
      </c>
      <c r="B285" s="18" t="s">
        <v>793</v>
      </c>
      <c r="C285" s="18" t="s">
        <v>40</v>
      </c>
      <c r="E285" s="66" t="n">
        <v>3</v>
      </c>
      <c r="F285" s="21" t="str">
        <f aca="false">CONCATENATE(B285,"_",C285, TEXT(E285, "000"))</f>
        <v>CFZZ_M. guttatus003</v>
      </c>
      <c r="G285" s="21" t="s">
        <v>236</v>
      </c>
      <c r="H285" s="18" t="n">
        <v>1</v>
      </c>
      <c r="I285" s="22" t="n">
        <v>44371</v>
      </c>
      <c r="J285" s="2" t="s">
        <v>981</v>
      </c>
      <c r="L285" s="2" t="n">
        <v>1</v>
      </c>
      <c r="M285" s="2" t="n">
        <v>1</v>
      </c>
      <c r="N285" s="3" t="n">
        <v>45053</v>
      </c>
      <c r="O285" s="2" t="n">
        <v>13.7</v>
      </c>
      <c r="P285" s="2" t="n">
        <v>3</v>
      </c>
      <c r="Q285" s="62" t="str">
        <f aca="false">IF(ISBLANK(N285),"",IF(N285&lt;DATE(2023,5,1),"OLD","NEW"))</f>
        <v>NEW</v>
      </c>
      <c r="S285" s="33" t="n">
        <f aca="false">IF(COUNTIF('[1]Plate_1-2_LongFormat'!$A$2:$A$193,G285)&gt;0,1,0)</f>
        <v>0</v>
      </c>
      <c r="T285" s="33" t="n">
        <f aca="false">IF(COUNTIF([2]Attached_indexes!$C$2:$C$193,G285)&gt;0,1,0)</f>
        <v>0</v>
      </c>
      <c r="U285" s="59"/>
      <c r="V285" s="1" t="s">
        <v>982</v>
      </c>
    </row>
    <row r="286" customFormat="false" ht="15.75" hidden="false" customHeight="true" outlineLevel="0" collapsed="false">
      <c r="A286" s="18" t="s">
        <v>793</v>
      </c>
      <c r="B286" s="18" t="s">
        <v>793</v>
      </c>
      <c r="C286" s="18" t="s">
        <v>40</v>
      </c>
      <c r="E286" s="66" t="n">
        <v>3</v>
      </c>
      <c r="F286" s="21" t="str">
        <f aca="false">CONCATENATE(B286,"_",C286, TEXT(E286, "000"))</f>
        <v>CFZZ_M. guttatus003</v>
      </c>
      <c r="G286" s="21" t="s">
        <v>236</v>
      </c>
      <c r="H286" s="18" t="n">
        <v>1</v>
      </c>
      <c r="I286" s="22" t="n">
        <v>44371</v>
      </c>
      <c r="J286" s="2" t="s">
        <v>981</v>
      </c>
      <c r="L286" s="2" t="n">
        <v>1</v>
      </c>
      <c r="M286" s="2" t="n">
        <v>1</v>
      </c>
      <c r="N286" s="3" t="n">
        <v>45053</v>
      </c>
      <c r="O286" s="2" t="n">
        <v>13.7</v>
      </c>
      <c r="P286" s="2" t="n">
        <v>3</v>
      </c>
      <c r="Q286" s="62" t="str">
        <f aca="false">IF(ISBLANK(N286),"",IF(N286&lt;DATE(2023,5,1),"OLD","NEW"))</f>
        <v>NEW</v>
      </c>
      <c r="S286" s="33" t="n">
        <f aca="false">IF(COUNTIF('[1]Plate_1-2_LongFormat'!$A$2:$A$193,G286)&gt;0,1,0)</f>
        <v>0</v>
      </c>
      <c r="T286" s="33" t="n">
        <f aca="false">IF(COUNTIF([2]Attached_indexes!$C$2:$C$193,G286)&gt;0,1,0)</f>
        <v>0</v>
      </c>
      <c r="U286" s="59"/>
      <c r="V286" s="1" t="s">
        <v>982</v>
      </c>
    </row>
    <row r="287" customFormat="false" ht="15.75" hidden="false" customHeight="true" outlineLevel="0" collapsed="false">
      <c r="A287" s="18" t="s">
        <v>793</v>
      </c>
      <c r="B287" s="18" t="s">
        <v>793</v>
      </c>
      <c r="C287" s="18" t="s">
        <v>40</v>
      </c>
      <c r="E287" s="66" t="n">
        <v>4</v>
      </c>
      <c r="F287" s="21" t="str">
        <f aca="false">CONCATENATE(B287,"_",C287, TEXT(E287, "000"))</f>
        <v>CFZZ_M. guttatus004</v>
      </c>
      <c r="G287" s="21" t="s">
        <v>239</v>
      </c>
      <c r="H287" s="18" t="n">
        <v>1</v>
      </c>
      <c r="I287" s="22" t="n">
        <v>44371</v>
      </c>
      <c r="J287" s="2" t="s">
        <v>981</v>
      </c>
      <c r="L287" s="2" t="n">
        <v>1</v>
      </c>
      <c r="M287" s="2" t="n">
        <v>1</v>
      </c>
      <c r="N287" s="3" t="n">
        <v>44999</v>
      </c>
      <c r="O287" s="2" t="n">
        <v>3.91</v>
      </c>
      <c r="P287" s="2" t="n">
        <v>3</v>
      </c>
      <c r="Q287" s="62" t="str">
        <f aca="false">IF(ISBLANK(N287),"",IF(N287&lt;DATE(2023,5,1),"OLD","NEW"))</f>
        <v>OLD</v>
      </c>
      <c r="S287" s="33" t="n">
        <f aca="false">IF(COUNTIF('[1]Plate_1-2_LongFormat'!$A$2:$A$193,G287)&gt;0,1,0)</f>
        <v>1</v>
      </c>
      <c r="T287" s="33" t="n">
        <f aca="false">IF(COUNTIF([2]Attached_indexes!$C$2:$C$193,G287)&gt;0,1,0)</f>
        <v>1</v>
      </c>
      <c r="U287" s="59"/>
      <c r="V287" s="1" t="s">
        <v>982</v>
      </c>
    </row>
    <row r="288" customFormat="false" ht="15.75" hidden="false" customHeight="true" outlineLevel="0" collapsed="false">
      <c r="A288" s="18" t="s">
        <v>793</v>
      </c>
      <c r="B288" s="18" t="s">
        <v>793</v>
      </c>
      <c r="C288" s="18" t="s">
        <v>40</v>
      </c>
      <c r="E288" s="66" t="n">
        <v>4</v>
      </c>
      <c r="F288" s="21" t="str">
        <f aca="false">CONCATENATE(B288,"_",C288, TEXT(E288, "000"))</f>
        <v>CFZZ_M. guttatus004</v>
      </c>
      <c r="G288" s="21" t="s">
        <v>239</v>
      </c>
      <c r="H288" s="18" t="n">
        <v>1</v>
      </c>
      <c r="I288" s="22" t="n">
        <v>44371</v>
      </c>
      <c r="J288" s="2" t="s">
        <v>981</v>
      </c>
      <c r="L288" s="2" t="n">
        <v>1</v>
      </c>
      <c r="M288" s="2" t="n">
        <v>1</v>
      </c>
      <c r="N288" s="3" t="n">
        <v>44999</v>
      </c>
      <c r="O288" s="2" t="n">
        <v>3.91</v>
      </c>
      <c r="P288" s="2" t="n">
        <v>3</v>
      </c>
      <c r="Q288" s="62" t="str">
        <f aca="false">IF(ISBLANK(N288),"",IF(N288&lt;DATE(2023,5,1),"OLD","NEW"))</f>
        <v>OLD</v>
      </c>
      <c r="S288" s="33" t="n">
        <f aca="false">IF(COUNTIF('[1]Plate_1-2_LongFormat'!$A$2:$A$193,G288)&gt;0,1,0)</f>
        <v>1</v>
      </c>
      <c r="T288" s="33" t="n">
        <f aca="false">IF(COUNTIF([2]Attached_indexes!$C$2:$C$193,G288)&gt;0,1,0)</f>
        <v>1</v>
      </c>
      <c r="U288" s="59"/>
      <c r="V288" s="1" t="s">
        <v>982</v>
      </c>
    </row>
    <row r="289" customFormat="false" ht="15.75" hidden="false" customHeight="true" outlineLevel="0" collapsed="false">
      <c r="A289" s="18" t="s">
        <v>793</v>
      </c>
      <c r="B289" s="18" t="s">
        <v>793</v>
      </c>
      <c r="C289" s="18" t="s">
        <v>40</v>
      </c>
      <c r="E289" s="66" t="n">
        <v>4</v>
      </c>
      <c r="F289" s="21" t="str">
        <f aca="false">CONCATENATE(B289,"_",C289, TEXT(E289, "000"))</f>
        <v>CFZZ_M. guttatus004</v>
      </c>
      <c r="G289" s="21" t="s">
        <v>239</v>
      </c>
      <c r="H289" s="18" t="n">
        <v>1</v>
      </c>
      <c r="I289" s="22" t="n">
        <v>44371</v>
      </c>
      <c r="J289" s="2" t="s">
        <v>981</v>
      </c>
      <c r="L289" s="2" t="n">
        <v>1</v>
      </c>
      <c r="M289" s="2" t="n">
        <v>1</v>
      </c>
      <c r="N289" s="3" t="n">
        <v>44999</v>
      </c>
      <c r="O289" s="2" t="n">
        <v>3.91</v>
      </c>
      <c r="P289" s="2" t="n">
        <v>3</v>
      </c>
      <c r="Q289" s="62" t="str">
        <f aca="false">IF(ISBLANK(N289),"",IF(N289&lt;DATE(2023,5,1),"OLD","NEW"))</f>
        <v>OLD</v>
      </c>
      <c r="S289" s="33" t="n">
        <f aca="false">IF(COUNTIF('[1]Plate_1-2_LongFormat'!$A$2:$A$193,G289)&gt;0,1,0)</f>
        <v>1</v>
      </c>
      <c r="T289" s="33" t="n">
        <f aca="false">IF(COUNTIF([2]Attached_indexes!$C$2:$C$193,G289)&gt;0,1,0)</f>
        <v>1</v>
      </c>
      <c r="U289" s="59"/>
      <c r="V289" s="1" t="s">
        <v>982</v>
      </c>
    </row>
    <row r="290" customFormat="false" ht="15.75" hidden="false" customHeight="true" outlineLevel="0" collapsed="false">
      <c r="A290" s="18" t="s">
        <v>793</v>
      </c>
      <c r="B290" s="18" t="s">
        <v>793</v>
      </c>
      <c r="C290" s="18" t="s">
        <v>40</v>
      </c>
      <c r="E290" s="66" t="n">
        <v>5</v>
      </c>
      <c r="F290" s="21" t="str">
        <f aca="false">CONCATENATE(B290,"_",C290, TEXT(E290, "000"))</f>
        <v>CFZZ_M. guttatus005</v>
      </c>
      <c r="G290" s="21" t="s">
        <v>242</v>
      </c>
      <c r="H290" s="18" t="n">
        <v>1</v>
      </c>
      <c r="I290" s="22" t="n">
        <v>44371</v>
      </c>
      <c r="J290" s="2" t="s">
        <v>981</v>
      </c>
      <c r="L290" s="2" t="n">
        <v>1</v>
      </c>
      <c r="M290" s="2" t="n">
        <v>1</v>
      </c>
      <c r="N290" s="3" t="n">
        <v>45053</v>
      </c>
      <c r="O290" s="2" t="n">
        <v>8.93</v>
      </c>
      <c r="P290" s="2" t="n">
        <v>3</v>
      </c>
      <c r="Q290" s="62" t="str">
        <f aca="false">IF(ISBLANK(N290),"",IF(N290&lt;DATE(2023,5,1),"OLD","NEW"))</f>
        <v>NEW</v>
      </c>
      <c r="S290" s="33" t="n">
        <f aca="false">IF(COUNTIF('[1]Plate_1-2_LongFormat'!$A$2:$A$193,G290)&gt;0,1,0)</f>
        <v>0</v>
      </c>
      <c r="T290" s="33" t="n">
        <f aca="false">IF(COUNTIF([2]Attached_indexes!$C$2:$C$193,G290)&gt;0,1,0)</f>
        <v>0</v>
      </c>
      <c r="U290" s="59"/>
      <c r="V290" s="1" t="s">
        <v>982</v>
      </c>
    </row>
    <row r="291" customFormat="false" ht="15.75" hidden="false" customHeight="true" outlineLevel="0" collapsed="false">
      <c r="A291" s="18" t="s">
        <v>793</v>
      </c>
      <c r="B291" s="18" t="s">
        <v>793</v>
      </c>
      <c r="C291" s="18" t="s">
        <v>40</v>
      </c>
      <c r="E291" s="66" t="n">
        <v>5</v>
      </c>
      <c r="F291" s="21" t="str">
        <f aca="false">CONCATENATE(B291,"_",C291, TEXT(E291, "000"))</f>
        <v>CFZZ_M. guttatus005</v>
      </c>
      <c r="G291" s="21" t="s">
        <v>242</v>
      </c>
      <c r="H291" s="18" t="n">
        <v>1</v>
      </c>
      <c r="I291" s="22" t="n">
        <v>44371</v>
      </c>
      <c r="J291" s="2" t="s">
        <v>981</v>
      </c>
      <c r="L291" s="2" t="n">
        <v>1</v>
      </c>
      <c r="M291" s="2" t="n">
        <v>1</v>
      </c>
      <c r="N291" s="3" t="n">
        <v>45053</v>
      </c>
      <c r="O291" s="2" t="n">
        <v>8.93</v>
      </c>
      <c r="P291" s="2" t="n">
        <v>3</v>
      </c>
      <c r="Q291" s="62" t="str">
        <f aca="false">IF(ISBLANK(N291),"",IF(N291&lt;DATE(2023,5,1),"OLD","NEW"))</f>
        <v>NEW</v>
      </c>
      <c r="S291" s="33" t="n">
        <f aca="false">IF(COUNTIF('[1]Plate_1-2_LongFormat'!$A$2:$A$193,G291)&gt;0,1,0)</f>
        <v>0</v>
      </c>
      <c r="T291" s="33" t="n">
        <f aca="false">IF(COUNTIF([2]Attached_indexes!$C$2:$C$193,G291)&gt;0,1,0)</f>
        <v>0</v>
      </c>
      <c r="U291" s="59"/>
      <c r="V291" s="1" t="s">
        <v>982</v>
      </c>
    </row>
    <row r="292" customFormat="false" ht="15.75" hidden="false" customHeight="true" outlineLevel="0" collapsed="false">
      <c r="A292" s="18" t="s">
        <v>793</v>
      </c>
      <c r="B292" s="18" t="s">
        <v>793</v>
      </c>
      <c r="C292" s="18" t="s">
        <v>40</v>
      </c>
      <c r="E292" s="66" t="n">
        <v>5</v>
      </c>
      <c r="F292" s="21" t="str">
        <f aca="false">CONCATENATE(B292,"_",C292, TEXT(E292, "000"))</f>
        <v>CFZZ_M. guttatus005</v>
      </c>
      <c r="G292" s="21" t="s">
        <v>242</v>
      </c>
      <c r="H292" s="18" t="n">
        <v>1</v>
      </c>
      <c r="I292" s="22" t="n">
        <v>44371</v>
      </c>
      <c r="J292" s="2" t="s">
        <v>981</v>
      </c>
      <c r="L292" s="2" t="n">
        <v>1</v>
      </c>
      <c r="M292" s="2" t="n">
        <v>1</v>
      </c>
      <c r="N292" s="3" t="n">
        <v>45053</v>
      </c>
      <c r="O292" s="2" t="n">
        <v>8.93</v>
      </c>
      <c r="P292" s="2" t="n">
        <v>3</v>
      </c>
      <c r="Q292" s="62" t="str">
        <f aca="false">IF(ISBLANK(N292),"",IF(N292&lt;DATE(2023,5,1),"OLD","NEW"))</f>
        <v>NEW</v>
      </c>
      <c r="S292" s="33" t="n">
        <f aca="false">IF(COUNTIF('[1]Plate_1-2_LongFormat'!$A$2:$A$193,G292)&gt;0,1,0)</f>
        <v>0</v>
      </c>
      <c r="T292" s="33" t="n">
        <f aca="false">IF(COUNTIF([2]Attached_indexes!$C$2:$C$193,G292)&gt;0,1,0)</f>
        <v>0</v>
      </c>
      <c r="U292" s="59"/>
      <c r="V292" s="1" t="s">
        <v>982</v>
      </c>
    </row>
    <row r="293" customFormat="false" ht="15.75" hidden="false" customHeight="true" outlineLevel="0" collapsed="false">
      <c r="A293" s="18" t="s">
        <v>793</v>
      </c>
      <c r="B293" s="18" t="s">
        <v>793</v>
      </c>
      <c r="C293" s="18" t="s">
        <v>40</v>
      </c>
      <c r="E293" s="66" t="n">
        <v>6</v>
      </c>
      <c r="F293" s="21" t="str">
        <f aca="false">CONCATENATE(B293,"_",C293, TEXT(E293, "000"))</f>
        <v>CFZZ_M. guttatus006</v>
      </c>
      <c r="G293" s="21" t="s">
        <v>245</v>
      </c>
      <c r="H293" s="18" t="n">
        <v>1</v>
      </c>
      <c r="I293" s="22" t="n">
        <v>44371</v>
      </c>
      <c r="J293" s="2" t="s">
        <v>981</v>
      </c>
      <c r="L293" s="2" t="n">
        <v>1</v>
      </c>
      <c r="M293" s="2" t="n">
        <v>1</v>
      </c>
      <c r="N293" s="3" t="n">
        <v>45053</v>
      </c>
      <c r="O293" s="2" t="n">
        <v>11.1</v>
      </c>
      <c r="P293" s="2" t="n">
        <v>3</v>
      </c>
      <c r="Q293" s="62" t="str">
        <f aca="false">IF(ISBLANK(N293),"",IF(N293&lt;DATE(2023,5,1),"OLD","NEW"))</f>
        <v>NEW</v>
      </c>
      <c r="S293" s="33" t="n">
        <f aca="false">IF(COUNTIF('[1]Plate_1-2_LongFormat'!$A$2:$A$193,G293)&gt;0,1,0)</f>
        <v>0</v>
      </c>
      <c r="T293" s="33" t="n">
        <f aca="false">IF(COUNTIF([2]Attached_indexes!$C$2:$C$193,G293)&gt;0,1,0)</f>
        <v>0</v>
      </c>
      <c r="U293" s="59"/>
      <c r="V293" s="1" t="s">
        <v>982</v>
      </c>
    </row>
    <row r="294" customFormat="false" ht="15.75" hidden="false" customHeight="true" outlineLevel="0" collapsed="false">
      <c r="A294" s="18" t="s">
        <v>793</v>
      </c>
      <c r="B294" s="18" t="s">
        <v>793</v>
      </c>
      <c r="C294" s="18" t="s">
        <v>40</v>
      </c>
      <c r="E294" s="66" t="n">
        <v>6</v>
      </c>
      <c r="F294" s="21" t="str">
        <f aca="false">CONCATENATE(B294,"_",C294, TEXT(E294, "000"))</f>
        <v>CFZZ_M. guttatus006</v>
      </c>
      <c r="G294" s="21" t="s">
        <v>245</v>
      </c>
      <c r="H294" s="18" t="n">
        <v>1</v>
      </c>
      <c r="I294" s="22" t="n">
        <v>44371</v>
      </c>
      <c r="J294" s="2" t="s">
        <v>981</v>
      </c>
      <c r="L294" s="2" t="n">
        <v>1</v>
      </c>
      <c r="M294" s="2" t="n">
        <v>1</v>
      </c>
      <c r="N294" s="3" t="n">
        <v>45053</v>
      </c>
      <c r="O294" s="2" t="n">
        <v>11.1</v>
      </c>
      <c r="P294" s="2" t="n">
        <v>3</v>
      </c>
      <c r="Q294" s="62" t="str">
        <f aca="false">IF(ISBLANK(N294),"",IF(N294&lt;DATE(2023,5,1),"OLD","NEW"))</f>
        <v>NEW</v>
      </c>
      <c r="S294" s="33" t="n">
        <f aca="false">IF(COUNTIF('[1]Plate_1-2_LongFormat'!$A$2:$A$193,G294)&gt;0,1,0)</f>
        <v>0</v>
      </c>
      <c r="T294" s="33" t="n">
        <f aca="false">IF(COUNTIF([2]Attached_indexes!$C$2:$C$193,G294)&gt;0,1,0)</f>
        <v>0</v>
      </c>
      <c r="U294" s="59"/>
      <c r="V294" s="1" t="s">
        <v>982</v>
      </c>
    </row>
    <row r="295" customFormat="false" ht="15.75" hidden="false" customHeight="true" outlineLevel="0" collapsed="false">
      <c r="A295" s="18" t="s">
        <v>793</v>
      </c>
      <c r="B295" s="18" t="s">
        <v>793</v>
      </c>
      <c r="C295" s="18" t="s">
        <v>40</v>
      </c>
      <c r="E295" s="66" t="n">
        <v>6</v>
      </c>
      <c r="F295" s="21" t="str">
        <f aca="false">CONCATENATE(B295,"_",C295, TEXT(E295, "000"))</f>
        <v>CFZZ_M. guttatus006</v>
      </c>
      <c r="G295" s="21" t="s">
        <v>245</v>
      </c>
      <c r="H295" s="18" t="n">
        <v>1</v>
      </c>
      <c r="I295" s="22" t="n">
        <v>44371</v>
      </c>
      <c r="J295" s="2" t="s">
        <v>981</v>
      </c>
      <c r="L295" s="2" t="n">
        <v>1</v>
      </c>
      <c r="M295" s="2" t="n">
        <v>1</v>
      </c>
      <c r="N295" s="3" t="n">
        <v>45053</v>
      </c>
      <c r="O295" s="2" t="n">
        <v>11.1</v>
      </c>
      <c r="P295" s="2" t="n">
        <v>3</v>
      </c>
      <c r="Q295" s="62" t="str">
        <f aca="false">IF(ISBLANK(N295),"",IF(N295&lt;DATE(2023,5,1),"OLD","NEW"))</f>
        <v>NEW</v>
      </c>
      <c r="S295" s="33" t="n">
        <f aca="false">IF(COUNTIF('[1]Plate_1-2_LongFormat'!$A$2:$A$193,G295)&gt;0,1,0)</f>
        <v>0</v>
      </c>
      <c r="T295" s="33" t="n">
        <f aca="false">IF(COUNTIF([2]Attached_indexes!$C$2:$C$193,G295)&gt;0,1,0)</f>
        <v>0</v>
      </c>
      <c r="U295" s="59"/>
      <c r="V295" s="1" t="s">
        <v>982</v>
      </c>
    </row>
    <row r="296" customFormat="false" ht="15.75" hidden="false" customHeight="true" outlineLevel="0" collapsed="false">
      <c r="A296" s="18" t="s">
        <v>793</v>
      </c>
      <c r="B296" s="18" t="s">
        <v>793</v>
      </c>
      <c r="C296" s="18" t="s">
        <v>40</v>
      </c>
      <c r="E296" s="66" t="n">
        <v>7</v>
      </c>
      <c r="F296" s="21" t="str">
        <f aca="false">CONCATENATE(B296,"_",C296, TEXT(E296, "000"))</f>
        <v>CFZZ_M. guttatus007</v>
      </c>
      <c r="G296" s="21" t="s">
        <v>248</v>
      </c>
      <c r="H296" s="18" t="n">
        <v>1</v>
      </c>
      <c r="I296" s="22" t="n">
        <v>44371</v>
      </c>
      <c r="J296" s="2" t="s">
        <v>981</v>
      </c>
      <c r="K296" s="2" t="s">
        <v>1017</v>
      </c>
      <c r="L296" s="2" t="n">
        <v>1</v>
      </c>
      <c r="M296" s="2" t="n">
        <v>1</v>
      </c>
      <c r="N296" s="3" t="n">
        <v>45053</v>
      </c>
      <c r="O296" s="2" t="n">
        <v>11.5</v>
      </c>
      <c r="P296" s="2" t="n">
        <v>3</v>
      </c>
      <c r="Q296" s="62" t="str">
        <f aca="false">IF(ISBLANK(N296),"",IF(N296&lt;DATE(2023,5,1),"OLD","NEW"))</f>
        <v>NEW</v>
      </c>
      <c r="S296" s="33" t="n">
        <f aca="false">IF(COUNTIF('[1]Plate_1-2_LongFormat'!$A$2:$A$193,G296)&gt;0,1,0)</f>
        <v>0</v>
      </c>
      <c r="T296" s="33" t="n">
        <f aca="false">IF(COUNTIF([2]Attached_indexes!$C$2:$C$193,G296)&gt;0,1,0)</f>
        <v>0</v>
      </c>
      <c r="U296" s="59"/>
      <c r="V296" s="1" t="s">
        <v>982</v>
      </c>
    </row>
    <row r="297" customFormat="false" ht="15.75" hidden="false" customHeight="true" outlineLevel="0" collapsed="false">
      <c r="A297" s="18" t="s">
        <v>793</v>
      </c>
      <c r="B297" s="18" t="s">
        <v>793</v>
      </c>
      <c r="C297" s="18" t="s">
        <v>40</v>
      </c>
      <c r="E297" s="66" t="n">
        <v>7</v>
      </c>
      <c r="F297" s="21" t="str">
        <f aca="false">CONCATENATE(B297,"_",C297, TEXT(E297, "000"))</f>
        <v>CFZZ_M. guttatus007</v>
      </c>
      <c r="G297" s="21" t="s">
        <v>248</v>
      </c>
      <c r="H297" s="18" t="n">
        <v>1</v>
      </c>
      <c r="I297" s="22" t="n">
        <v>44371</v>
      </c>
      <c r="J297" s="2" t="s">
        <v>981</v>
      </c>
      <c r="K297" s="2" t="s">
        <v>1017</v>
      </c>
      <c r="L297" s="2" t="n">
        <v>1</v>
      </c>
      <c r="M297" s="2" t="n">
        <v>1</v>
      </c>
      <c r="N297" s="3" t="n">
        <v>45053</v>
      </c>
      <c r="O297" s="2" t="n">
        <v>11.5</v>
      </c>
      <c r="P297" s="2" t="n">
        <v>3</v>
      </c>
      <c r="Q297" s="62" t="str">
        <f aca="false">IF(ISBLANK(N297),"",IF(N297&lt;DATE(2023,5,1),"OLD","NEW"))</f>
        <v>NEW</v>
      </c>
      <c r="S297" s="33" t="n">
        <f aca="false">IF(COUNTIF('[1]Plate_1-2_LongFormat'!$A$2:$A$193,G297)&gt;0,1,0)</f>
        <v>0</v>
      </c>
      <c r="T297" s="33" t="n">
        <f aca="false">IF(COUNTIF([2]Attached_indexes!$C$2:$C$193,G297)&gt;0,1,0)</f>
        <v>0</v>
      </c>
      <c r="U297" s="59"/>
      <c r="V297" s="1" t="s">
        <v>982</v>
      </c>
    </row>
    <row r="298" customFormat="false" ht="15.75" hidden="false" customHeight="true" outlineLevel="0" collapsed="false">
      <c r="A298" s="18" t="s">
        <v>793</v>
      </c>
      <c r="B298" s="18" t="s">
        <v>793</v>
      </c>
      <c r="C298" s="18" t="s">
        <v>40</v>
      </c>
      <c r="E298" s="66" t="n">
        <v>7</v>
      </c>
      <c r="F298" s="21" t="str">
        <f aca="false">CONCATENATE(B298,"_",C298, TEXT(E298, "000"))</f>
        <v>CFZZ_M. guttatus007</v>
      </c>
      <c r="G298" s="21" t="s">
        <v>248</v>
      </c>
      <c r="H298" s="18" t="n">
        <v>1</v>
      </c>
      <c r="I298" s="22" t="n">
        <v>44371</v>
      </c>
      <c r="J298" s="2" t="s">
        <v>981</v>
      </c>
      <c r="K298" s="2" t="s">
        <v>1017</v>
      </c>
      <c r="L298" s="2" t="n">
        <v>1</v>
      </c>
      <c r="M298" s="2" t="n">
        <v>1</v>
      </c>
      <c r="N298" s="3" t="n">
        <v>45053</v>
      </c>
      <c r="O298" s="2" t="n">
        <v>11.5</v>
      </c>
      <c r="P298" s="2" t="n">
        <v>3</v>
      </c>
      <c r="Q298" s="62" t="str">
        <f aca="false">IF(ISBLANK(N298),"",IF(N298&lt;DATE(2023,5,1),"OLD","NEW"))</f>
        <v>NEW</v>
      </c>
      <c r="S298" s="33" t="n">
        <f aca="false">IF(COUNTIF('[1]Plate_1-2_LongFormat'!$A$2:$A$193,G298)&gt;0,1,0)</f>
        <v>0</v>
      </c>
      <c r="T298" s="33" t="n">
        <f aca="false">IF(COUNTIF([2]Attached_indexes!$C$2:$C$193,G298)&gt;0,1,0)</f>
        <v>0</v>
      </c>
      <c r="U298" s="59"/>
      <c r="V298" s="1" t="s">
        <v>982</v>
      </c>
    </row>
    <row r="299" customFormat="false" ht="15.75" hidden="false" customHeight="true" outlineLevel="0" collapsed="false">
      <c r="A299" s="18" t="s">
        <v>793</v>
      </c>
      <c r="B299" s="18" t="s">
        <v>793</v>
      </c>
      <c r="C299" s="18" t="s">
        <v>40</v>
      </c>
      <c r="E299" s="66" t="n">
        <v>8</v>
      </c>
      <c r="F299" s="21" t="str">
        <f aca="false">CONCATENATE(B299,"_",C299, TEXT(E299, "000"))</f>
        <v>CFZZ_M. guttatus008</v>
      </c>
      <c r="G299" s="21" t="s">
        <v>251</v>
      </c>
      <c r="H299" s="18" t="n">
        <v>1</v>
      </c>
      <c r="I299" s="22" t="n">
        <v>44371</v>
      </c>
      <c r="J299" s="2" t="s">
        <v>981</v>
      </c>
      <c r="L299" s="2" t="n">
        <v>1</v>
      </c>
      <c r="M299" s="2" t="n">
        <v>1</v>
      </c>
      <c r="N299" s="3" t="n">
        <v>44981</v>
      </c>
      <c r="O299" s="2" t="n">
        <v>3.81</v>
      </c>
      <c r="P299" s="2" t="n">
        <v>2</v>
      </c>
      <c r="Q299" s="62" t="str">
        <f aca="false">IF(ISBLANK(N299),"",IF(N299&lt;DATE(2023,5,1),"OLD","NEW"))</f>
        <v>OLD</v>
      </c>
      <c r="S299" s="33" t="n">
        <f aca="false">IF(COUNTIF('[1]Plate_1-2_LongFormat'!$A$2:$A$193,G299)&gt;0,1,0)</f>
        <v>1</v>
      </c>
      <c r="T299" s="33" t="n">
        <f aca="false">IF(COUNTIF([2]Attached_indexes!$C$2:$C$193,G299)&gt;0,1,0)</f>
        <v>1</v>
      </c>
      <c r="U299" s="59"/>
      <c r="V299" s="1" t="s">
        <v>982</v>
      </c>
    </row>
    <row r="300" customFormat="false" ht="15.75" hidden="false" customHeight="true" outlineLevel="0" collapsed="false">
      <c r="A300" s="18" t="s">
        <v>793</v>
      </c>
      <c r="B300" s="18" t="s">
        <v>793</v>
      </c>
      <c r="C300" s="18" t="s">
        <v>40</v>
      </c>
      <c r="E300" s="66" t="n">
        <v>8</v>
      </c>
      <c r="F300" s="21" t="str">
        <f aca="false">CONCATENATE(B300,"_",C300, TEXT(E300, "000"))</f>
        <v>CFZZ_M. guttatus008</v>
      </c>
      <c r="G300" s="21" t="s">
        <v>251</v>
      </c>
      <c r="H300" s="18" t="n">
        <v>1</v>
      </c>
      <c r="I300" s="22" t="n">
        <v>44371</v>
      </c>
      <c r="J300" s="2" t="s">
        <v>981</v>
      </c>
      <c r="L300" s="2" t="n">
        <v>1</v>
      </c>
      <c r="M300" s="2" t="n">
        <v>1</v>
      </c>
      <c r="N300" s="3" t="n">
        <v>44981</v>
      </c>
      <c r="O300" s="2" t="n">
        <v>3.81</v>
      </c>
      <c r="P300" s="2" t="n">
        <v>2</v>
      </c>
      <c r="Q300" s="62" t="str">
        <f aca="false">IF(ISBLANK(N300),"",IF(N300&lt;DATE(2023,5,1),"OLD","NEW"))</f>
        <v>OLD</v>
      </c>
      <c r="S300" s="33" t="n">
        <f aca="false">IF(COUNTIF('[1]Plate_1-2_LongFormat'!$A$2:$A$193,G300)&gt;0,1,0)</f>
        <v>1</v>
      </c>
      <c r="T300" s="33" t="n">
        <f aca="false">IF(COUNTIF([2]Attached_indexes!$C$2:$C$193,G300)&gt;0,1,0)</f>
        <v>1</v>
      </c>
      <c r="U300" s="59"/>
      <c r="V300" s="1" t="s">
        <v>982</v>
      </c>
    </row>
    <row r="301" customFormat="false" ht="15.75" hidden="false" customHeight="true" outlineLevel="0" collapsed="false">
      <c r="A301" s="18" t="s">
        <v>793</v>
      </c>
      <c r="B301" s="18" t="s">
        <v>793</v>
      </c>
      <c r="C301" s="18" t="s">
        <v>40</v>
      </c>
      <c r="E301" s="66" t="n">
        <v>8</v>
      </c>
      <c r="F301" s="21" t="str">
        <f aca="false">CONCATENATE(B301,"_",C301, TEXT(E301, "000"))</f>
        <v>CFZZ_M. guttatus008</v>
      </c>
      <c r="G301" s="21" t="s">
        <v>251</v>
      </c>
      <c r="H301" s="18" t="n">
        <v>1</v>
      </c>
      <c r="I301" s="22" t="n">
        <v>44371</v>
      </c>
      <c r="J301" s="2" t="s">
        <v>981</v>
      </c>
      <c r="L301" s="2" t="n">
        <v>1</v>
      </c>
      <c r="M301" s="2" t="n">
        <v>1</v>
      </c>
      <c r="N301" s="3" t="n">
        <v>44981</v>
      </c>
      <c r="O301" s="2" t="n">
        <v>3.81</v>
      </c>
      <c r="P301" s="2" t="n">
        <v>2</v>
      </c>
      <c r="Q301" s="62" t="str">
        <f aca="false">IF(ISBLANK(N301),"",IF(N301&lt;DATE(2023,5,1),"OLD","NEW"))</f>
        <v>OLD</v>
      </c>
      <c r="S301" s="33" t="n">
        <f aca="false">IF(COUNTIF('[1]Plate_1-2_LongFormat'!$A$2:$A$193,G301)&gt;0,1,0)</f>
        <v>1</v>
      </c>
      <c r="T301" s="33" t="n">
        <f aca="false">IF(COUNTIF([2]Attached_indexes!$C$2:$C$193,G301)&gt;0,1,0)</f>
        <v>1</v>
      </c>
      <c r="U301" s="59"/>
      <c r="V301" s="1" t="s">
        <v>982</v>
      </c>
    </row>
    <row r="302" customFormat="false" ht="15.75" hidden="false" customHeight="true" outlineLevel="0" collapsed="false">
      <c r="A302" s="18" t="s">
        <v>793</v>
      </c>
      <c r="B302" s="18" t="s">
        <v>793</v>
      </c>
      <c r="C302" s="18" t="s">
        <v>40</v>
      </c>
      <c r="E302" s="66" t="n">
        <v>9</v>
      </c>
      <c r="F302" s="21" t="str">
        <f aca="false">CONCATENATE(B302,"_",C302, TEXT(E302, "000"))</f>
        <v>CFZZ_M. guttatus009</v>
      </c>
      <c r="G302" s="21" t="s">
        <v>254</v>
      </c>
      <c r="H302" s="18" t="n">
        <v>1</v>
      </c>
      <c r="I302" s="22" t="n">
        <v>44371</v>
      </c>
      <c r="J302" s="2" t="s">
        <v>981</v>
      </c>
      <c r="L302" s="2" t="n">
        <v>1</v>
      </c>
      <c r="M302" s="2" t="n">
        <v>1</v>
      </c>
      <c r="N302" s="3" t="n">
        <v>45061</v>
      </c>
      <c r="O302" s="2" t="n">
        <v>39.8</v>
      </c>
      <c r="P302" s="2" t="n">
        <v>3</v>
      </c>
      <c r="Q302" s="62" t="str">
        <f aca="false">IF(ISBLANK(N302),"",IF(N302&lt;DATE(2023,5,1),"OLD","NEW"))</f>
        <v>NEW</v>
      </c>
      <c r="S302" s="33" t="n">
        <f aca="false">IF(COUNTIF('[1]Plate_1-2_LongFormat'!$A$2:$A$193,G302)&gt;0,1,0)</f>
        <v>0</v>
      </c>
      <c r="T302" s="33" t="n">
        <f aca="false">IF(COUNTIF([2]Attached_indexes!$C$2:$C$193,G302)&gt;0,1,0)</f>
        <v>0</v>
      </c>
      <c r="U302" s="59"/>
      <c r="V302" s="1" t="s">
        <v>982</v>
      </c>
    </row>
    <row r="303" customFormat="false" ht="15.75" hidden="false" customHeight="true" outlineLevel="0" collapsed="false">
      <c r="A303" s="18" t="s">
        <v>793</v>
      </c>
      <c r="B303" s="18" t="s">
        <v>793</v>
      </c>
      <c r="C303" s="18" t="s">
        <v>40</v>
      </c>
      <c r="E303" s="66" t="n">
        <v>9</v>
      </c>
      <c r="F303" s="21" t="str">
        <f aca="false">CONCATENATE(B303,"_",C303, TEXT(E303, "000"))</f>
        <v>CFZZ_M. guttatus009</v>
      </c>
      <c r="G303" s="21" t="s">
        <v>254</v>
      </c>
      <c r="H303" s="18" t="n">
        <v>1</v>
      </c>
      <c r="I303" s="22" t="n">
        <v>44371</v>
      </c>
      <c r="J303" s="2" t="s">
        <v>981</v>
      </c>
      <c r="L303" s="2" t="n">
        <v>1</v>
      </c>
      <c r="M303" s="2" t="n">
        <v>1</v>
      </c>
      <c r="N303" s="3" t="n">
        <v>45061</v>
      </c>
      <c r="O303" s="2" t="n">
        <v>39.8</v>
      </c>
      <c r="P303" s="2" t="n">
        <v>3</v>
      </c>
      <c r="Q303" s="62" t="str">
        <f aca="false">IF(ISBLANK(N303),"",IF(N303&lt;DATE(2023,5,1),"OLD","NEW"))</f>
        <v>NEW</v>
      </c>
      <c r="S303" s="33" t="n">
        <f aca="false">IF(COUNTIF('[1]Plate_1-2_LongFormat'!$A$2:$A$193,G303)&gt;0,1,0)</f>
        <v>0</v>
      </c>
      <c r="T303" s="33" t="n">
        <f aca="false">IF(COUNTIF([2]Attached_indexes!$C$2:$C$193,G303)&gt;0,1,0)</f>
        <v>0</v>
      </c>
      <c r="U303" s="59"/>
      <c r="V303" s="1" t="s">
        <v>982</v>
      </c>
    </row>
    <row r="304" customFormat="false" ht="15.75" hidden="false" customHeight="true" outlineLevel="0" collapsed="false">
      <c r="A304" s="18" t="s">
        <v>793</v>
      </c>
      <c r="B304" s="18" t="s">
        <v>793</v>
      </c>
      <c r="C304" s="18" t="s">
        <v>40</v>
      </c>
      <c r="E304" s="66" t="n">
        <v>9</v>
      </c>
      <c r="F304" s="21" t="str">
        <f aca="false">CONCATENATE(B304,"_",C304, TEXT(E304, "000"))</f>
        <v>CFZZ_M. guttatus009</v>
      </c>
      <c r="G304" s="21" t="s">
        <v>254</v>
      </c>
      <c r="H304" s="18" t="n">
        <v>1</v>
      </c>
      <c r="I304" s="22" t="n">
        <v>44371</v>
      </c>
      <c r="J304" s="2" t="s">
        <v>981</v>
      </c>
      <c r="L304" s="2" t="n">
        <v>1</v>
      </c>
      <c r="M304" s="2" t="n">
        <v>1</v>
      </c>
      <c r="N304" s="3" t="n">
        <v>45061</v>
      </c>
      <c r="O304" s="2" t="n">
        <v>39.8</v>
      </c>
      <c r="P304" s="2" t="n">
        <v>3</v>
      </c>
      <c r="Q304" s="62" t="str">
        <f aca="false">IF(ISBLANK(N304),"",IF(N304&lt;DATE(2023,5,1),"OLD","NEW"))</f>
        <v>NEW</v>
      </c>
      <c r="S304" s="33" t="n">
        <f aca="false">IF(COUNTIF('[1]Plate_1-2_LongFormat'!$A$2:$A$193,G304)&gt;0,1,0)</f>
        <v>0</v>
      </c>
      <c r="T304" s="33" t="n">
        <f aca="false">IF(COUNTIF([2]Attached_indexes!$C$2:$C$193,G304)&gt;0,1,0)</f>
        <v>0</v>
      </c>
      <c r="U304" s="59"/>
      <c r="V304" s="1" t="s">
        <v>982</v>
      </c>
    </row>
    <row r="305" customFormat="false" ht="15.75" hidden="false" customHeight="true" outlineLevel="0" collapsed="false">
      <c r="A305" s="18" t="s">
        <v>39</v>
      </c>
      <c r="B305" s="18" t="s">
        <v>39</v>
      </c>
      <c r="C305" s="2" t="s">
        <v>40</v>
      </c>
      <c r="D305" s="2"/>
      <c r="E305" s="66" t="n">
        <v>1</v>
      </c>
      <c r="F305" s="21" t="str">
        <f aca="false">CONCATENATE(B305,"_",C305,TEXT(E305, "000"))</f>
        <v>FVWB_M. guttatus001</v>
      </c>
      <c r="G305" s="73" t="s">
        <v>42</v>
      </c>
      <c r="H305" s="18" t="n">
        <v>1</v>
      </c>
      <c r="I305" s="22" t="n">
        <v>44319</v>
      </c>
      <c r="J305" s="2" t="s">
        <v>981</v>
      </c>
      <c r="K305" s="72" t="s">
        <v>1018</v>
      </c>
      <c r="L305" s="2" t="n">
        <v>1</v>
      </c>
      <c r="M305" s="69" t="n">
        <v>1</v>
      </c>
      <c r="N305" s="3" t="n">
        <v>45077</v>
      </c>
      <c r="O305" s="2" t="n">
        <v>13.8</v>
      </c>
      <c r="P305" s="2" t="n">
        <v>4</v>
      </c>
      <c r="Q305" s="62" t="str">
        <f aca="false">IF(ISBLANK(N305),"",IF(N305&lt;DATE(2023,5,1),"OLD","NEW"))</f>
        <v>NEW</v>
      </c>
      <c r="S305" s="33" t="n">
        <f aca="false">IF(COUNTIF('[1]Plate_1-2_LongFormat'!$A$2:$A$193,G305)&gt;0,1,0)</f>
        <v>0</v>
      </c>
      <c r="T305" s="33" t="n">
        <f aca="false">IF(COUNTIF([2]Attached_indexes!$C$2:$C$193,G305)&gt;0,1,0)</f>
        <v>0</v>
      </c>
      <c r="U305" s="59"/>
      <c r="V305" s="1" t="s">
        <v>982</v>
      </c>
    </row>
    <row r="306" customFormat="false" ht="15.75" hidden="false" customHeight="true" outlineLevel="0" collapsed="false">
      <c r="A306" s="18" t="s">
        <v>39</v>
      </c>
      <c r="B306" s="18" t="s">
        <v>39</v>
      </c>
      <c r="C306" s="2" t="s">
        <v>40</v>
      </c>
      <c r="D306" s="2"/>
      <c r="E306" s="66" t="n">
        <v>1</v>
      </c>
      <c r="F306" s="21" t="str">
        <f aca="false">CONCATENATE(B306,"_",C306,TEXT(E306, "000"))</f>
        <v>FVWB_M. guttatus001</v>
      </c>
      <c r="G306" s="73" t="s">
        <v>42</v>
      </c>
      <c r="H306" s="18" t="n">
        <v>1</v>
      </c>
      <c r="I306" s="22" t="n">
        <v>44319</v>
      </c>
      <c r="J306" s="2" t="s">
        <v>981</v>
      </c>
      <c r="K306" s="72" t="s">
        <v>1018</v>
      </c>
      <c r="L306" s="2" t="n">
        <v>1</v>
      </c>
      <c r="M306" s="69" t="n">
        <v>1</v>
      </c>
      <c r="N306" s="3" t="n">
        <v>45077</v>
      </c>
      <c r="O306" s="2" t="n">
        <v>13.8</v>
      </c>
      <c r="P306" s="2" t="n">
        <v>4</v>
      </c>
      <c r="Q306" s="62" t="str">
        <f aca="false">IF(ISBLANK(N306),"",IF(N306&lt;DATE(2023,5,1),"OLD","NEW"))</f>
        <v>NEW</v>
      </c>
      <c r="S306" s="33" t="n">
        <f aca="false">IF(COUNTIF('[1]Plate_1-2_LongFormat'!$A$2:$A$193,G306)&gt;0,1,0)</f>
        <v>0</v>
      </c>
      <c r="T306" s="33" t="n">
        <f aca="false">IF(COUNTIF([2]Attached_indexes!$C$2:$C$193,G306)&gt;0,1,0)</f>
        <v>0</v>
      </c>
      <c r="U306" s="59"/>
      <c r="V306" s="1" t="s">
        <v>982</v>
      </c>
    </row>
    <row r="307" customFormat="false" ht="15.75" hidden="false" customHeight="true" outlineLevel="0" collapsed="false">
      <c r="A307" s="18" t="s">
        <v>39</v>
      </c>
      <c r="B307" s="18" t="s">
        <v>39</v>
      </c>
      <c r="C307" s="2" t="s">
        <v>40</v>
      </c>
      <c r="D307" s="2"/>
      <c r="E307" s="66" t="n">
        <v>1</v>
      </c>
      <c r="F307" s="21" t="str">
        <f aca="false">CONCATENATE(B307,"_",C307,TEXT(E307, "000"))</f>
        <v>FVWB_M. guttatus001</v>
      </c>
      <c r="G307" s="73" t="s">
        <v>42</v>
      </c>
      <c r="H307" s="18" t="n">
        <v>1</v>
      </c>
      <c r="I307" s="22" t="n">
        <v>44319</v>
      </c>
      <c r="J307" s="2" t="s">
        <v>981</v>
      </c>
      <c r="K307" s="72" t="s">
        <v>1018</v>
      </c>
      <c r="L307" s="2" t="n">
        <v>1</v>
      </c>
      <c r="M307" s="69" t="n">
        <v>1</v>
      </c>
      <c r="N307" s="3" t="n">
        <v>45077</v>
      </c>
      <c r="O307" s="2" t="n">
        <v>13.8</v>
      </c>
      <c r="P307" s="2" t="n">
        <v>4</v>
      </c>
      <c r="Q307" s="62" t="str">
        <f aca="false">IF(ISBLANK(N307),"",IF(N307&lt;DATE(2023,5,1),"OLD","NEW"))</f>
        <v>NEW</v>
      </c>
      <c r="S307" s="33" t="n">
        <f aca="false">IF(COUNTIF('[1]Plate_1-2_LongFormat'!$A$2:$A$193,G307)&gt;0,1,0)</f>
        <v>0</v>
      </c>
      <c r="T307" s="33" t="n">
        <f aca="false">IF(COUNTIF([2]Attached_indexes!$C$2:$C$193,G307)&gt;0,1,0)</f>
        <v>0</v>
      </c>
      <c r="U307" s="59"/>
      <c r="V307" s="1" t="s">
        <v>982</v>
      </c>
    </row>
    <row r="308" customFormat="false" ht="15.75" hidden="false" customHeight="true" outlineLevel="0" collapsed="false">
      <c r="A308" s="18" t="s">
        <v>489</v>
      </c>
      <c r="B308" s="18" t="s">
        <v>489</v>
      </c>
      <c r="C308" s="18" t="s">
        <v>40</v>
      </c>
      <c r="E308" s="66" t="n">
        <v>1</v>
      </c>
      <c r="F308" s="21" t="str">
        <f aca="false">CONCATENATE(B308,"_",C308, TEXT(E308, "000"))</f>
        <v>HDRB_M. guttatus001</v>
      </c>
      <c r="G308" s="21" t="s">
        <v>490</v>
      </c>
      <c r="H308" s="18" t="n">
        <v>1</v>
      </c>
      <c r="I308" s="22" t="n">
        <v>44693</v>
      </c>
      <c r="J308" s="2" t="s">
        <v>981</v>
      </c>
      <c r="L308" s="2" t="n">
        <v>1</v>
      </c>
      <c r="M308" s="2" t="n">
        <v>1</v>
      </c>
      <c r="N308" s="3" t="n">
        <v>44842</v>
      </c>
      <c r="O308" s="2" t="n">
        <v>10.7</v>
      </c>
      <c r="Q308" s="62" t="str">
        <f aca="false">IF(ISBLANK(N308),"",IF(N308&lt;DATE(2023,5,1),"OLD","NEW"))</f>
        <v>OLD</v>
      </c>
      <c r="S308" s="33" t="n">
        <f aca="false">IF(COUNTIF('[1]Plate_1-2_LongFormat'!$A$2:$A$193,G308)&gt;0,1,0)</f>
        <v>1</v>
      </c>
      <c r="T308" s="33" t="n">
        <f aca="false">IF(COUNTIF([2]Attached_indexes!$C$2:$C$193,G308)&gt;0,1,0)</f>
        <v>1</v>
      </c>
      <c r="U308" s="59"/>
      <c r="V308" s="1" t="s">
        <v>982</v>
      </c>
    </row>
    <row r="309" customFormat="false" ht="15.75" hidden="false" customHeight="true" outlineLevel="0" collapsed="false">
      <c r="A309" s="18" t="s">
        <v>489</v>
      </c>
      <c r="B309" s="18" t="s">
        <v>489</v>
      </c>
      <c r="C309" s="18" t="s">
        <v>40</v>
      </c>
      <c r="E309" s="66" t="n">
        <v>1</v>
      </c>
      <c r="F309" s="21" t="str">
        <f aca="false">CONCATENATE(B309,"_",C309, TEXT(E309, "000"))</f>
        <v>HDRB_M. guttatus001</v>
      </c>
      <c r="G309" s="21" t="s">
        <v>490</v>
      </c>
      <c r="H309" s="18" t="n">
        <v>1</v>
      </c>
      <c r="I309" s="22" t="n">
        <v>44693</v>
      </c>
      <c r="J309" s="2" t="s">
        <v>981</v>
      </c>
      <c r="L309" s="2" t="n">
        <v>1</v>
      </c>
      <c r="M309" s="2" t="n">
        <v>1</v>
      </c>
      <c r="N309" s="3" t="n">
        <v>44842</v>
      </c>
      <c r="O309" s="2" t="n">
        <v>10.7</v>
      </c>
      <c r="Q309" s="62" t="str">
        <f aca="false">IF(ISBLANK(N309),"",IF(N309&lt;DATE(2023,5,1),"OLD","NEW"))</f>
        <v>OLD</v>
      </c>
      <c r="S309" s="33" t="n">
        <f aca="false">IF(COUNTIF('[1]Plate_1-2_LongFormat'!$A$2:$A$193,G309)&gt;0,1,0)</f>
        <v>1</v>
      </c>
      <c r="T309" s="33" t="n">
        <f aca="false">IF(COUNTIF([2]Attached_indexes!$C$2:$C$193,G309)&gt;0,1,0)</f>
        <v>1</v>
      </c>
      <c r="U309" s="59"/>
      <c r="V309" s="1" t="s">
        <v>982</v>
      </c>
    </row>
    <row r="310" customFormat="false" ht="15.75" hidden="false" customHeight="true" outlineLevel="0" collapsed="false">
      <c r="A310" s="18" t="s">
        <v>489</v>
      </c>
      <c r="B310" s="18" t="s">
        <v>489</v>
      </c>
      <c r="C310" s="18" t="s">
        <v>40</v>
      </c>
      <c r="E310" s="66" t="n">
        <v>1</v>
      </c>
      <c r="F310" s="21" t="str">
        <f aca="false">CONCATENATE(B310,"_",C310, TEXT(E310, "000"))</f>
        <v>HDRB_M. guttatus001</v>
      </c>
      <c r="G310" s="21" t="s">
        <v>490</v>
      </c>
      <c r="H310" s="18" t="n">
        <v>1</v>
      </c>
      <c r="I310" s="22" t="n">
        <v>44693</v>
      </c>
      <c r="J310" s="2" t="s">
        <v>981</v>
      </c>
      <c r="L310" s="2" t="n">
        <v>1</v>
      </c>
      <c r="M310" s="2" t="n">
        <v>1</v>
      </c>
      <c r="N310" s="3" t="n">
        <v>44842</v>
      </c>
      <c r="O310" s="2" t="n">
        <v>10.7</v>
      </c>
      <c r="Q310" s="62" t="str">
        <f aca="false">IF(ISBLANK(N310),"",IF(N310&lt;DATE(2023,5,1),"OLD","NEW"))</f>
        <v>OLD</v>
      </c>
      <c r="S310" s="33" t="n">
        <f aca="false">IF(COUNTIF('[1]Plate_1-2_LongFormat'!$A$2:$A$193,G310)&gt;0,1,0)</f>
        <v>1</v>
      </c>
      <c r="T310" s="33" t="n">
        <f aca="false">IF(COUNTIF([2]Attached_indexes!$C$2:$C$193,G310)&gt;0,1,0)</f>
        <v>1</v>
      </c>
      <c r="U310" s="59"/>
      <c r="V310" s="1" t="s">
        <v>982</v>
      </c>
    </row>
    <row r="311" customFormat="false" ht="15.75" hidden="false" customHeight="true" outlineLevel="0" collapsed="false">
      <c r="A311" s="18" t="s">
        <v>489</v>
      </c>
      <c r="B311" s="18" t="s">
        <v>489</v>
      </c>
      <c r="C311" s="18" t="s">
        <v>40</v>
      </c>
      <c r="E311" s="66" t="n">
        <v>10</v>
      </c>
      <c r="F311" s="21" t="str">
        <f aca="false">CONCATENATE(B311,"_",C311, TEXT(E311, "000"))</f>
        <v>HDRB_M. guttatus010</v>
      </c>
      <c r="G311" s="21" t="s">
        <v>510</v>
      </c>
      <c r="H311" s="18" t="n">
        <v>1</v>
      </c>
      <c r="I311" s="22" t="n">
        <v>44693</v>
      </c>
      <c r="J311" s="2" t="s">
        <v>981</v>
      </c>
      <c r="L311" s="2" t="n">
        <v>1</v>
      </c>
      <c r="M311" s="2" t="n">
        <v>1</v>
      </c>
      <c r="N311" s="3" t="n">
        <v>44834</v>
      </c>
      <c r="P311" s="2" t="n">
        <v>1</v>
      </c>
      <c r="Q311" s="62" t="str">
        <f aca="false">IF(ISBLANK(N311),"",IF(N311&lt;DATE(2023,5,1),"OLD","NEW"))</f>
        <v>OLD</v>
      </c>
      <c r="R311" s="2" t="s">
        <v>983</v>
      </c>
      <c r="S311" s="33" t="n">
        <f aca="false">IF(COUNTIF('[1]Plate_1-2_LongFormat'!$A$2:$A$193,G311)&gt;0,1,0)</f>
        <v>1</v>
      </c>
      <c r="T311" s="33" t="n">
        <f aca="false">IF(COUNTIF([2]Attached_indexes!$C$2:$C$193,G311)&gt;0,1,0)</f>
        <v>1</v>
      </c>
      <c r="U311" s="59"/>
      <c r="V311" s="1" t="s">
        <v>982</v>
      </c>
    </row>
    <row r="312" customFormat="false" ht="15.75" hidden="false" customHeight="true" outlineLevel="0" collapsed="false">
      <c r="A312" s="18" t="s">
        <v>489</v>
      </c>
      <c r="B312" s="18" t="s">
        <v>489</v>
      </c>
      <c r="C312" s="18" t="s">
        <v>40</v>
      </c>
      <c r="E312" s="66" t="n">
        <v>10</v>
      </c>
      <c r="F312" s="21" t="str">
        <f aca="false">CONCATENATE(B312,"_",C312, TEXT(E312, "000"))</f>
        <v>HDRB_M. guttatus010</v>
      </c>
      <c r="G312" s="21" t="s">
        <v>510</v>
      </c>
      <c r="H312" s="18" t="n">
        <v>1</v>
      </c>
      <c r="I312" s="22" t="n">
        <v>44693</v>
      </c>
      <c r="J312" s="2" t="s">
        <v>981</v>
      </c>
      <c r="L312" s="2" t="n">
        <v>1</v>
      </c>
      <c r="M312" s="2" t="n">
        <v>1</v>
      </c>
      <c r="N312" s="3" t="n">
        <v>44834</v>
      </c>
      <c r="P312" s="2" t="n">
        <v>1</v>
      </c>
      <c r="Q312" s="62" t="str">
        <f aca="false">IF(ISBLANK(N312),"",IF(N312&lt;DATE(2023,5,1),"OLD","NEW"))</f>
        <v>OLD</v>
      </c>
      <c r="R312" s="2" t="s">
        <v>983</v>
      </c>
      <c r="S312" s="33" t="n">
        <f aca="false">IF(COUNTIF('[1]Plate_1-2_LongFormat'!$A$2:$A$193,G312)&gt;0,1,0)</f>
        <v>1</v>
      </c>
      <c r="T312" s="33" t="n">
        <f aca="false">IF(COUNTIF([2]Attached_indexes!$C$2:$C$193,G312)&gt;0,1,0)</f>
        <v>1</v>
      </c>
      <c r="U312" s="59"/>
      <c r="V312" s="1" t="s">
        <v>982</v>
      </c>
    </row>
    <row r="313" customFormat="false" ht="15.75" hidden="false" customHeight="true" outlineLevel="0" collapsed="false">
      <c r="A313" s="18" t="s">
        <v>489</v>
      </c>
      <c r="B313" s="18" t="s">
        <v>489</v>
      </c>
      <c r="C313" s="18" t="s">
        <v>40</v>
      </c>
      <c r="E313" s="66" t="n">
        <v>10</v>
      </c>
      <c r="F313" s="21" t="str">
        <f aca="false">CONCATENATE(B313,"_",C313, TEXT(E313, "000"))</f>
        <v>HDRB_M. guttatus010</v>
      </c>
      <c r="G313" s="21" t="s">
        <v>510</v>
      </c>
      <c r="H313" s="18" t="n">
        <v>1</v>
      </c>
      <c r="I313" s="22" t="n">
        <v>44693</v>
      </c>
      <c r="J313" s="2" t="s">
        <v>981</v>
      </c>
      <c r="L313" s="2" t="n">
        <v>1</v>
      </c>
      <c r="M313" s="2" t="n">
        <v>1</v>
      </c>
      <c r="N313" s="3" t="n">
        <v>44834</v>
      </c>
      <c r="P313" s="2" t="n">
        <v>1</v>
      </c>
      <c r="Q313" s="62" t="str">
        <f aca="false">IF(ISBLANK(N313),"",IF(N313&lt;DATE(2023,5,1),"OLD","NEW"))</f>
        <v>OLD</v>
      </c>
      <c r="R313" s="2" t="s">
        <v>983</v>
      </c>
      <c r="S313" s="33" t="n">
        <f aca="false">IF(COUNTIF('[1]Plate_1-2_LongFormat'!$A$2:$A$193,G313)&gt;0,1,0)</f>
        <v>1</v>
      </c>
      <c r="T313" s="33" t="n">
        <f aca="false">IF(COUNTIF([2]Attached_indexes!$C$2:$C$193,G313)&gt;0,1,0)</f>
        <v>1</v>
      </c>
      <c r="U313" s="59"/>
      <c r="V313" s="1" t="s">
        <v>982</v>
      </c>
    </row>
    <row r="314" customFormat="false" ht="15.75" hidden="false" customHeight="true" outlineLevel="0" collapsed="false">
      <c r="A314" s="18" t="s">
        <v>489</v>
      </c>
      <c r="B314" s="18" t="s">
        <v>489</v>
      </c>
      <c r="C314" s="18" t="s">
        <v>40</v>
      </c>
      <c r="E314" s="66" t="n">
        <v>2</v>
      </c>
      <c r="F314" s="21" t="str">
        <f aca="false">CONCATENATE(B314,"_",C314, TEXT(E314, "000"))</f>
        <v>HDRB_M. guttatus002</v>
      </c>
      <c r="G314" s="21" t="s">
        <v>494</v>
      </c>
      <c r="H314" s="18" t="n">
        <v>1</v>
      </c>
      <c r="I314" s="22" t="n">
        <v>44693</v>
      </c>
      <c r="J314" s="2" t="s">
        <v>981</v>
      </c>
      <c r="L314" s="2" t="n">
        <v>1</v>
      </c>
      <c r="M314" s="2" t="n">
        <v>1</v>
      </c>
      <c r="N314" s="3" t="n">
        <v>44834</v>
      </c>
      <c r="O314" s="2" t="n">
        <v>4.29</v>
      </c>
      <c r="P314" s="2" t="n">
        <v>1</v>
      </c>
      <c r="Q314" s="62" t="str">
        <f aca="false">IF(ISBLANK(N314),"",IF(N314&lt;DATE(2023,5,1),"OLD","NEW"))</f>
        <v>OLD</v>
      </c>
      <c r="S314" s="33" t="n">
        <f aca="false">IF(COUNTIF('[1]Plate_1-2_LongFormat'!$A$2:$A$193,G314)&gt;0,1,0)</f>
        <v>1</v>
      </c>
      <c r="T314" s="33" t="n">
        <f aca="false">IF(COUNTIF([2]Attached_indexes!$C$2:$C$193,G314)&gt;0,1,0)</f>
        <v>1</v>
      </c>
      <c r="U314" s="59"/>
      <c r="V314" s="1" t="s">
        <v>982</v>
      </c>
    </row>
    <row r="315" customFormat="false" ht="15.75" hidden="false" customHeight="true" outlineLevel="0" collapsed="false">
      <c r="A315" s="18" t="s">
        <v>489</v>
      </c>
      <c r="B315" s="18" t="s">
        <v>489</v>
      </c>
      <c r="C315" s="18" t="s">
        <v>40</v>
      </c>
      <c r="E315" s="66" t="n">
        <v>2</v>
      </c>
      <c r="F315" s="21" t="str">
        <f aca="false">CONCATENATE(B315,"_",C315, TEXT(E315, "000"))</f>
        <v>HDRB_M. guttatus002</v>
      </c>
      <c r="G315" s="21" t="s">
        <v>494</v>
      </c>
      <c r="H315" s="18" t="n">
        <v>1</v>
      </c>
      <c r="I315" s="22" t="n">
        <v>44693</v>
      </c>
      <c r="J315" s="2" t="s">
        <v>981</v>
      </c>
      <c r="L315" s="2" t="n">
        <v>1</v>
      </c>
      <c r="M315" s="2" t="n">
        <v>1</v>
      </c>
      <c r="N315" s="3" t="n">
        <v>44834</v>
      </c>
      <c r="O315" s="2" t="n">
        <v>4.29</v>
      </c>
      <c r="P315" s="2" t="n">
        <v>1</v>
      </c>
      <c r="Q315" s="62" t="str">
        <f aca="false">IF(ISBLANK(N315),"",IF(N315&lt;DATE(2023,5,1),"OLD","NEW"))</f>
        <v>OLD</v>
      </c>
      <c r="S315" s="33" t="n">
        <f aca="false">IF(COUNTIF('[1]Plate_1-2_LongFormat'!$A$2:$A$193,G315)&gt;0,1,0)</f>
        <v>1</v>
      </c>
      <c r="T315" s="33" t="n">
        <f aca="false">IF(COUNTIF([2]Attached_indexes!$C$2:$C$193,G315)&gt;0,1,0)</f>
        <v>1</v>
      </c>
      <c r="U315" s="59"/>
      <c r="V315" s="1" t="s">
        <v>982</v>
      </c>
    </row>
    <row r="316" customFormat="false" ht="15.75" hidden="false" customHeight="true" outlineLevel="0" collapsed="false">
      <c r="A316" s="18" t="s">
        <v>489</v>
      </c>
      <c r="B316" s="18" t="s">
        <v>489</v>
      </c>
      <c r="C316" s="18" t="s">
        <v>40</v>
      </c>
      <c r="E316" s="66" t="n">
        <v>2</v>
      </c>
      <c r="F316" s="21" t="str">
        <f aca="false">CONCATENATE(B316,"_",C316, TEXT(E316, "000"))</f>
        <v>HDRB_M. guttatus002</v>
      </c>
      <c r="G316" s="21" t="s">
        <v>494</v>
      </c>
      <c r="H316" s="18" t="n">
        <v>1</v>
      </c>
      <c r="I316" s="22" t="n">
        <v>44693</v>
      </c>
      <c r="J316" s="2" t="s">
        <v>981</v>
      </c>
      <c r="L316" s="2" t="n">
        <v>1</v>
      </c>
      <c r="M316" s="2" t="n">
        <v>1</v>
      </c>
      <c r="N316" s="3" t="n">
        <v>44834</v>
      </c>
      <c r="O316" s="2" t="n">
        <v>4.29</v>
      </c>
      <c r="P316" s="2" t="n">
        <v>1</v>
      </c>
      <c r="Q316" s="62" t="str">
        <f aca="false">IF(ISBLANK(N316),"",IF(N316&lt;DATE(2023,5,1),"OLD","NEW"))</f>
        <v>OLD</v>
      </c>
      <c r="S316" s="33" t="n">
        <f aca="false">IF(COUNTIF('[1]Plate_1-2_LongFormat'!$A$2:$A$193,G316)&gt;0,1,0)</f>
        <v>1</v>
      </c>
      <c r="T316" s="33" t="n">
        <f aca="false">IF(COUNTIF([2]Attached_indexes!$C$2:$C$193,G316)&gt;0,1,0)</f>
        <v>1</v>
      </c>
      <c r="U316" s="59"/>
      <c r="V316" s="1" t="s">
        <v>982</v>
      </c>
    </row>
    <row r="317" customFormat="false" ht="15.75" hidden="false" customHeight="true" outlineLevel="0" collapsed="false">
      <c r="A317" s="18" t="s">
        <v>489</v>
      </c>
      <c r="B317" s="18" t="s">
        <v>489</v>
      </c>
      <c r="C317" s="18" t="s">
        <v>40</v>
      </c>
      <c r="E317" s="66" t="n">
        <v>3</v>
      </c>
      <c r="F317" s="21" t="str">
        <f aca="false">CONCATENATE(B317,"_",C317, TEXT(E317, "000"))</f>
        <v>HDRB_M. guttatus003</v>
      </c>
      <c r="G317" s="21" t="s">
        <v>496</v>
      </c>
      <c r="H317" s="18" t="n">
        <v>1</v>
      </c>
      <c r="I317" s="22" t="n">
        <v>44693</v>
      </c>
      <c r="J317" s="2" t="s">
        <v>981</v>
      </c>
      <c r="L317" s="2" t="n">
        <v>1</v>
      </c>
      <c r="M317" s="2" t="n">
        <v>1</v>
      </c>
      <c r="N317" s="3" t="n">
        <v>44914</v>
      </c>
      <c r="O317" s="2" t="n">
        <v>9.4</v>
      </c>
      <c r="P317" s="2" t="n">
        <v>2</v>
      </c>
      <c r="Q317" s="62" t="str">
        <f aca="false">IF(ISBLANK(N317),"",IF(N317&lt;DATE(2023,5,1),"OLD","NEW"))</f>
        <v>OLD</v>
      </c>
      <c r="S317" s="33" t="n">
        <f aca="false">IF(COUNTIF('[1]Plate_1-2_LongFormat'!$A$2:$A$193,G317)&gt;0,1,0)</f>
        <v>1</v>
      </c>
      <c r="T317" s="33" t="n">
        <f aca="false">IF(COUNTIF([2]Attached_indexes!$C$2:$C$193,G317)&gt;0,1,0)</f>
        <v>1</v>
      </c>
      <c r="U317" s="59"/>
      <c r="V317" s="1" t="s">
        <v>982</v>
      </c>
    </row>
    <row r="318" customFormat="false" ht="15.75" hidden="false" customHeight="true" outlineLevel="0" collapsed="false">
      <c r="A318" s="18" t="s">
        <v>489</v>
      </c>
      <c r="B318" s="18" t="s">
        <v>489</v>
      </c>
      <c r="C318" s="18" t="s">
        <v>40</v>
      </c>
      <c r="E318" s="66" t="n">
        <v>3</v>
      </c>
      <c r="F318" s="21" t="str">
        <f aca="false">CONCATENATE(B318,"_",C318, TEXT(E318, "000"))</f>
        <v>HDRB_M. guttatus003</v>
      </c>
      <c r="G318" s="21" t="s">
        <v>496</v>
      </c>
      <c r="H318" s="18" t="n">
        <v>1</v>
      </c>
      <c r="I318" s="22" t="n">
        <v>44693</v>
      </c>
      <c r="J318" s="2" t="s">
        <v>981</v>
      </c>
      <c r="L318" s="2" t="n">
        <v>1</v>
      </c>
      <c r="M318" s="2" t="n">
        <v>1</v>
      </c>
      <c r="N318" s="3" t="n">
        <v>44914</v>
      </c>
      <c r="O318" s="2" t="n">
        <v>9.4</v>
      </c>
      <c r="P318" s="2" t="n">
        <v>2</v>
      </c>
      <c r="Q318" s="62" t="str">
        <f aca="false">IF(ISBLANK(N318),"",IF(N318&lt;DATE(2023,5,1),"OLD","NEW"))</f>
        <v>OLD</v>
      </c>
      <c r="S318" s="33" t="n">
        <f aca="false">IF(COUNTIF('[1]Plate_1-2_LongFormat'!$A$2:$A$193,G318)&gt;0,1,0)</f>
        <v>1</v>
      </c>
      <c r="T318" s="33" t="n">
        <f aca="false">IF(COUNTIF([2]Attached_indexes!$C$2:$C$193,G318)&gt;0,1,0)</f>
        <v>1</v>
      </c>
      <c r="U318" s="59"/>
      <c r="V318" s="1" t="s">
        <v>982</v>
      </c>
    </row>
    <row r="319" customFormat="false" ht="15.75" hidden="false" customHeight="true" outlineLevel="0" collapsed="false">
      <c r="A319" s="18" t="s">
        <v>489</v>
      </c>
      <c r="B319" s="18" t="s">
        <v>489</v>
      </c>
      <c r="C319" s="18" t="s">
        <v>40</v>
      </c>
      <c r="E319" s="66" t="n">
        <v>3</v>
      </c>
      <c r="F319" s="21" t="str">
        <f aca="false">CONCATENATE(B319,"_",C319, TEXT(E319, "000"))</f>
        <v>HDRB_M. guttatus003</v>
      </c>
      <c r="G319" s="21" t="s">
        <v>496</v>
      </c>
      <c r="H319" s="18" t="n">
        <v>1</v>
      </c>
      <c r="I319" s="22" t="n">
        <v>44693</v>
      </c>
      <c r="J319" s="2" t="s">
        <v>981</v>
      </c>
      <c r="L319" s="2" t="n">
        <v>1</v>
      </c>
      <c r="M319" s="2" t="n">
        <v>1</v>
      </c>
      <c r="N319" s="3" t="n">
        <v>44914</v>
      </c>
      <c r="O319" s="2" t="n">
        <v>9.4</v>
      </c>
      <c r="P319" s="2" t="n">
        <v>2</v>
      </c>
      <c r="Q319" s="62" t="str">
        <f aca="false">IF(ISBLANK(N319),"",IF(N319&lt;DATE(2023,5,1),"OLD","NEW"))</f>
        <v>OLD</v>
      </c>
      <c r="S319" s="33" t="n">
        <f aca="false">IF(COUNTIF('[1]Plate_1-2_LongFormat'!$A$2:$A$193,G319)&gt;0,1,0)</f>
        <v>1</v>
      </c>
      <c r="T319" s="33" t="n">
        <f aca="false">IF(COUNTIF([2]Attached_indexes!$C$2:$C$193,G319)&gt;0,1,0)</f>
        <v>1</v>
      </c>
      <c r="U319" s="59"/>
      <c r="V319" s="1" t="s">
        <v>982</v>
      </c>
    </row>
    <row r="320" customFormat="false" ht="15.75" hidden="false" customHeight="true" outlineLevel="0" collapsed="false">
      <c r="A320" s="18" t="s">
        <v>489</v>
      </c>
      <c r="B320" s="18" t="s">
        <v>489</v>
      </c>
      <c r="C320" s="18" t="s">
        <v>40</v>
      </c>
      <c r="E320" s="66" t="n">
        <v>4</v>
      </c>
      <c r="F320" s="21" t="str">
        <f aca="false">CONCATENATE(B320,"_",C320, TEXT(E320, "000"))</f>
        <v>HDRB_M. guttatus004</v>
      </c>
      <c r="G320" s="21" t="s">
        <v>498</v>
      </c>
      <c r="H320" s="18" t="n">
        <v>1</v>
      </c>
      <c r="I320" s="22" t="n">
        <v>44693</v>
      </c>
      <c r="J320" s="2" t="s">
        <v>981</v>
      </c>
      <c r="L320" s="2" t="n">
        <v>1</v>
      </c>
      <c r="M320" s="2" t="n">
        <v>1</v>
      </c>
      <c r="N320" s="3" t="n">
        <v>44914</v>
      </c>
      <c r="O320" s="2" t="n">
        <v>5.98</v>
      </c>
      <c r="P320" s="2" t="n">
        <v>2</v>
      </c>
      <c r="Q320" s="62" t="str">
        <f aca="false">IF(ISBLANK(N320),"",IF(N320&lt;DATE(2023,5,1),"OLD","NEW"))</f>
        <v>OLD</v>
      </c>
      <c r="S320" s="33" t="n">
        <f aca="false">IF(COUNTIF('[1]Plate_1-2_LongFormat'!$A$2:$A$193,G320)&gt;0,1,0)</f>
        <v>1</v>
      </c>
      <c r="T320" s="33" t="n">
        <f aca="false">IF(COUNTIF([2]Attached_indexes!$C$2:$C$193,G320)&gt;0,1,0)</f>
        <v>1</v>
      </c>
      <c r="U320" s="59"/>
      <c r="V320" s="1" t="s">
        <v>982</v>
      </c>
    </row>
    <row r="321" customFormat="false" ht="15.75" hidden="false" customHeight="true" outlineLevel="0" collapsed="false">
      <c r="A321" s="18" t="s">
        <v>489</v>
      </c>
      <c r="B321" s="18" t="s">
        <v>489</v>
      </c>
      <c r="C321" s="18" t="s">
        <v>40</v>
      </c>
      <c r="E321" s="66" t="n">
        <v>4</v>
      </c>
      <c r="F321" s="21" t="str">
        <f aca="false">CONCATENATE(B321,"_",C321, TEXT(E321, "000"))</f>
        <v>HDRB_M. guttatus004</v>
      </c>
      <c r="G321" s="21" t="s">
        <v>498</v>
      </c>
      <c r="H321" s="18" t="n">
        <v>1</v>
      </c>
      <c r="I321" s="22" t="n">
        <v>44693</v>
      </c>
      <c r="J321" s="2" t="s">
        <v>981</v>
      </c>
      <c r="L321" s="2" t="n">
        <v>1</v>
      </c>
      <c r="M321" s="2" t="n">
        <v>1</v>
      </c>
      <c r="N321" s="3" t="n">
        <v>44914</v>
      </c>
      <c r="O321" s="2" t="n">
        <v>5.98</v>
      </c>
      <c r="P321" s="2" t="n">
        <v>2</v>
      </c>
      <c r="Q321" s="62" t="str">
        <f aca="false">IF(ISBLANK(N321),"",IF(N321&lt;DATE(2023,5,1),"OLD","NEW"))</f>
        <v>OLD</v>
      </c>
      <c r="S321" s="33" t="n">
        <f aca="false">IF(COUNTIF('[1]Plate_1-2_LongFormat'!$A$2:$A$193,G321)&gt;0,1,0)</f>
        <v>1</v>
      </c>
      <c r="T321" s="33" t="n">
        <f aca="false">IF(COUNTIF([2]Attached_indexes!$C$2:$C$193,G321)&gt;0,1,0)</f>
        <v>1</v>
      </c>
      <c r="U321" s="59"/>
      <c r="V321" s="1" t="s">
        <v>982</v>
      </c>
    </row>
    <row r="322" customFormat="false" ht="15.75" hidden="false" customHeight="true" outlineLevel="0" collapsed="false">
      <c r="A322" s="18" t="s">
        <v>489</v>
      </c>
      <c r="B322" s="18" t="s">
        <v>489</v>
      </c>
      <c r="C322" s="18" t="s">
        <v>40</v>
      </c>
      <c r="E322" s="66" t="n">
        <v>4</v>
      </c>
      <c r="F322" s="21" t="str">
        <f aca="false">CONCATENATE(B322,"_",C322, TEXT(E322, "000"))</f>
        <v>HDRB_M. guttatus004</v>
      </c>
      <c r="G322" s="21" t="s">
        <v>498</v>
      </c>
      <c r="H322" s="18" t="n">
        <v>1</v>
      </c>
      <c r="I322" s="22" t="n">
        <v>44693</v>
      </c>
      <c r="J322" s="2" t="s">
        <v>981</v>
      </c>
      <c r="L322" s="2" t="n">
        <v>1</v>
      </c>
      <c r="M322" s="2" t="n">
        <v>1</v>
      </c>
      <c r="N322" s="3" t="n">
        <v>44914</v>
      </c>
      <c r="O322" s="2" t="n">
        <v>5.98</v>
      </c>
      <c r="P322" s="2" t="n">
        <v>2</v>
      </c>
      <c r="Q322" s="62" t="str">
        <f aca="false">IF(ISBLANK(N322),"",IF(N322&lt;DATE(2023,5,1),"OLD","NEW"))</f>
        <v>OLD</v>
      </c>
      <c r="S322" s="33" t="n">
        <f aca="false">IF(COUNTIF('[1]Plate_1-2_LongFormat'!$A$2:$A$193,G322)&gt;0,1,0)</f>
        <v>1</v>
      </c>
      <c r="T322" s="33" t="n">
        <f aca="false">IF(COUNTIF([2]Attached_indexes!$C$2:$C$193,G322)&gt;0,1,0)</f>
        <v>1</v>
      </c>
      <c r="U322" s="59"/>
      <c r="V322" s="1" t="s">
        <v>982</v>
      </c>
    </row>
    <row r="323" customFormat="false" ht="15.75" hidden="false" customHeight="true" outlineLevel="0" collapsed="false">
      <c r="A323" s="18" t="s">
        <v>489</v>
      </c>
      <c r="B323" s="18" t="s">
        <v>489</v>
      </c>
      <c r="C323" s="18" t="s">
        <v>40</v>
      </c>
      <c r="E323" s="66" t="n">
        <v>5</v>
      </c>
      <c r="F323" s="21" t="str">
        <f aca="false">CONCATENATE(B323,"_",C323, TEXT(E323, "000"))</f>
        <v>HDRB_M. guttatus005</v>
      </c>
      <c r="G323" s="21" t="s">
        <v>500</v>
      </c>
      <c r="H323" s="18" t="n">
        <v>1</v>
      </c>
      <c r="I323" s="22" t="n">
        <v>44693</v>
      </c>
      <c r="J323" s="2" t="s">
        <v>981</v>
      </c>
      <c r="L323" s="2" t="n">
        <v>1</v>
      </c>
      <c r="M323" s="2" t="n">
        <v>1</v>
      </c>
      <c r="N323" s="3" t="n">
        <v>44842</v>
      </c>
      <c r="O323" s="2" t="n">
        <v>9.33</v>
      </c>
      <c r="Q323" s="62" t="str">
        <f aca="false">IF(ISBLANK(N323),"",IF(N323&lt;DATE(2023,5,1),"OLD","NEW"))</f>
        <v>OLD</v>
      </c>
      <c r="S323" s="33" t="n">
        <f aca="false">IF(COUNTIF('[1]Plate_1-2_LongFormat'!$A$2:$A$193,G323)&gt;0,1,0)</f>
        <v>1</v>
      </c>
      <c r="T323" s="33" t="n">
        <f aca="false">IF(COUNTIF([2]Attached_indexes!$C$2:$C$193,G323)&gt;0,1,0)</f>
        <v>1</v>
      </c>
      <c r="U323" s="59"/>
      <c r="V323" s="1" t="s">
        <v>982</v>
      </c>
    </row>
    <row r="324" customFormat="false" ht="15.75" hidden="false" customHeight="true" outlineLevel="0" collapsed="false">
      <c r="A324" s="18" t="s">
        <v>489</v>
      </c>
      <c r="B324" s="18" t="s">
        <v>489</v>
      </c>
      <c r="C324" s="18" t="s">
        <v>40</v>
      </c>
      <c r="E324" s="66" t="n">
        <v>5</v>
      </c>
      <c r="F324" s="21" t="str">
        <f aca="false">CONCATENATE(B324,"_",C324, TEXT(E324, "000"))</f>
        <v>HDRB_M. guttatus005</v>
      </c>
      <c r="G324" s="21" t="s">
        <v>500</v>
      </c>
      <c r="H324" s="18" t="n">
        <v>1</v>
      </c>
      <c r="I324" s="22" t="n">
        <v>44693</v>
      </c>
      <c r="J324" s="2" t="s">
        <v>981</v>
      </c>
      <c r="L324" s="2" t="n">
        <v>1</v>
      </c>
      <c r="M324" s="2" t="n">
        <v>1</v>
      </c>
      <c r="N324" s="3" t="n">
        <v>44842</v>
      </c>
      <c r="O324" s="2" t="n">
        <v>9.33</v>
      </c>
      <c r="Q324" s="62" t="str">
        <f aca="false">IF(ISBLANK(N324),"",IF(N324&lt;DATE(2023,5,1),"OLD","NEW"))</f>
        <v>OLD</v>
      </c>
      <c r="S324" s="33" t="n">
        <f aca="false">IF(COUNTIF('[1]Plate_1-2_LongFormat'!$A$2:$A$193,G324)&gt;0,1,0)</f>
        <v>1</v>
      </c>
      <c r="T324" s="33" t="n">
        <f aca="false">IF(COUNTIF([2]Attached_indexes!$C$2:$C$193,G324)&gt;0,1,0)</f>
        <v>1</v>
      </c>
      <c r="U324" s="59"/>
      <c r="V324" s="1" t="s">
        <v>982</v>
      </c>
    </row>
    <row r="325" customFormat="false" ht="15.75" hidden="false" customHeight="true" outlineLevel="0" collapsed="false">
      <c r="A325" s="18" t="s">
        <v>489</v>
      </c>
      <c r="B325" s="18" t="s">
        <v>489</v>
      </c>
      <c r="C325" s="18" t="s">
        <v>40</v>
      </c>
      <c r="E325" s="66" t="n">
        <v>5</v>
      </c>
      <c r="F325" s="21" t="str">
        <f aca="false">CONCATENATE(B325,"_",C325, TEXT(E325, "000"))</f>
        <v>HDRB_M. guttatus005</v>
      </c>
      <c r="G325" s="21" t="s">
        <v>500</v>
      </c>
      <c r="H325" s="18" t="n">
        <v>1</v>
      </c>
      <c r="I325" s="22" t="n">
        <v>44693</v>
      </c>
      <c r="J325" s="2" t="s">
        <v>981</v>
      </c>
      <c r="L325" s="2" t="n">
        <v>1</v>
      </c>
      <c r="M325" s="2" t="n">
        <v>1</v>
      </c>
      <c r="N325" s="3" t="n">
        <v>44842</v>
      </c>
      <c r="O325" s="2" t="n">
        <v>9.33</v>
      </c>
      <c r="Q325" s="62" t="str">
        <f aca="false">IF(ISBLANK(N325),"",IF(N325&lt;DATE(2023,5,1),"OLD","NEW"))</f>
        <v>OLD</v>
      </c>
      <c r="S325" s="33" t="n">
        <f aca="false">IF(COUNTIF('[1]Plate_1-2_LongFormat'!$A$2:$A$193,G325)&gt;0,1,0)</f>
        <v>1</v>
      </c>
      <c r="T325" s="33" t="n">
        <f aca="false">IF(COUNTIF([2]Attached_indexes!$C$2:$C$193,G325)&gt;0,1,0)</f>
        <v>1</v>
      </c>
      <c r="U325" s="59"/>
      <c r="V325" s="1" t="s">
        <v>982</v>
      </c>
    </row>
    <row r="326" customFormat="false" ht="15.75" hidden="false" customHeight="true" outlineLevel="0" collapsed="false">
      <c r="A326" s="18" t="s">
        <v>489</v>
      </c>
      <c r="B326" s="18" t="s">
        <v>489</v>
      </c>
      <c r="C326" s="18" t="s">
        <v>40</v>
      </c>
      <c r="E326" s="66" t="n">
        <v>6</v>
      </c>
      <c r="F326" s="21" t="str">
        <f aca="false">CONCATENATE(B326,"_",C326, TEXT(E326, "000"))</f>
        <v>HDRB_M. guttatus006</v>
      </c>
      <c r="G326" s="21" t="s">
        <v>502</v>
      </c>
      <c r="H326" s="18" t="n">
        <v>1</v>
      </c>
      <c r="I326" s="22" t="n">
        <v>44693</v>
      </c>
      <c r="J326" s="2" t="s">
        <v>981</v>
      </c>
      <c r="L326" s="2" t="n">
        <v>1</v>
      </c>
      <c r="M326" s="2" t="n">
        <v>1</v>
      </c>
      <c r="N326" s="3" t="n">
        <v>44842</v>
      </c>
      <c r="O326" s="2" t="n">
        <v>8.53</v>
      </c>
      <c r="Q326" s="62" t="str">
        <f aca="false">IF(ISBLANK(N326),"",IF(N326&lt;DATE(2023,5,1),"OLD","NEW"))</f>
        <v>OLD</v>
      </c>
      <c r="S326" s="33" t="n">
        <f aca="false">IF(COUNTIF('[1]Plate_1-2_LongFormat'!$A$2:$A$193,G326)&gt;0,1,0)</f>
        <v>1</v>
      </c>
      <c r="T326" s="33" t="n">
        <f aca="false">IF(COUNTIF([2]Attached_indexes!$C$2:$C$193,G326)&gt;0,1,0)</f>
        <v>1</v>
      </c>
      <c r="U326" s="59"/>
      <c r="V326" s="1" t="s">
        <v>982</v>
      </c>
    </row>
    <row r="327" customFormat="false" ht="15.75" hidden="false" customHeight="true" outlineLevel="0" collapsed="false">
      <c r="A327" s="18" t="s">
        <v>489</v>
      </c>
      <c r="B327" s="18" t="s">
        <v>489</v>
      </c>
      <c r="C327" s="18" t="s">
        <v>40</v>
      </c>
      <c r="E327" s="66" t="n">
        <v>6</v>
      </c>
      <c r="F327" s="21" t="str">
        <f aca="false">CONCATENATE(B327,"_",C327, TEXT(E327, "000"))</f>
        <v>HDRB_M. guttatus006</v>
      </c>
      <c r="G327" s="21" t="s">
        <v>502</v>
      </c>
      <c r="H327" s="18" t="n">
        <v>1</v>
      </c>
      <c r="I327" s="22" t="n">
        <v>44693</v>
      </c>
      <c r="J327" s="2" t="s">
        <v>981</v>
      </c>
      <c r="L327" s="2" t="n">
        <v>1</v>
      </c>
      <c r="M327" s="2" t="n">
        <v>1</v>
      </c>
      <c r="N327" s="3" t="n">
        <v>44842</v>
      </c>
      <c r="O327" s="2" t="n">
        <v>8.53</v>
      </c>
      <c r="Q327" s="62" t="str">
        <f aca="false">IF(ISBLANK(N327),"",IF(N327&lt;DATE(2023,5,1),"OLD","NEW"))</f>
        <v>OLD</v>
      </c>
      <c r="S327" s="33" t="n">
        <f aca="false">IF(COUNTIF('[1]Plate_1-2_LongFormat'!$A$2:$A$193,G327)&gt;0,1,0)</f>
        <v>1</v>
      </c>
      <c r="T327" s="33" t="n">
        <f aca="false">IF(COUNTIF([2]Attached_indexes!$C$2:$C$193,G327)&gt;0,1,0)</f>
        <v>1</v>
      </c>
      <c r="U327" s="59"/>
      <c r="V327" s="1" t="s">
        <v>982</v>
      </c>
    </row>
    <row r="328" customFormat="false" ht="15.75" hidden="false" customHeight="true" outlineLevel="0" collapsed="false">
      <c r="A328" s="18" t="s">
        <v>489</v>
      </c>
      <c r="B328" s="18" t="s">
        <v>489</v>
      </c>
      <c r="C328" s="18" t="s">
        <v>40</v>
      </c>
      <c r="E328" s="66" t="n">
        <v>6</v>
      </c>
      <c r="F328" s="21" t="str">
        <f aca="false">CONCATENATE(B328,"_",C328, TEXT(E328, "000"))</f>
        <v>HDRB_M. guttatus006</v>
      </c>
      <c r="G328" s="21" t="s">
        <v>502</v>
      </c>
      <c r="H328" s="18" t="n">
        <v>1</v>
      </c>
      <c r="I328" s="22" t="n">
        <v>44693</v>
      </c>
      <c r="J328" s="2" t="s">
        <v>981</v>
      </c>
      <c r="L328" s="2" t="n">
        <v>1</v>
      </c>
      <c r="M328" s="2" t="n">
        <v>1</v>
      </c>
      <c r="N328" s="3" t="n">
        <v>44842</v>
      </c>
      <c r="O328" s="2" t="n">
        <v>8.53</v>
      </c>
      <c r="Q328" s="62" t="str">
        <f aca="false">IF(ISBLANK(N328),"",IF(N328&lt;DATE(2023,5,1),"OLD","NEW"))</f>
        <v>OLD</v>
      </c>
      <c r="S328" s="33" t="n">
        <f aca="false">IF(COUNTIF('[1]Plate_1-2_LongFormat'!$A$2:$A$193,G328)&gt;0,1,0)</f>
        <v>1</v>
      </c>
      <c r="T328" s="33" t="n">
        <f aca="false">IF(COUNTIF([2]Attached_indexes!$C$2:$C$193,G328)&gt;0,1,0)</f>
        <v>1</v>
      </c>
      <c r="U328" s="59"/>
      <c r="V328" s="1" t="s">
        <v>982</v>
      </c>
    </row>
    <row r="329" customFormat="false" ht="15.75" hidden="false" customHeight="true" outlineLevel="0" collapsed="false">
      <c r="A329" s="18" t="s">
        <v>489</v>
      </c>
      <c r="B329" s="18" t="s">
        <v>489</v>
      </c>
      <c r="C329" s="18" t="s">
        <v>40</v>
      </c>
      <c r="E329" s="66" t="n">
        <v>7</v>
      </c>
      <c r="F329" s="21" t="str">
        <f aca="false">CONCATENATE(B329,"_",C329, TEXT(E329, "000"))</f>
        <v>HDRB_M. guttatus007</v>
      </c>
      <c r="G329" s="21" t="s">
        <v>504</v>
      </c>
      <c r="H329" s="18" t="n">
        <v>1</v>
      </c>
      <c r="I329" s="22" t="n">
        <v>44693</v>
      </c>
      <c r="J329" s="2" t="s">
        <v>981</v>
      </c>
      <c r="L329" s="2" t="n">
        <v>1</v>
      </c>
      <c r="M329" s="2" t="n">
        <v>1</v>
      </c>
      <c r="N329" s="3" t="n">
        <v>44799</v>
      </c>
      <c r="O329" s="64" t="n">
        <v>0.0827</v>
      </c>
      <c r="P329" s="64" t="n">
        <v>1</v>
      </c>
      <c r="Q329" s="62" t="str">
        <f aca="false">IF(ISBLANK(N329),"",IF(N329&lt;DATE(2023,5,1),"OLD","NEW"))</f>
        <v>OLD</v>
      </c>
      <c r="R329" s="74" t="s">
        <v>1016</v>
      </c>
      <c r="S329" s="33" t="n">
        <f aca="false">IF(COUNTIF('[1]Plate_1-2_LongFormat'!$A$2:$A$193,G329)&gt;0,1,0)</f>
        <v>1</v>
      </c>
      <c r="T329" s="33" t="n">
        <f aca="false">IF(COUNTIF([2]Attached_indexes!$C$2:$C$193,G329)&gt;0,1,0)</f>
        <v>1</v>
      </c>
      <c r="U329" s="59"/>
      <c r="V329" s="1" t="s">
        <v>982</v>
      </c>
    </row>
    <row r="330" customFormat="false" ht="15.75" hidden="false" customHeight="true" outlineLevel="0" collapsed="false">
      <c r="A330" s="18" t="s">
        <v>489</v>
      </c>
      <c r="B330" s="18" t="s">
        <v>489</v>
      </c>
      <c r="C330" s="18" t="s">
        <v>40</v>
      </c>
      <c r="E330" s="66" t="n">
        <v>7</v>
      </c>
      <c r="F330" s="21" t="str">
        <f aca="false">CONCATENATE(B330,"_",C330, TEXT(E330, "000"))</f>
        <v>HDRB_M. guttatus007</v>
      </c>
      <c r="G330" s="21" t="s">
        <v>504</v>
      </c>
      <c r="H330" s="18" t="n">
        <v>1</v>
      </c>
      <c r="I330" s="22" t="n">
        <v>44693</v>
      </c>
      <c r="J330" s="2" t="s">
        <v>981</v>
      </c>
      <c r="L330" s="2" t="n">
        <v>1</v>
      </c>
      <c r="M330" s="2" t="n">
        <v>1</v>
      </c>
      <c r="N330" s="3" t="n">
        <v>44799</v>
      </c>
      <c r="O330" s="64" t="n">
        <v>0.0827</v>
      </c>
      <c r="P330" s="64" t="n">
        <v>1</v>
      </c>
      <c r="Q330" s="62" t="str">
        <f aca="false">IF(ISBLANK(N330),"",IF(N330&lt;DATE(2023,5,1),"OLD","NEW"))</f>
        <v>OLD</v>
      </c>
      <c r="R330" s="74" t="s">
        <v>1016</v>
      </c>
      <c r="S330" s="33" t="n">
        <f aca="false">IF(COUNTIF('[1]Plate_1-2_LongFormat'!$A$2:$A$193,G330)&gt;0,1,0)</f>
        <v>1</v>
      </c>
      <c r="T330" s="33" t="n">
        <f aca="false">IF(COUNTIF([2]Attached_indexes!$C$2:$C$193,G330)&gt;0,1,0)</f>
        <v>1</v>
      </c>
      <c r="U330" s="59"/>
      <c r="V330" s="1" t="s">
        <v>982</v>
      </c>
    </row>
    <row r="331" customFormat="false" ht="15.75" hidden="false" customHeight="true" outlineLevel="0" collapsed="false">
      <c r="A331" s="18" t="s">
        <v>489</v>
      </c>
      <c r="B331" s="18" t="s">
        <v>489</v>
      </c>
      <c r="C331" s="18" t="s">
        <v>40</v>
      </c>
      <c r="E331" s="66" t="n">
        <v>7</v>
      </c>
      <c r="F331" s="21" t="str">
        <f aca="false">CONCATENATE(B331,"_",C331, TEXT(E331, "000"))</f>
        <v>HDRB_M. guttatus007</v>
      </c>
      <c r="G331" s="21" t="s">
        <v>504</v>
      </c>
      <c r="H331" s="18" t="n">
        <v>1</v>
      </c>
      <c r="I331" s="22" t="n">
        <v>44693</v>
      </c>
      <c r="J331" s="2" t="s">
        <v>981</v>
      </c>
      <c r="L331" s="2" t="n">
        <v>1</v>
      </c>
      <c r="M331" s="2" t="n">
        <v>1</v>
      </c>
      <c r="N331" s="3" t="n">
        <v>44799</v>
      </c>
      <c r="O331" s="64" t="n">
        <v>0.0827</v>
      </c>
      <c r="P331" s="64" t="n">
        <v>1</v>
      </c>
      <c r="Q331" s="62" t="str">
        <f aca="false">IF(ISBLANK(N331),"",IF(N331&lt;DATE(2023,5,1),"OLD","NEW"))</f>
        <v>OLD</v>
      </c>
      <c r="R331" s="74" t="s">
        <v>1016</v>
      </c>
      <c r="S331" s="33" t="n">
        <f aca="false">IF(COUNTIF('[1]Plate_1-2_LongFormat'!$A$2:$A$193,G331)&gt;0,1,0)</f>
        <v>1</v>
      </c>
      <c r="T331" s="33" t="n">
        <f aca="false">IF(COUNTIF([2]Attached_indexes!$C$2:$C$193,G331)&gt;0,1,0)</f>
        <v>1</v>
      </c>
      <c r="U331" s="59"/>
      <c r="V331" s="1" t="s">
        <v>982</v>
      </c>
    </row>
    <row r="332" customFormat="false" ht="15.75" hidden="false" customHeight="true" outlineLevel="0" collapsed="false">
      <c r="A332" s="18" t="s">
        <v>489</v>
      </c>
      <c r="B332" s="18" t="s">
        <v>489</v>
      </c>
      <c r="C332" s="18" t="s">
        <v>40</v>
      </c>
      <c r="E332" s="66" t="n">
        <v>8</v>
      </c>
      <c r="F332" s="21" t="str">
        <f aca="false">CONCATENATE(B332,"_",C332, TEXT(E332, "000"))</f>
        <v>HDRB_M. guttatus008</v>
      </c>
      <c r="G332" s="21" t="s">
        <v>506</v>
      </c>
      <c r="H332" s="18" t="n">
        <v>1</v>
      </c>
      <c r="I332" s="22" t="n">
        <v>44693</v>
      </c>
      <c r="J332" s="2" t="s">
        <v>981</v>
      </c>
      <c r="L332" s="2" t="n">
        <v>1</v>
      </c>
      <c r="M332" s="2" t="n">
        <v>1</v>
      </c>
      <c r="N332" s="3" t="n">
        <v>44914</v>
      </c>
      <c r="O332" s="64" t="n">
        <v>7</v>
      </c>
      <c r="P332" s="64" t="n">
        <v>2</v>
      </c>
      <c r="Q332" s="62" t="str">
        <f aca="false">IF(ISBLANK(N332),"",IF(N332&lt;DATE(2023,5,1),"OLD","NEW"))</f>
        <v>OLD</v>
      </c>
      <c r="S332" s="33" t="n">
        <f aca="false">IF(COUNTIF('[1]Plate_1-2_LongFormat'!$A$2:$A$193,G332)&gt;0,1,0)</f>
        <v>1</v>
      </c>
      <c r="T332" s="33" t="n">
        <f aca="false">IF(COUNTIF([2]Attached_indexes!$C$2:$C$193,G332)&gt;0,1,0)</f>
        <v>1</v>
      </c>
      <c r="U332" s="59"/>
      <c r="V332" s="1" t="s">
        <v>982</v>
      </c>
    </row>
    <row r="333" customFormat="false" ht="15.75" hidden="false" customHeight="true" outlineLevel="0" collapsed="false">
      <c r="A333" s="18" t="s">
        <v>489</v>
      </c>
      <c r="B333" s="18" t="s">
        <v>489</v>
      </c>
      <c r="C333" s="18" t="s">
        <v>40</v>
      </c>
      <c r="E333" s="66" t="n">
        <v>8</v>
      </c>
      <c r="F333" s="21" t="str">
        <f aca="false">CONCATENATE(B333,"_",C333, TEXT(E333, "000"))</f>
        <v>HDRB_M. guttatus008</v>
      </c>
      <c r="G333" s="21" t="s">
        <v>506</v>
      </c>
      <c r="H333" s="18" t="n">
        <v>1</v>
      </c>
      <c r="I333" s="22" t="n">
        <v>44693</v>
      </c>
      <c r="J333" s="2" t="s">
        <v>981</v>
      </c>
      <c r="L333" s="2" t="n">
        <v>1</v>
      </c>
      <c r="M333" s="2" t="n">
        <v>1</v>
      </c>
      <c r="N333" s="3" t="n">
        <v>44914</v>
      </c>
      <c r="O333" s="64" t="n">
        <v>7</v>
      </c>
      <c r="P333" s="64" t="n">
        <v>2</v>
      </c>
      <c r="Q333" s="62" t="str">
        <f aca="false">IF(ISBLANK(N333),"",IF(N333&lt;DATE(2023,5,1),"OLD","NEW"))</f>
        <v>OLD</v>
      </c>
      <c r="S333" s="33" t="n">
        <f aca="false">IF(COUNTIF('[1]Plate_1-2_LongFormat'!$A$2:$A$193,G333)&gt;0,1,0)</f>
        <v>1</v>
      </c>
      <c r="T333" s="33" t="n">
        <f aca="false">IF(COUNTIF([2]Attached_indexes!$C$2:$C$193,G333)&gt;0,1,0)</f>
        <v>1</v>
      </c>
      <c r="U333" s="59"/>
      <c r="V333" s="1" t="s">
        <v>982</v>
      </c>
    </row>
    <row r="334" customFormat="false" ht="15.75" hidden="false" customHeight="true" outlineLevel="0" collapsed="false">
      <c r="A334" s="18" t="s">
        <v>489</v>
      </c>
      <c r="B334" s="18" t="s">
        <v>489</v>
      </c>
      <c r="C334" s="18" t="s">
        <v>40</v>
      </c>
      <c r="E334" s="66" t="n">
        <v>8</v>
      </c>
      <c r="F334" s="21" t="str">
        <f aca="false">CONCATENATE(B334,"_",C334, TEXT(E334, "000"))</f>
        <v>HDRB_M. guttatus008</v>
      </c>
      <c r="G334" s="21" t="s">
        <v>506</v>
      </c>
      <c r="H334" s="18" t="n">
        <v>1</v>
      </c>
      <c r="I334" s="22" t="n">
        <v>44693</v>
      </c>
      <c r="J334" s="2" t="s">
        <v>981</v>
      </c>
      <c r="L334" s="2" t="n">
        <v>1</v>
      </c>
      <c r="M334" s="2" t="n">
        <v>1</v>
      </c>
      <c r="N334" s="3" t="n">
        <v>44914</v>
      </c>
      <c r="O334" s="64" t="n">
        <v>7</v>
      </c>
      <c r="P334" s="64" t="n">
        <v>2</v>
      </c>
      <c r="Q334" s="62" t="str">
        <f aca="false">IF(ISBLANK(N334),"",IF(N334&lt;DATE(2023,5,1),"OLD","NEW"))</f>
        <v>OLD</v>
      </c>
      <c r="S334" s="33" t="n">
        <f aca="false">IF(COUNTIF('[1]Plate_1-2_LongFormat'!$A$2:$A$193,G334)&gt;0,1,0)</f>
        <v>1</v>
      </c>
      <c r="T334" s="33" t="n">
        <f aca="false">IF(COUNTIF([2]Attached_indexes!$C$2:$C$193,G334)&gt;0,1,0)</f>
        <v>1</v>
      </c>
      <c r="U334" s="59"/>
      <c r="V334" s="1" t="s">
        <v>982</v>
      </c>
    </row>
    <row r="335" customFormat="false" ht="15.75" hidden="false" customHeight="true" outlineLevel="0" collapsed="false">
      <c r="A335" s="18" t="s">
        <v>489</v>
      </c>
      <c r="B335" s="18" t="s">
        <v>489</v>
      </c>
      <c r="C335" s="18" t="s">
        <v>40</v>
      </c>
      <c r="E335" s="66" t="n">
        <v>9</v>
      </c>
      <c r="F335" s="21" t="str">
        <f aca="false">CONCATENATE(B335,"_",C335, TEXT(E335, "000"))</f>
        <v>HDRB_M. guttatus009</v>
      </c>
      <c r="G335" s="21" t="s">
        <v>508</v>
      </c>
      <c r="H335" s="18" t="n">
        <v>1</v>
      </c>
      <c r="I335" s="22" t="n">
        <v>44693</v>
      </c>
      <c r="J335" s="2" t="s">
        <v>981</v>
      </c>
      <c r="L335" s="2" t="n">
        <v>1</v>
      </c>
      <c r="M335" s="2" t="n">
        <v>1</v>
      </c>
      <c r="N335" s="3" t="n">
        <v>44914</v>
      </c>
      <c r="O335" s="2" t="n">
        <v>16.7</v>
      </c>
      <c r="P335" s="2" t="n">
        <v>2</v>
      </c>
      <c r="Q335" s="62" t="str">
        <f aca="false">IF(ISBLANK(N335),"",IF(N335&lt;DATE(2023,5,1),"OLD","NEW"))</f>
        <v>OLD</v>
      </c>
      <c r="S335" s="33" t="n">
        <f aca="false">IF(COUNTIF('[1]Plate_1-2_LongFormat'!$A$2:$A$193,G335)&gt;0,1,0)</f>
        <v>1</v>
      </c>
      <c r="T335" s="33" t="n">
        <f aca="false">IF(COUNTIF([2]Attached_indexes!$C$2:$C$193,G335)&gt;0,1,0)</f>
        <v>1</v>
      </c>
      <c r="U335" s="59"/>
      <c r="V335" s="1" t="s">
        <v>982</v>
      </c>
    </row>
    <row r="336" customFormat="false" ht="15.75" hidden="false" customHeight="true" outlineLevel="0" collapsed="false">
      <c r="A336" s="18" t="s">
        <v>489</v>
      </c>
      <c r="B336" s="18" t="s">
        <v>489</v>
      </c>
      <c r="C336" s="18" t="s">
        <v>40</v>
      </c>
      <c r="E336" s="66" t="n">
        <v>9</v>
      </c>
      <c r="F336" s="21" t="str">
        <f aca="false">CONCATENATE(B336,"_",C336, TEXT(E336, "000"))</f>
        <v>HDRB_M. guttatus009</v>
      </c>
      <c r="G336" s="21" t="s">
        <v>508</v>
      </c>
      <c r="H336" s="18" t="n">
        <v>1</v>
      </c>
      <c r="I336" s="22" t="n">
        <v>44693</v>
      </c>
      <c r="J336" s="2" t="s">
        <v>981</v>
      </c>
      <c r="L336" s="2" t="n">
        <v>1</v>
      </c>
      <c r="M336" s="2" t="n">
        <v>1</v>
      </c>
      <c r="N336" s="3" t="n">
        <v>44914</v>
      </c>
      <c r="O336" s="2" t="n">
        <v>16.7</v>
      </c>
      <c r="P336" s="2" t="n">
        <v>2</v>
      </c>
      <c r="Q336" s="62" t="str">
        <f aca="false">IF(ISBLANK(N336),"",IF(N336&lt;DATE(2023,5,1),"OLD","NEW"))</f>
        <v>OLD</v>
      </c>
      <c r="S336" s="33" t="n">
        <f aca="false">IF(COUNTIF('[1]Plate_1-2_LongFormat'!$A$2:$A$193,G336)&gt;0,1,0)</f>
        <v>1</v>
      </c>
      <c r="T336" s="33" t="n">
        <f aca="false">IF(COUNTIF([2]Attached_indexes!$C$2:$C$193,G336)&gt;0,1,0)</f>
        <v>1</v>
      </c>
      <c r="U336" s="59"/>
      <c r="V336" s="1" t="s">
        <v>982</v>
      </c>
    </row>
    <row r="337" customFormat="false" ht="15.75" hidden="false" customHeight="true" outlineLevel="0" collapsed="false">
      <c r="A337" s="18" t="s">
        <v>489</v>
      </c>
      <c r="B337" s="18" t="s">
        <v>489</v>
      </c>
      <c r="C337" s="18" t="s">
        <v>40</v>
      </c>
      <c r="E337" s="66" t="n">
        <v>9</v>
      </c>
      <c r="F337" s="21" t="str">
        <f aca="false">CONCATENATE(B337,"_",C337, TEXT(E337, "000"))</f>
        <v>HDRB_M. guttatus009</v>
      </c>
      <c r="G337" s="21" t="s">
        <v>508</v>
      </c>
      <c r="H337" s="18" t="n">
        <v>1</v>
      </c>
      <c r="I337" s="22" t="n">
        <v>44693</v>
      </c>
      <c r="J337" s="2" t="s">
        <v>981</v>
      </c>
      <c r="L337" s="2" t="n">
        <v>1</v>
      </c>
      <c r="M337" s="2" t="n">
        <v>1</v>
      </c>
      <c r="N337" s="3" t="n">
        <v>44914</v>
      </c>
      <c r="O337" s="2" t="n">
        <v>16.7</v>
      </c>
      <c r="P337" s="2" t="n">
        <v>2</v>
      </c>
      <c r="Q337" s="62" t="str">
        <f aca="false">IF(ISBLANK(N337),"",IF(N337&lt;DATE(2023,5,1),"OLD","NEW"))</f>
        <v>OLD</v>
      </c>
      <c r="S337" s="33" t="n">
        <f aca="false">IF(COUNTIF('[1]Plate_1-2_LongFormat'!$A$2:$A$193,G337)&gt;0,1,0)</f>
        <v>1</v>
      </c>
      <c r="T337" s="33" t="n">
        <f aca="false">IF(COUNTIF([2]Attached_indexes!$C$2:$C$193,G337)&gt;0,1,0)</f>
        <v>1</v>
      </c>
      <c r="U337" s="59"/>
      <c r="V337" s="1" t="s">
        <v>982</v>
      </c>
    </row>
    <row r="338" customFormat="false" ht="15.75" hidden="false" customHeight="true" outlineLevel="0" collapsed="false">
      <c r="A338" s="18" t="s">
        <v>259</v>
      </c>
      <c r="B338" s="18" t="s">
        <v>259</v>
      </c>
      <c r="C338" s="18" t="s">
        <v>40</v>
      </c>
      <c r="E338" s="66" t="n">
        <v>1</v>
      </c>
      <c r="F338" s="21" t="str">
        <f aca="false">CONCATENATE(B338,"_",C338, TEXT(E338, "000"))</f>
        <v>HHBB_M. guttatus001</v>
      </c>
      <c r="G338" s="21" t="s">
        <v>283</v>
      </c>
      <c r="H338" s="18" t="n">
        <v>1</v>
      </c>
      <c r="I338" s="22" t="n">
        <v>44671</v>
      </c>
      <c r="J338" s="2" t="s">
        <v>981</v>
      </c>
      <c r="L338" s="2" t="n">
        <v>1</v>
      </c>
      <c r="M338" s="2" t="n">
        <v>1</v>
      </c>
      <c r="N338" s="3" t="n">
        <v>44938</v>
      </c>
      <c r="O338" s="2" t="n">
        <v>17.4</v>
      </c>
      <c r="P338" s="2" t="n">
        <v>2</v>
      </c>
      <c r="Q338" s="62" t="str">
        <f aca="false">IF(ISBLANK(N338),"",IF(N338&lt;DATE(2023,5,1),"OLD","NEW"))</f>
        <v>OLD</v>
      </c>
      <c r="S338" s="33" t="n">
        <f aca="false">IF(COUNTIF('[1]Plate_1-2_LongFormat'!$A$2:$A$193,G338)&gt;0,1,0)</f>
        <v>1</v>
      </c>
      <c r="T338" s="33" t="n">
        <f aca="false">IF(COUNTIF([2]Attached_indexes!$C$2:$C$193,G338)&gt;0,1,0)</f>
        <v>1</v>
      </c>
      <c r="U338" s="59"/>
      <c r="V338" s="1" t="s">
        <v>982</v>
      </c>
    </row>
    <row r="339" customFormat="false" ht="15.75" hidden="false" customHeight="true" outlineLevel="0" collapsed="false">
      <c r="A339" s="18" t="s">
        <v>259</v>
      </c>
      <c r="B339" s="18" t="s">
        <v>259</v>
      </c>
      <c r="C339" s="18" t="s">
        <v>40</v>
      </c>
      <c r="E339" s="66" t="n">
        <v>1</v>
      </c>
      <c r="F339" s="21" t="str">
        <f aca="false">CONCATENATE(B339,"_",C339, TEXT(E339, "000"))</f>
        <v>HHBB_M. guttatus001</v>
      </c>
      <c r="G339" s="21" t="s">
        <v>283</v>
      </c>
      <c r="H339" s="18" t="n">
        <v>1</v>
      </c>
      <c r="I339" s="22" t="n">
        <v>44671</v>
      </c>
      <c r="J339" s="2" t="s">
        <v>981</v>
      </c>
      <c r="L339" s="2" t="n">
        <v>1</v>
      </c>
      <c r="M339" s="2" t="n">
        <v>1</v>
      </c>
      <c r="N339" s="3" t="n">
        <v>44938</v>
      </c>
      <c r="O339" s="2" t="n">
        <v>17.4</v>
      </c>
      <c r="P339" s="2" t="n">
        <v>2</v>
      </c>
      <c r="Q339" s="62" t="str">
        <f aca="false">IF(ISBLANK(N339),"",IF(N339&lt;DATE(2023,5,1),"OLD","NEW"))</f>
        <v>OLD</v>
      </c>
      <c r="S339" s="33" t="n">
        <f aca="false">IF(COUNTIF('[1]Plate_1-2_LongFormat'!$A$2:$A$193,G339)&gt;0,1,0)</f>
        <v>1</v>
      </c>
      <c r="T339" s="33" t="n">
        <f aca="false">IF(COUNTIF([2]Attached_indexes!$C$2:$C$193,G339)&gt;0,1,0)</f>
        <v>1</v>
      </c>
      <c r="U339" s="59"/>
      <c r="V339" s="1" t="s">
        <v>982</v>
      </c>
    </row>
    <row r="340" customFormat="false" ht="15.75" hidden="false" customHeight="true" outlineLevel="0" collapsed="false">
      <c r="A340" s="18" t="s">
        <v>259</v>
      </c>
      <c r="B340" s="18" t="s">
        <v>259</v>
      </c>
      <c r="C340" s="18" t="s">
        <v>40</v>
      </c>
      <c r="E340" s="66" t="n">
        <v>1</v>
      </c>
      <c r="F340" s="21" t="str">
        <f aca="false">CONCATENATE(B340,"_",C340, TEXT(E340, "000"))</f>
        <v>HHBB_M. guttatus001</v>
      </c>
      <c r="G340" s="21" t="s">
        <v>283</v>
      </c>
      <c r="H340" s="18" t="n">
        <v>1</v>
      </c>
      <c r="I340" s="22" t="n">
        <v>44671</v>
      </c>
      <c r="J340" s="2" t="s">
        <v>981</v>
      </c>
      <c r="L340" s="2" t="n">
        <v>1</v>
      </c>
      <c r="M340" s="2" t="n">
        <v>1</v>
      </c>
      <c r="N340" s="3" t="n">
        <v>44938</v>
      </c>
      <c r="O340" s="2" t="n">
        <v>17.4</v>
      </c>
      <c r="P340" s="2" t="n">
        <v>2</v>
      </c>
      <c r="Q340" s="62" t="str">
        <f aca="false">IF(ISBLANK(N340),"",IF(N340&lt;DATE(2023,5,1),"OLD","NEW"))</f>
        <v>OLD</v>
      </c>
      <c r="S340" s="33" t="n">
        <f aca="false">IF(COUNTIF('[1]Plate_1-2_LongFormat'!$A$2:$A$193,G340)&gt;0,1,0)</f>
        <v>1</v>
      </c>
      <c r="T340" s="33" t="n">
        <f aca="false">IF(COUNTIF([2]Attached_indexes!$C$2:$C$193,G340)&gt;0,1,0)</f>
        <v>1</v>
      </c>
      <c r="U340" s="59"/>
      <c r="V340" s="1" t="s">
        <v>982</v>
      </c>
    </row>
    <row r="341" customFormat="false" ht="15.75" hidden="false" customHeight="true" outlineLevel="0" collapsed="false">
      <c r="A341" s="18" t="s">
        <v>259</v>
      </c>
      <c r="B341" s="18" t="s">
        <v>259</v>
      </c>
      <c r="C341" s="18" t="s">
        <v>40</v>
      </c>
      <c r="E341" s="66" t="n">
        <v>10</v>
      </c>
      <c r="F341" s="21" t="str">
        <f aca="false">CONCATENATE(B341,"_",C341, TEXT(E341, "000"))</f>
        <v>HHBB_M. guttatus010</v>
      </c>
      <c r="G341" s="21" t="s">
        <v>300</v>
      </c>
      <c r="H341" s="18" t="n">
        <v>1</v>
      </c>
      <c r="I341" s="22" t="n">
        <v>44671</v>
      </c>
      <c r="J341" s="2" t="s">
        <v>981</v>
      </c>
      <c r="L341" s="2" t="n">
        <v>1</v>
      </c>
      <c r="M341" s="2" t="n">
        <v>1</v>
      </c>
      <c r="N341" s="3" t="n">
        <v>44834</v>
      </c>
      <c r="O341" s="2" t="n">
        <v>13.6</v>
      </c>
      <c r="P341" s="2" t="n">
        <v>1</v>
      </c>
      <c r="Q341" s="62" t="str">
        <f aca="false">IF(ISBLANK(N341),"",IF(N341&lt;DATE(2023,5,1),"OLD","NEW"))</f>
        <v>OLD</v>
      </c>
      <c r="S341" s="33" t="n">
        <f aca="false">IF(COUNTIF('[1]Plate_1-2_LongFormat'!$A$2:$A$193,G341)&gt;0,1,0)</f>
        <v>1</v>
      </c>
      <c r="T341" s="33" t="n">
        <f aca="false">IF(COUNTIF([2]Attached_indexes!$C$2:$C$193,G341)&gt;0,1,0)</f>
        <v>1</v>
      </c>
      <c r="U341" s="59"/>
      <c r="V341" s="1" t="s">
        <v>982</v>
      </c>
    </row>
    <row r="342" customFormat="false" ht="15.75" hidden="false" customHeight="true" outlineLevel="0" collapsed="false">
      <c r="A342" s="18" t="s">
        <v>259</v>
      </c>
      <c r="B342" s="18" t="s">
        <v>259</v>
      </c>
      <c r="C342" s="18" t="s">
        <v>40</v>
      </c>
      <c r="E342" s="66" t="n">
        <v>10</v>
      </c>
      <c r="F342" s="21" t="str">
        <f aca="false">CONCATENATE(B342,"_",C342, TEXT(E342, "000"))</f>
        <v>HHBB_M. guttatus010</v>
      </c>
      <c r="G342" s="21" t="s">
        <v>300</v>
      </c>
      <c r="H342" s="18" t="n">
        <v>1</v>
      </c>
      <c r="I342" s="22" t="n">
        <v>44671</v>
      </c>
      <c r="J342" s="2" t="s">
        <v>981</v>
      </c>
      <c r="L342" s="2" t="n">
        <v>1</v>
      </c>
      <c r="M342" s="2" t="n">
        <v>1</v>
      </c>
      <c r="N342" s="3" t="n">
        <v>44834</v>
      </c>
      <c r="O342" s="2" t="n">
        <v>13.6</v>
      </c>
      <c r="P342" s="2" t="n">
        <v>1</v>
      </c>
      <c r="Q342" s="62" t="str">
        <f aca="false">IF(ISBLANK(N342),"",IF(N342&lt;DATE(2023,5,1),"OLD","NEW"))</f>
        <v>OLD</v>
      </c>
      <c r="S342" s="33" t="n">
        <f aca="false">IF(COUNTIF('[1]Plate_1-2_LongFormat'!$A$2:$A$193,G342)&gt;0,1,0)</f>
        <v>1</v>
      </c>
      <c r="T342" s="33" t="n">
        <f aca="false">IF(COUNTIF([2]Attached_indexes!$C$2:$C$193,G342)&gt;0,1,0)</f>
        <v>1</v>
      </c>
      <c r="U342" s="59"/>
      <c r="V342" s="1" t="s">
        <v>982</v>
      </c>
    </row>
    <row r="343" customFormat="false" ht="15.75" hidden="false" customHeight="true" outlineLevel="0" collapsed="false">
      <c r="A343" s="18" t="s">
        <v>259</v>
      </c>
      <c r="B343" s="18" t="s">
        <v>259</v>
      </c>
      <c r="C343" s="18" t="s">
        <v>40</v>
      </c>
      <c r="E343" s="66" t="n">
        <v>10</v>
      </c>
      <c r="F343" s="21" t="str">
        <f aca="false">CONCATENATE(B343,"_",C343, TEXT(E343, "000"))</f>
        <v>HHBB_M. guttatus010</v>
      </c>
      <c r="G343" s="21" t="s">
        <v>300</v>
      </c>
      <c r="H343" s="18" t="n">
        <v>1</v>
      </c>
      <c r="I343" s="22" t="n">
        <v>44671</v>
      </c>
      <c r="J343" s="2" t="s">
        <v>981</v>
      </c>
      <c r="L343" s="2" t="n">
        <v>1</v>
      </c>
      <c r="M343" s="2" t="n">
        <v>1</v>
      </c>
      <c r="N343" s="3" t="n">
        <v>44834</v>
      </c>
      <c r="O343" s="2" t="n">
        <v>13.6</v>
      </c>
      <c r="P343" s="2" t="n">
        <v>1</v>
      </c>
      <c r="Q343" s="62" t="str">
        <f aca="false">IF(ISBLANK(N343),"",IF(N343&lt;DATE(2023,5,1),"OLD","NEW"))</f>
        <v>OLD</v>
      </c>
      <c r="S343" s="33" t="n">
        <f aca="false">IF(COUNTIF('[1]Plate_1-2_LongFormat'!$A$2:$A$193,G343)&gt;0,1,0)</f>
        <v>1</v>
      </c>
      <c r="T343" s="33" t="n">
        <f aca="false">IF(COUNTIF([2]Attached_indexes!$C$2:$C$193,G343)&gt;0,1,0)</f>
        <v>1</v>
      </c>
      <c r="U343" s="59"/>
      <c r="V343" s="1" t="s">
        <v>982</v>
      </c>
    </row>
    <row r="344" customFormat="false" ht="15.75" hidden="false" customHeight="true" outlineLevel="0" collapsed="false">
      <c r="A344" s="18" t="s">
        <v>259</v>
      </c>
      <c r="B344" s="18" t="s">
        <v>259</v>
      </c>
      <c r="C344" s="18" t="s">
        <v>40</v>
      </c>
      <c r="E344" s="66" t="n">
        <v>2</v>
      </c>
      <c r="F344" s="21" t="str">
        <f aca="false">CONCATENATE(B344,"_",C344, TEXT(E344, "000"))</f>
        <v>HHBB_M. guttatus002</v>
      </c>
      <c r="G344" s="21" t="s">
        <v>286</v>
      </c>
      <c r="H344" s="18" t="n">
        <v>1</v>
      </c>
      <c r="I344" s="22" t="n">
        <v>44671</v>
      </c>
      <c r="J344" s="2" t="s">
        <v>981</v>
      </c>
      <c r="L344" s="2" t="n">
        <v>1</v>
      </c>
      <c r="M344" s="2" t="n">
        <v>1</v>
      </c>
      <c r="N344" s="3" t="n">
        <v>44834</v>
      </c>
      <c r="O344" s="2" t="n">
        <v>10.7</v>
      </c>
      <c r="P344" s="2" t="n">
        <v>1</v>
      </c>
      <c r="Q344" s="62" t="str">
        <f aca="false">IF(ISBLANK(N344),"",IF(N344&lt;DATE(2023,5,1),"OLD","NEW"))</f>
        <v>OLD</v>
      </c>
      <c r="S344" s="33" t="n">
        <f aca="false">IF(COUNTIF('[1]Plate_1-2_LongFormat'!$A$2:$A$193,G344)&gt;0,1,0)</f>
        <v>1</v>
      </c>
      <c r="T344" s="33" t="n">
        <f aca="false">IF(COUNTIF([2]Attached_indexes!$C$2:$C$193,G344)&gt;0,1,0)</f>
        <v>1</v>
      </c>
      <c r="U344" s="59"/>
      <c r="V344" s="1" t="s">
        <v>982</v>
      </c>
    </row>
    <row r="345" customFormat="false" ht="15.75" hidden="false" customHeight="true" outlineLevel="0" collapsed="false">
      <c r="A345" s="18" t="s">
        <v>259</v>
      </c>
      <c r="B345" s="18" t="s">
        <v>259</v>
      </c>
      <c r="C345" s="18" t="s">
        <v>40</v>
      </c>
      <c r="E345" s="66" t="n">
        <v>2</v>
      </c>
      <c r="F345" s="21" t="str">
        <f aca="false">CONCATENATE(B345,"_",C345, TEXT(E345, "000"))</f>
        <v>HHBB_M. guttatus002</v>
      </c>
      <c r="G345" s="21" t="s">
        <v>286</v>
      </c>
      <c r="H345" s="18" t="n">
        <v>1</v>
      </c>
      <c r="I345" s="22" t="n">
        <v>44671</v>
      </c>
      <c r="J345" s="2" t="s">
        <v>981</v>
      </c>
      <c r="L345" s="2" t="n">
        <v>1</v>
      </c>
      <c r="M345" s="2" t="n">
        <v>1</v>
      </c>
      <c r="N345" s="3" t="n">
        <v>44834</v>
      </c>
      <c r="O345" s="2" t="n">
        <v>10.7</v>
      </c>
      <c r="P345" s="2" t="n">
        <v>1</v>
      </c>
      <c r="Q345" s="62" t="str">
        <f aca="false">IF(ISBLANK(N345),"",IF(N345&lt;DATE(2023,5,1),"OLD","NEW"))</f>
        <v>OLD</v>
      </c>
      <c r="S345" s="33" t="n">
        <f aca="false">IF(COUNTIF('[1]Plate_1-2_LongFormat'!$A$2:$A$193,G345)&gt;0,1,0)</f>
        <v>1</v>
      </c>
      <c r="T345" s="33" t="n">
        <f aca="false">IF(COUNTIF([2]Attached_indexes!$C$2:$C$193,G345)&gt;0,1,0)</f>
        <v>1</v>
      </c>
      <c r="U345" s="59"/>
      <c r="V345" s="1" t="s">
        <v>982</v>
      </c>
    </row>
    <row r="346" customFormat="false" ht="15.75" hidden="false" customHeight="true" outlineLevel="0" collapsed="false">
      <c r="A346" s="18" t="s">
        <v>259</v>
      </c>
      <c r="B346" s="18" t="s">
        <v>259</v>
      </c>
      <c r="C346" s="18" t="s">
        <v>40</v>
      </c>
      <c r="E346" s="66" t="n">
        <v>2</v>
      </c>
      <c r="F346" s="21" t="str">
        <f aca="false">CONCATENATE(B346,"_",C346, TEXT(E346, "000"))</f>
        <v>HHBB_M. guttatus002</v>
      </c>
      <c r="G346" s="21" t="s">
        <v>286</v>
      </c>
      <c r="H346" s="18" t="n">
        <v>1</v>
      </c>
      <c r="I346" s="22" t="n">
        <v>44671</v>
      </c>
      <c r="J346" s="2" t="s">
        <v>981</v>
      </c>
      <c r="L346" s="2" t="n">
        <v>1</v>
      </c>
      <c r="M346" s="2" t="n">
        <v>1</v>
      </c>
      <c r="N346" s="3" t="n">
        <v>44834</v>
      </c>
      <c r="O346" s="2" t="n">
        <v>10.7</v>
      </c>
      <c r="P346" s="2" t="n">
        <v>1</v>
      </c>
      <c r="Q346" s="62" t="str">
        <f aca="false">IF(ISBLANK(N346),"",IF(N346&lt;DATE(2023,5,1),"OLD","NEW"))</f>
        <v>OLD</v>
      </c>
      <c r="R346" s="2"/>
      <c r="S346" s="33" t="n">
        <f aca="false">IF(COUNTIF('[1]Plate_1-2_LongFormat'!$A$2:$A$193,G346)&gt;0,1,0)</f>
        <v>1</v>
      </c>
      <c r="T346" s="33" t="n">
        <f aca="false">IF(COUNTIF([2]Attached_indexes!$C$2:$C$193,G346)&gt;0,1,0)</f>
        <v>1</v>
      </c>
      <c r="U346" s="59"/>
      <c r="V346" s="1" t="s">
        <v>982</v>
      </c>
    </row>
    <row r="347" customFormat="false" ht="15.75" hidden="false" customHeight="true" outlineLevel="0" collapsed="false">
      <c r="A347" s="18" t="s">
        <v>259</v>
      </c>
      <c r="B347" s="18" t="s">
        <v>259</v>
      </c>
      <c r="C347" s="18" t="s">
        <v>40</v>
      </c>
      <c r="E347" s="66" t="n">
        <v>3</v>
      </c>
      <c r="F347" s="21" t="str">
        <f aca="false">CONCATENATE(B347,"_",C347, TEXT(E347, "000"))</f>
        <v>HHBB_M. guttatus003</v>
      </c>
      <c r="G347" s="21" t="s">
        <v>287</v>
      </c>
      <c r="H347" s="18" t="n">
        <v>1</v>
      </c>
      <c r="I347" s="22" t="n">
        <v>44671</v>
      </c>
      <c r="J347" s="2" t="s">
        <v>981</v>
      </c>
      <c r="L347" s="2" t="n">
        <v>1</v>
      </c>
      <c r="M347" s="2" t="n">
        <v>1</v>
      </c>
      <c r="N347" s="3" t="n">
        <v>45053</v>
      </c>
      <c r="O347" s="2" t="n">
        <v>20.3</v>
      </c>
      <c r="P347" s="2" t="n">
        <v>3</v>
      </c>
      <c r="Q347" s="62" t="str">
        <f aca="false">IF(ISBLANK(N347),"",IF(N347&lt;DATE(2023,5,1),"OLD","NEW"))</f>
        <v>NEW</v>
      </c>
      <c r="R347" s="2"/>
      <c r="S347" s="33" t="n">
        <f aca="false">IF(COUNTIF('[1]Plate_1-2_LongFormat'!$A$2:$A$193,G347)&gt;0,1,0)</f>
        <v>0</v>
      </c>
      <c r="T347" s="33" t="n">
        <f aca="false">IF(COUNTIF([2]Attached_indexes!$C$2:$C$193,G347)&gt;0,1,0)</f>
        <v>0</v>
      </c>
      <c r="U347" s="59"/>
      <c r="V347" s="1" t="s">
        <v>982</v>
      </c>
    </row>
    <row r="348" customFormat="false" ht="15.75" hidden="false" customHeight="true" outlineLevel="0" collapsed="false">
      <c r="A348" s="18" t="s">
        <v>259</v>
      </c>
      <c r="B348" s="18" t="s">
        <v>259</v>
      </c>
      <c r="C348" s="18" t="s">
        <v>40</v>
      </c>
      <c r="E348" s="66" t="n">
        <v>3</v>
      </c>
      <c r="F348" s="21" t="str">
        <f aca="false">CONCATENATE(B348,"_",C348, TEXT(E348, "000"))</f>
        <v>HHBB_M. guttatus003</v>
      </c>
      <c r="G348" s="21" t="s">
        <v>287</v>
      </c>
      <c r="H348" s="18" t="n">
        <v>1</v>
      </c>
      <c r="I348" s="22" t="n">
        <v>44671</v>
      </c>
      <c r="J348" s="2" t="s">
        <v>981</v>
      </c>
      <c r="L348" s="2" t="n">
        <v>1</v>
      </c>
      <c r="M348" s="2" t="n">
        <v>1</v>
      </c>
      <c r="N348" s="3" t="n">
        <v>45053</v>
      </c>
      <c r="O348" s="2" t="n">
        <v>20.3</v>
      </c>
      <c r="P348" s="2" t="n">
        <v>3</v>
      </c>
      <c r="Q348" s="62" t="str">
        <f aca="false">IF(ISBLANK(N348),"",IF(N348&lt;DATE(2023,5,1),"OLD","NEW"))</f>
        <v>NEW</v>
      </c>
      <c r="R348" s="2"/>
      <c r="S348" s="33" t="n">
        <f aca="false">IF(COUNTIF('[1]Plate_1-2_LongFormat'!$A$2:$A$193,G348)&gt;0,1,0)</f>
        <v>0</v>
      </c>
      <c r="T348" s="33" t="n">
        <f aca="false">IF(COUNTIF([2]Attached_indexes!$C$2:$C$193,G348)&gt;0,1,0)</f>
        <v>0</v>
      </c>
      <c r="U348" s="59"/>
      <c r="V348" s="1" t="s">
        <v>982</v>
      </c>
    </row>
    <row r="349" customFormat="false" ht="15.75" hidden="false" customHeight="true" outlineLevel="0" collapsed="false">
      <c r="A349" s="18" t="s">
        <v>259</v>
      </c>
      <c r="B349" s="18" t="s">
        <v>259</v>
      </c>
      <c r="C349" s="18" t="s">
        <v>40</v>
      </c>
      <c r="E349" s="66" t="n">
        <v>3</v>
      </c>
      <c r="F349" s="21" t="str">
        <f aca="false">CONCATENATE(B349,"_",C349, TEXT(E349, "000"))</f>
        <v>HHBB_M. guttatus003</v>
      </c>
      <c r="G349" s="21" t="s">
        <v>287</v>
      </c>
      <c r="H349" s="18" t="n">
        <v>1</v>
      </c>
      <c r="I349" s="22" t="n">
        <v>44671</v>
      </c>
      <c r="J349" s="2" t="s">
        <v>981</v>
      </c>
      <c r="L349" s="2" t="n">
        <v>1</v>
      </c>
      <c r="M349" s="2" t="n">
        <v>1</v>
      </c>
      <c r="N349" s="3" t="n">
        <v>45053</v>
      </c>
      <c r="O349" s="2" t="n">
        <v>20.3</v>
      </c>
      <c r="P349" s="2" t="n">
        <v>3</v>
      </c>
      <c r="Q349" s="62" t="str">
        <f aca="false">IF(ISBLANK(N349),"",IF(N349&lt;DATE(2023,5,1),"OLD","NEW"))</f>
        <v>NEW</v>
      </c>
      <c r="S349" s="33" t="n">
        <f aca="false">IF(COUNTIF('[1]Plate_1-2_LongFormat'!$A$2:$A$193,G349)&gt;0,1,0)</f>
        <v>0</v>
      </c>
      <c r="T349" s="33" t="n">
        <f aca="false">IF(COUNTIF([2]Attached_indexes!$C$2:$C$193,G349)&gt;0,1,0)</f>
        <v>0</v>
      </c>
      <c r="U349" s="59"/>
      <c r="V349" s="1" t="s">
        <v>982</v>
      </c>
    </row>
    <row r="350" customFormat="false" ht="15.75" hidden="false" customHeight="true" outlineLevel="0" collapsed="false">
      <c r="A350" s="18" t="s">
        <v>259</v>
      </c>
      <c r="B350" s="18" t="s">
        <v>259</v>
      </c>
      <c r="C350" s="18" t="s">
        <v>40</v>
      </c>
      <c r="E350" s="66" t="n">
        <v>4</v>
      </c>
      <c r="F350" s="21" t="str">
        <f aca="false">CONCATENATE(B350,"_",C350, TEXT(E350, "000"))</f>
        <v>HHBB_M. guttatus004</v>
      </c>
      <c r="G350" s="21" t="s">
        <v>289</v>
      </c>
      <c r="H350" s="18" t="n">
        <v>1</v>
      </c>
      <c r="I350" s="22" t="n">
        <v>44671</v>
      </c>
      <c r="J350" s="2" t="s">
        <v>981</v>
      </c>
      <c r="L350" s="2" t="n">
        <v>1</v>
      </c>
      <c r="M350" s="2" t="n">
        <v>1</v>
      </c>
      <c r="N350" s="3" t="n">
        <v>44999</v>
      </c>
      <c r="O350" s="2" t="n">
        <v>7.87</v>
      </c>
      <c r="P350" s="2" t="n">
        <v>1</v>
      </c>
      <c r="Q350" s="62" t="str">
        <f aca="false">IF(ISBLANK(N350),"",IF(N350&lt;DATE(2023,5,1),"OLD","NEW"))</f>
        <v>OLD</v>
      </c>
      <c r="S350" s="33" t="n">
        <f aca="false">IF(COUNTIF('[1]Plate_1-2_LongFormat'!$A$2:$A$193,G350)&gt;0,1,0)</f>
        <v>1</v>
      </c>
      <c r="T350" s="33" t="n">
        <f aca="false">IF(COUNTIF([2]Attached_indexes!$C$2:$C$193,G350)&gt;0,1,0)</f>
        <v>1</v>
      </c>
      <c r="U350" s="59"/>
      <c r="V350" s="1" t="s">
        <v>982</v>
      </c>
    </row>
    <row r="351" customFormat="false" ht="15.75" hidden="false" customHeight="true" outlineLevel="0" collapsed="false">
      <c r="A351" s="18" t="s">
        <v>259</v>
      </c>
      <c r="B351" s="18" t="s">
        <v>259</v>
      </c>
      <c r="C351" s="18" t="s">
        <v>40</v>
      </c>
      <c r="E351" s="66" t="n">
        <v>4</v>
      </c>
      <c r="F351" s="21" t="str">
        <f aca="false">CONCATENATE(B351,"_",C351, TEXT(E351, "000"))</f>
        <v>HHBB_M. guttatus004</v>
      </c>
      <c r="G351" s="21" t="s">
        <v>289</v>
      </c>
      <c r="H351" s="18" t="n">
        <v>1</v>
      </c>
      <c r="I351" s="22" t="n">
        <v>44671</v>
      </c>
      <c r="J351" s="2" t="s">
        <v>981</v>
      </c>
      <c r="L351" s="2" t="n">
        <v>1</v>
      </c>
      <c r="M351" s="2" t="n">
        <v>1</v>
      </c>
      <c r="N351" s="3" t="n">
        <v>44999</v>
      </c>
      <c r="O351" s="2" t="n">
        <v>7.87</v>
      </c>
      <c r="P351" s="2" t="n">
        <v>1</v>
      </c>
      <c r="Q351" s="62" t="str">
        <f aca="false">IF(ISBLANK(N351),"",IF(N351&lt;DATE(2023,5,1),"OLD","NEW"))</f>
        <v>OLD</v>
      </c>
      <c r="S351" s="33" t="n">
        <f aca="false">IF(COUNTIF('[1]Plate_1-2_LongFormat'!$A$2:$A$193,G351)&gt;0,1,0)</f>
        <v>1</v>
      </c>
      <c r="T351" s="33" t="n">
        <f aca="false">IF(COUNTIF([2]Attached_indexes!$C$2:$C$193,G351)&gt;0,1,0)</f>
        <v>1</v>
      </c>
      <c r="U351" s="59"/>
      <c r="V351" s="1" t="s">
        <v>982</v>
      </c>
    </row>
    <row r="352" customFormat="false" ht="15.75" hidden="false" customHeight="true" outlineLevel="0" collapsed="false">
      <c r="A352" s="18" t="s">
        <v>259</v>
      </c>
      <c r="B352" s="18" t="s">
        <v>259</v>
      </c>
      <c r="C352" s="18" t="s">
        <v>40</v>
      </c>
      <c r="E352" s="66" t="n">
        <v>4</v>
      </c>
      <c r="F352" s="21" t="str">
        <f aca="false">CONCATENATE(B352,"_",C352, TEXT(E352, "000"))</f>
        <v>HHBB_M. guttatus004</v>
      </c>
      <c r="G352" s="21" t="s">
        <v>289</v>
      </c>
      <c r="H352" s="18" t="n">
        <v>1</v>
      </c>
      <c r="I352" s="22" t="n">
        <v>44671</v>
      </c>
      <c r="J352" s="2" t="s">
        <v>981</v>
      </c>
      <c r="L352" s="2" t="n">
        <v>1</v>
      </c>
      <c r="M352" s="2" t="n">
        <v>1</v>
      </c>
      <c r="N352" s="3" t="n">
        <v>44999</v>
      </c>
      <c r="O352" s="2" t="n">
        <v>7.87</v>
      </c>
      <c r="P352" s="2" t="n">
        <v>1</v>
      </c>
      <c r="Q352" s="62" t="str">
        <f aca="false">IF(ISBLANK(N352),"",IF(N352&lt;DATE(2023,5,1),"OLD","NEW"))</f>
        <v>OLD</v>
      </c>
      <c r="S352" s="33" t="n">
        <f aca="false">IF(COUNTIF('[1]Plate_1-2_LongFormat'!$A$2:$A$193,G352)&gt;0,1,0)</f>
        <v>1</v>
      </c>
      <c r="T352" s="33" t="n">
        <f aca="false">IF(COUNTIF([2]Attached_indexes!$C$2:$C$193,G352)&gt;0,1,0)</f>
        <v>1</v>
      </c>
      <c r="U352" s="59"/>
      <c r="V352" s="1" t="s">
        <v>982</v>
      </c>
    </row>
    <row r="353" customFormat="false" ht="15.75" hidden="false" customHeight="true" outlineLevel="0" collapsed="false">
      <c r="A353" s="18" t="s">
        <v>259</v>
      </c>
      <c r="B353" s="18" t="s">
        <v>259</v>
      </c>
      <c r="C353" s="18" t="s">
        <v>40</v>
      </c>
      <c r="E353" s="66" t="n">
        <v>5</v>
      </c>
      <c r="F353" s="21" t="str">
        <f aca="false">CONCATENATE(B353,"_",C353, TEXT(E353, "000"))</f>
        <v>HHBB_M. guttatus005</v>
      </c>
      <c r="G353" s="21" t="s">
        <v>290</v>
      </c>
      <c r="H353" s="18" t="n">
        <v>1</v>
      </c>
      <c r="I353" s="22" t="n">
        <v>44671</v>
      </c>
      <c r="J353" s="2" t="s">
        <v>981</v>
      </c>
      <c r="K353" s="68" t="s">
        <v>1019</v>
      </c>
      <c r="L353" s="2" t="n">
        <v>1</v>
      </c>
      <c r="M353" s="2" t="n">
        <v>1</v>
      </c>
      <c r="N353" s="3" t="n">
        <v>44938</v>
      </c>
      <c r="O353" s="2" t="n">
        <v>1.8</v>
      </c>
      <c r="P353" s="2" t="n">
        <v>2</v>
      </c>
      <c r="Q353" s="62" t="str">
        <f aca="false">IF(ISBLANK(N353),"",IF(N353&lt;DATE(2023,5,1),"OLD","NEW"))</f>
        <v>OLD</v>
      </c>
      <c r="S353" s="33" t="n">
        <f aca="false">IF(COUNTIF('[1]Plate_1-2_LongFormat'!$A$2:$A$193,G353)&gt;0,1,0)</f>
        <v>1</v>
      </c>
      <c r="T353" s="33" t="n">
        <f aca="false">IF(COUNTIF([2]Attached_indexes!$C$2:$C$193,G353)&gt;0,1,0)</f>
        <v>1</v>
      </c>
      <c r="U353" s="59"/>
      <c r="V353" s="1" t="s">
        <v>982</v>
      </c>
    </row>
    <row r="354" customFormat="false" ht="15.75" hidden="false" customHeight="true" outlineLevel="0" collapsed="false">
      <c r="A354" s="18" t="s">
        <v>259</v>
      </c>
      <c r="B354" s="18" t="s">
        <v>259</v>
      </c>
      <c r="C354" s="18" t="s">
        <v>40</v>
      </c>
      <c r="E354" s="66" t="n">
        <v>5</v>
      </c>
      <c r="F354" s="21" t="str">
        <f aca="false">CONCATENATE(B354,"_",C354, TEXT(E354, "000"))</f>
        <v>HHBB_M. guttatus005</v>
      </c>
      <c r="G354" s="21" t="s">
        <v>290</v>
      </c>
      <c r="H354" s="18" t="n">
        <v>1</v>
      </c>
      <c r="I354" s="22" t="n">
        <v>44671</v>
      </c>
      <c r="J354" s="2" t="s">
        <v>981</v>
      </c>
      <c r="K354" s="68" t="s">
        <v>1019</v>
      </c>
      <c r="L354" s="2" t="n">
        <v>1</v>
      </c>
      <c r="M354" s="2" t="n">
        <v>1</v>
      </c>
      <c r="N354" s="3" t="n">
        <v>44938</v>
      </c>
      <c r="O354" s="2" t="n">
        <v>1.8</v>
      </c>
      <c r="P354" s="2" t="n">
        <v>2</v>
      </c>
      <c r="Q354" s="62" t="str">
        <f aca="false">IF(ISBLANK(N354),"",IF(N354&lt;DATE(2023,5,1),"OLD","NEW"))</f>
        <v>OLD</v>
      </c>
      <c r="S354" s="33" t="n">
        <f aca="false">IF(COUNTIF('[1]Plate_1-2_LongFormat'!$A$2:$A$193,G354)&gt;0,1,0)</f>
        <v>1</v>
      </c>
      <c r="T354" s="33" t="n">
        <f aca="false">IF(COUNTIF([2]Attached_indexes!$C$2:$C$193,G354)&gt;0,1,0)</f>
        <v>1</v>
      </c>
      <c r="U354" s="59"/>
      <c r="V354" s="1" t="s">
        <v>982</v>
      </c>
    </row>
    <row r="355" customFormat="false" ht="15.75" hidden="false" customHeight="true" outlineLevel="0" collapsed="false">
      <c r="A355" s="18" t="s">
        <v>259</v>
      </c>
      <c r="B355" s="18" t="s">
        <v>259</v>
      </c>
      <c r="C355" s="18" t="s">
        <v>40</v>
      </c>
      <c r="E355" s="66" t="n">
        <v>5</v>
      </c>
      <c r="F355" s="21" t="str">
        <f aca="false">CONCATENATE(B355,"_",C355, TEXT(E355, "000"))</f>
        <v>HHBB_M. guttatus005</v>
      </c>
      <c r="G355" s="21" t="s">
        <v>290</v>
      </c>
      <c r="H355" s="18" t="n">
        <v>1</v>
      </c>
      <c r="I355" s="22" t="n">
        <v>44671</v>
      </c>
      <c r="J355" s="2" t="s">
        <v>981</v>
      </c>
      <c r="K355" s="68" t="s">
        <v>1019</v>
      </c>
      <c r="L355" s="2" t="n">
        <v>1</v>
      </c>
      <c r="M355" s="2" t="n">
        <v>1</v>
      </c>
      <c r="N355" s="3" t="n">
        <v>44938</v>
      </c>
      <c r="O355" s="2" t="n">
        <v>1.8</v>
      </c>
      <c r="P355" s="2" t="n">
        <v>2</v>
      </c>
      <c r="Q355" s="62" t="str">
        <f aca="false">IF(ISBLANK(N355),"",IF(N355&lt;DATE(2023,5,1),"OLD","NEW"))</f>
        <v>OLD</v>
      </c>
      <c r="S355" s="33" t="n">
        <f aca="false">IF(COUNTIF('[1]Plate_1-2_LongFormat'!$A$2:$A$193,G355)&gt;0,1,0)</f>
        <v>1</v>
      </c>
      <c r="T355" s="33" t="n">
        <f aca="false">IF(COUNTIF([2]Attached_indexes!$C$2:$C$193,G355)&gt;0,1,0)</f>
        <v>1</v>
      </c>
      <c r="U355" s="59"/>
      <c r="V355" s="1" t="s">
        <v>982</v>
      </c>
    </row>
    <row r="356" customFormat="false" ht="15.75" hidden="false" customHeight="true" outlineLevel="0" collapsed="false">
      <c r="A356" s="18" t="s">
        <v>259</v>
      </c>
      <c r="B356" s="18" t="s">
        <v>259</v>
      </c>
      <c r="C356" s="18" t="s">
        <v>40</v>
      </c>
      <c r="E356" s="66" t="n">
        <v>6</v>
      </c>
      <c r="F356" s="21" t="str">
        <f aca="false">CONCATENATE(B356,"_",C356, TEXT(E356, "000"))</f>
        <v>HHBB_M. guttatus006</v>
      </c>
      <c r="G356" s="21" t="s">
        <v>292</v>
      </c>
      <c r="H356" s="18" t="n">
        <v>1</v>
      </c>
      <c r="I356" s="22" t="n">
        <v>44671</v>
      </c>
      <c r="J356" s="2" t="s">
        <v>981</v>
      </c>
      <c r="L356" s="2" t="n">
        <v>1</v>
      </c>
      <c r="M356" s="2" t="n">
        <v>1</v>
      </c>
      <c r="N356" s="3" t="n">
        <v>45058</v>
      </c>
      <c r="O356" s="2" t="n">
        <v>11.6</v>
      </c>
      <c r="P356" s="2" t="n">
        <v>3</v>
      </c>
      <c r="Q356" s="62" t="str">
        <f aca="false">IF(ISBLANK(N356),"",IF(N356&lt;DATE(2023,5,1),"OLD","NEW"))</f>
        <v>NEW</v>
      </c>
      <c r="S356" s="33" t="n">
        <f aca="false">IF(COUNTIF('[1]Plate_1-2_LongFormat'!$A$2:$A$193,G356)&gt;0,1,0)</f>
        <v>0</v>
      </c>
      <c r="T356" s="33" t="n">
        <f aca="false">IF(COUNTIF([2]Attached_indexes!$C$2:$C$193,G356)&gt;0,1,0)</f>
        <v>0</v>
      </c>
      <c r="U356" s="59"/>
      <c r="V356" s="1" t="s">
        <v>982</v>
      </c>
    </row>
    <row r="357" customFormat="false" ht="15.75" hidden="false" customHeight="true" outlineLevel="0" collapsed="false">
      <c r="A357" s="18" t="s">
        <v>259</v>
      </c>
      <c r="B357" s="18" t="s">
        <v>259</v>
      </c>
      <c r="C357" s="18" t="s">
        <v>40</v>
      </c>
      <c r="E357" s="66" t="n">
        <v>6</v>
      </c>
      <c r="F357" s="21" t="str">
        <f aca="false">CONCATENATE(B357,"_",C357, TEXT(E357, "000"))</f>
        <v>HHBB_M. guttatus006</v>
      </c>
      <c r="G357" s="21" t="s">
        <v>292</v>
      </c>
      <c r="H357" s="18" t="n">
        <v>1</v>
      </c>
      <c r="I357" s="22" t="n">
        <v>44671</v>
      </c>
      <c r="J357" s="2" t="s">
        <v>981</v>
      </c>
      <c r="L357" s="2" t="n">
        <v>1</v>
      </c>
      <c r="M357" s="2" t="n">
        <v>1</v>
      </c>
      <c r="N357" s="3" t="n">
        <v>45058</v>
      </c>
      <c r="O357" s="2" t="n">
        <v>11.6</v>
      </c>
      <c r="P357" s="2" t="n">
        <v>3</v>
      </c>
      <c r="Q357" s="62" t="str">
        <f aca="false">IF(ISBLANK(N357),"",IF(N357&lt;DATE(2023,5,1),"OLD","NEW"))</f>
        <v>NEW</v>
      </c>
      <c r="S357" s="33" t="n">
        <f aca="false">IF(COUNTIF('[1]Plate_1-2_LongFormat'!$A$2:$A$193,G357)&gt;0,1,0)</f>
        <v>0</v>
      </c>
      <c r="T357" s="33" t="n">
        <f aca="false">IF(COUNTIF([2]Attached_indexes!$C$2:$C$193,G357)&gt;0,1,0)</f>
        <v>0</v>
      </c>
      <c r="U357" s="59"/>
      <c r="V357" s="1" t="s">
        <v>982</v>
      </c>
    </row>
    <row r="358" customFormat="false" ht="15.75" hidden="false" customHeight="true" outlineLevel="0" collapsed="false">
      <c r="A358" s="18" t="s">
        <v>259</v>
      </c>
      <c r="B358" s="18" t="s">
        <v>259</v>
      </c>
      <c r="C358" s="18" t="s">
        <v>40</v>
      </c>
      <c r="E358" s="66" t="n">
        <v>6</v>
      </c>
      <c r="F358" s="21" t="str">
        <f aca="false">CONCATENATE(B358,"_",C358, TEXT(E358, "000"))</f>
        <v>HHBB_M. guttatus006</v>
      </c>
      <c r="G358" s="21" t="s">
        <v>292</v>
      </c>
      <c r="H358" s="18" t="n">
        <v>1</v>
      </c>
      <c r="I358" s="22" t="n">
        <v>44671</v>
      </c>
      <c r="J358" s="2" t="s">
        <v>981</v>
      </c>
      <c r="L358" s="2" t="n">
        <v>1</v>
      </c>
      <c r="M358" s="2" t="n">
        <v>1</v>
      </c>
      <c r="N358" s="3" t="n">
        <v>45058</v>
      </c>
      <c r="O358" s="2" t="n">
        <v>11.6</v>
      </c>
      <c r="P358" s="2" t="n">
        <v>3</v>
      </c>
      <c r="Q358" s="62" t="str">
        <f aca="false">IF(ISBLANK(N358),"",IF(N358&lt;DATE(2023,5,1),"OLD","NEW"))</f>
        <v>NEW</v>
      </c>
      <c r="S358" s="33" t="n">
        <f aca="false">IF(COUNTIF('[1]Plate_1-2_LongFormat'!$A$2:$A$193,G358)&gt;0,1,0)</f>
        <v>0</v>
      </c>
      <c r="T358" s="33" t="n">
        <f aca="false">IF(COUNTIF([2]Attached_indexes!$C$2:$C$193,G358)&gt;0,1,0)</f>
        <v>0</v>
      </c>
      <c r="U358" s="59"/>
      <c r="V358" s="1" t="s">
        <v>982</v>
      </c>
    </row>
    <row r="359" customFormat="false" ht="15.75" hidden="false" customHeight="true" outlineLevel="0" collapsed="false">
      <c r="A359" s="18" t="s">
        <v>259</v>
      </c>
      <c r="B359" s="18" t="s">
        <v>259</v>
      </c>
      <c r="C359" s="18" t="s">
        <v>40</v>
      </c>
      <c r="E359" s="66" t="n">
        <v>7</v>
      </c>
      <c r="F359" s="21" t="str">
        <f aca="false">CONCATENATE(B359,"_",C359, TEXT(E359, "000"))</f>
        <v>HHBB_M. guttatus007</v>
      </c>
      <c r="G359" s="21" t="s">
        <v>294</v>
      </c>
      <c r="H359" s="18" t="n">
        <v>1</v>
      </c>
      <c r="I359" s="22" t="n">
        <v>44671</v>
      </c>
      <c r="J359" s="2" t="s">
        <v>981</v>
      </c>
      <c r="K359" s="2" t="s">
        <v>1020</v>
      </c>
      <c r="L359" s="2" t="n">
        <v>1</v>
      </c>
      <c r="M359" s="2" t="n">
        <v>1</v>
      </c>
      <c r="N359" s="3" t="n">
        <v>45056</v>
      </c>
      <c r="O359" s="2" t="n">
        <v>17.7</v>
      </c>
      <c r="P359" s="2" t="n">
        <v>3</v>
      </c>
      <c r="Q359" s="62" t="str">
        <f aca="false">IF(ISBLANK(N359),"",IF(N359&lt;DATE(2023,5,1),"OLD","NEW"))</f>
        <v>NEW</v>
      </c>
      <c r="S359" s="33" t="n">
        <f aca="false">IF(COUNTIF('[1]Plate_1-2_LongFormat'!$A$2:$A$193,G359)&gt;0,1,0)</f>
        <v>0</v>
      </c>
      <c r="T359" s="33" t="n">
        <f aca="false">IF(COUNTIF([2]Attached_indexes!$C$2:$C$193,G359)&gt;0,1,0)</f>
        <v>0</v>
      </c>
      <c r="U359" s="59"/>
      <c r="V359" s="1" t="s">
        <v>982</v>
      </c>
    </row>
    <row r="360" customFormat="false" ht="15.75" hidden="false" customHeight="true" outlineLevel="0" collapsed="false">
      <c r="A360" s="18" t="s">
        <v>259</v>
      </c>
      <c r="B360" s="18" t="s">
        <v>259</v>
      </c>
      <c r="C360" s="18" t="s">
        <v>40</v>
      </c>
      <c r="E360" s="66" t="n">
        <v>7</v>
      </c>
      <c r="F360" s="21" t="str">
        <f aca="false">CONCATENATE(B360,"_",C360, TEXT(E360, "000"))</f>
        <v>HHBB_M. guttatus007</v>
      </c>
      <c r="G360" s="21" t="s">
        <v>294</v>
      </c>
      <c r="H360" s="18" t="n">
        <v>1</v>
      </c>
      <c r="I360" s="22" t="n">
        <v>44671</v>
      </c>
      <c r="J360" s="2" t="s">
        <v>981</v>
      </c>
      <c r="K360" s="2" t="s">
        <v>1020</v>
      </c>
      <c r="L360" s="2" t="n">
        <v>1</v>
      </c>
      <c r="M360" s="2" t="n">
        <v>1</v>
      </c>
      <c r="N360" s="3" t="n">
        <v>45056</v>
      </c>
      <c r="O360" s="2" t="n">
        <v>17.7</v>
      </c>
      <c r="P360" s="2" t="n">
        <v>3</v>
      </c>
      <c r="Q360" s="62" t="str">
        <f aca="false">IF(ISBLANK(N360),"",IF(N360&lt;DATE(2023,5,1),"OLD","NEW"))</f>
        <v>NEW</v>
      </c>
      <c r="S360" s="33" t="n">
        <f aca="false">IF(COUNTIF('[1]Plate_1-2_LongFormat'!$A$2:$A$193,G360)&gt;0,1,0)</f>
        <v>0</v>
      </c>
      <c r="T360" s="33" t="n">
        <f aca="false">IF(COUNTIF([2]Attached_indexes!$C$2:$C$193,G360)&gt;0,1,0)</f>
        <v>0</v>
      </c>
      <c r="U360" s="59"/>
      <c r="V360" s="1" t="s">
        <v>982</v>
      </c>
    </row>
    <row r="361" customFormat="false" ht="15.75" hidden="false" customHeight="true" outlineLevel="0" collapsed="false">
      <c r="A361" s="18" t="s">
        <v>259</v>
      </c>
      <c r="B361" s="18" t="s">
        <v>259</v>
      </c>
      <c r="C361" s="18" t="s">
        <v>40</v>
      </c>
      <c r="E361" s="66" t="n">
        <v>7</v>
      </c>
      <c r="F361" s="21" t="str">
        <f aca="false">CONCATENATE(B361,"_",C361, TEXT(E361, "000"))</f>
        <v>HHBB_M. guttatus007</v>
      </c>
      <c r="G361" s="21" t="s">
        <v>294</v>
      </c>
      <c r="H361" s="18" t="n">
        <v>1</v>
      </c>
      <c r="I361" s="22" t="n">
        <v>44671</v>
      </c>
      <c r="J361" s="2" t="s">
        <v>981</v>
      </c>
      <c r="K361" s="2" t="s">
        <v>1020</v>
      </c>
      <c r="L361" s="2" t="n">
        <v>1</v>
      </c>
      <c r="M361" s="2" t="n">
        <v>1</v>
      </c>
      <c r="N361" s="3" t="n">
        <v>45056</v>
      </c>
      <c r="O361" s="2" t="n">
        <v>17.7</v>
      </c>
      <c r="P361" s="2" t="n">
        <v>3</v>
      </c>
      <c r="Q361" s="62" t="str">
        <f aca="false">IF(ISBLANK(N361),"",IF(N361&lt;DATE(2023,5,1),"OLD","NEW"))</f>
        <v>NEW</v>
      </c>
      <c r="S361" s="33" t="n">
        <f aca="false">IF(COUNTIF('[1]Plate_1-2_LongFormat'!$A$2:$A$193,G361)&gt;0,1,0)</f>
        <v>0</v>
      </c>
      <c r="T361" s="33" t="n">
        <f aca="false">IF(COUNTIF([2]Attached_indexes!$C$2:$C$193,G361)&gt;0,1,0)</f>
        <v>0</v>
      </c>
      <c r="U361" s="59"/>
      <c r="V361" s="1" t="s">
        <v>982</v>
      </c>
    </row>
    <row r="362" customFormat="false" ht="15.75" hidden="false" customHeight="true" outlineLevel="0" collapsed="false">
      <c r="A362" s="18" t="s">
        <v>259</v>
      </c>
      <c r="B362" s="18" t="s">
        <v>259</v>
      </c>
      <c r="C362" s="18" t="s">
        <v>40</v>
      </c>
      <c r="E362" s="66" t="n">
        <v>8</v>
      </c>
      <c r="F362" s="21" t="str">
        <f aca="false">CONCATENATE(B362,"_",C362, TEXT(E362, "000"))</f>
        <v>HHBB_M. guttatus008</v>
      </c>
      <c r="G362" s="21" t="s">
        <v>296</v>
      </c>
      <c r="H362" s="18" t="n">
        <v>1</v>
      </c>
      <c r="I362" s="22" t="n">
        <v>44671</v>
      </c>
      <c r="J362" s="2" t="s">
        <v>981</v>
      </c>
      <c r="L362" s="2" t="n">
        <v>1</v>
      </c>
      <c r="M362" s="2" t="n">
        <v>1</v>
      </c>
      <c r="N362" s="3" t="n">
        <v>45056</v>
      </c>
      <c r="O362" s="2" t="n">
        <v>16.9</v>
      </c>
      <c r="P362" s="2" t="n">
        <v>3</v>
      </c>
      <c r="Q362" s="62" t="str">
        <f aca="false">IF(ISBLANK(N362),"",IF(N362&lt;DATE(2023,5,1),"OLD","NEW"))</f>
        <v>NEW</v>
      </c>
      <c r="S362" s="33" t="n">
        <f aca="false">IF(COUNTIF('[1]Plate_1-2_LongFormat'!$A$2:$A$193,G362)&gt;0,1,0)</f>
        <v>0</v>
      </c>
      <c r="T362" s="33" t="n">
        <f aca="false">IF(COUNTIF([2]Attached_indexes!$C$2:$C$193,G362)&gt;0,1,0)</f>
        <v>0</v>
      </c>
      <c r="U362" s="59"/>
      <c r="V362" s="1" t="s">
        <v>982</v>
      </c>
    </row>
    <row r="363" customFormat="false" ht="15.75" hidden="false" customHeight="true" outlineLevel="0" collapsed="false">
      <c r="A363" s="18" t="s">
        <v>259</v>
      </c>
      <c r="B363" s="18" t="s">
        <v>259</v>
      </c>
      <c r="C363" s="18" t="s">
        <v>40</v>
      </c>
      <c r="E363" s="66" t="n">
        <v>8</v>
      </c>
      <c r="F363" s="21" t="str">
        <f aca="false">CONCATENATE(B363,"_",C363, TEXT(E363, "000"))</f>
        <v>HHBB_M. guttatus008</v>
      </c>
      <c r="G363" s="21" t="s">
        <v>296</v>
      </c>
      <c r="H363" s="18" t="n">
        <v>1</v>
      </c>
      <c r="I363" s="22" t="n">
        <v>44671</v>
      </c>
      <c r="J363" s="2" t="s">
        <v>981</v>
      </c>
      <c r="L363" s="2" t="n">
        <v>1</v>
      </c>
      <c r="M363" s="2" t="n">
        <v>1</v>
      </c>
      <c r="N363" s="3" t="n">
        <v>45056</v>
      </c>
      <c r="O363" s="2" t="n">
        <v>16.9</v>
      </c>
      <c r="P363" s="2" t="n">
        <v>3</v>
      </c>
      <c r="Q363" s="62" t="str">
        <f aca="false">IF(ISBLANK(N363),"",IF(N363&lt;DATE(2023,5,1),"OLD","NEW"))</f>
        <v>NEW</v>
      </c>
      <c r="S363" s="33" t="n">
        <f aca="false">IF(COUNTIF('[1]Plate_1-2_LongFormat'!$A$2:$A$193,G363)&gt;0,1,0)</f>
        <v>0</v>
      </c>
      <c r="T363" s="33" t="n">
        <f aca="false">IF(COUNTIF([2]Attached_indexes!$C$2:$C$193,G363)&gt;0,1,0)</f>
        <v>0</v>
      </c>
      <c r="U363" s="59"/>
      <c r="V363" s="1" t="s">
        <v>982</v>
      </c>
    </row>
    <row r="364" customFormat="false" ht="15.75" hidden="false" customHeight="true" outlineLevel="0" collapsed="false">
      <c r="A364" s="18" t="s">
        <v>259</v>
      </c>
      <c r="B364" s="18" t="s">
        <v>259</v>
      </c>
      <c r="C364" s="18" t="s">
        <v>40</v>
      </c>
      <c r="E364" s="66" t="n">
        <v>8</v>
      </c>
      <c r="F364" s="21" t="str">
        <f aca="false">CONCATENATE(B364,"_",C364, TEXT(E364, "000"))</f>
        <v>HHBB_M. guttatus008</v>
      </c>
      <c r="G364" s="21" t="s">
        <v>296</v>
      </c>
      <c r="H364" s="18" t="n">
        <v>1</v>
      </c>
      <c r="I364" s="22" t="n">
        <v>44671</v>
      </c>
      <c r="J364" s="2" t="s">
        <v>981</v>
      </c>
      <c r="L364" s="2" t="n">
        <v>1</v>
      </c>
      <c r="M364" s="2" t="n">
        <v>1</v>
      </c>
      <c r="N364" s="3" t="n">
        <v>45056</v>
      </c>
      <c r="O364" s="2" t="n">
        <v>16.9</v>
      </c>
      <c r="P364" s="2" t="n">
        <v>3</v>
      </c>
      <c r="Q364" s="62" t="str">
        <f aca="false">IF(ISBLANK(N364),"",IF(N364&lt;DATE(2023,5,1),"OLD","NEW"))</f>
        <v>NEW</v>
      </c>
      <c r="S364" s="33" t="n">
        <f aca="false">IF(COUNTIF('[1]Plate_1-2_LongFormat'!$A$2:$A$193,G364)&gt;0,1,0)</f>
        <v>0</v>
      </c>
      <c r="T364" s="33" t="n">
        <f aca="false">IF(COUNTIF([2]Attached_indexes!$C$2:$C$193,G364)&gt;0,1,0)</f>
        <v>0</v>
      </c>
      <c r="U364" s="59"/>
      <c r="V364" s="1" t="s">
        <v>982</v>
      </c>
    </row>
    <row r="365" customFormat="false" ht="15.75" hidden="false" customHeight="true" outlineLevel="0" collapsed="false">
      <c r="A365" s="18" t="s">
        <v>259</v>
      </c>
      <c r="B365" s="18" t="s">
        <v>259</v>
      </c>
      <c r="C365" s="18" t="s">
        <v>40</v>
      </c>
      <c r="E365" s="66" t="n">
        <v>9</v>
      </c>
      <c r="F365" s="21" t="str">
        <f aca="false">CONCATENATE(B365,"_",C365, TEXT(E365, "000"))</f>
        <v>HHBB_M. guttatus009</v>
      </c>
      <c r="G365" s="21" t="s">
        <v>298</v>
      </c>
      <c r="H365" s="18" t="n">
        <v>1</v>
      </c>
      <c r="I365" s="22" t="n">
        <v>44671</v>
      </c>
      <c r="J365" s="2" t="s">
        <v>981</v>
      </c>
      <c r="K365" s="68" t="s">
        <v>1021</v>
      </c>
      <c r="L365" s="2" t="n">
        <v>1</v>
      </c>
      <c r="M365" s="2" t="n">
        <v>1</v>
      </c>
      <c r="N365" s="3" t="n">
        <v>44999</v>
      </c>
      <c r="O365" s="2" t="n">
        <v>2.09</v>
      </c>
      <c r="P365" s="2" t="n">
        <v>3</v>
      </c>
      <c r="Q365" s="62" t="str">
        <f aca="false">IF(ISBLANK(N365),"",IF(N365&lt;DATE(2023,5,1),"OLD","NEW"))</f>
        <v>OLD</v>
      </c>
      <c r="S365" s="33" t="n">
        <f aca="false">IF(COUNTIF('[1]Plate_1-2_LongFormat'!$A$2:$A$193,G365)&gt;0,1,0)</f>
        <v>1</v>
      </c>
      <c r="T365" s="33" t="n">
        <f aca="false">IF(COUNTIF([2]Attached_indexes!$C$2:$C$193,G365)&gt;0,1,0)</f>
        <v>1</v>
      </c>
      <c r="U365" s="59"/>
      <c r="V365" s="1" t="s">
        <v>982</v>
      </c>
    </row>
    <row r="366" customFormat="false" ht="15.75" hidden="false" customHeight="true" outlineLevel="0" collapsed="false">
      <c r="A366" s="18" t="s">
        <v>259</v>
      </c>
      <c r="B366" s="18" t="s">
        <v>259</v>
      </c>
      <c r="C366" s="18" t="s">
        <v>40</v>
      </c>
      <c r="E366" s="66" t="n">
        <v>9</v>
      </c>
      <c r="F366" s="21" t="str">
        <f aca="false">CONCATENATE(B366,"_",C366, TEXT(E366, "000"))</f>
        <v>HHBB_M. guttatus009</v>
      </c>
      <c r="G366" s="21" t="s">
        <v>298</v>
      </c>
      <c r="H366" s="18" t="n">
        <v>1</v>
      </c>
      <c r="I366" s="22" t="n">
        <v>44671</v>
      </c>
      <c r="J366" s="2" t="s">
        <v>981</v>
      </c>
      <c r="K366" s="68" t="s">
        <v>1021</v>
      </c>
      <c r="L366" s="2" t="n">
        <v>1</v>
      </c>
      <c r="M366" s="2" t="n">
        <v>1</v>
      </c>
      <c r="N366" s="3" t="n">
        <v>44999</v>
      </c>
      <c r="O366" s="2" t="n">
        <v>2.09</v>
      </c>
      <c r="P366" s="2" t="n">
        <v>3</v>
      </c>
      <c r="Q366" s="62" t="str">
        <f aca="false">IF(ISBLANK(N366),"",IF(N366&lt;DATE(2023,5,1),"OLD","NEW"))</f>
        <v>OLD</v>
      </c>
      <c r="S366" s="33" t="n">
        <f aca="false">IF(COUNTIF('[1]Plate_1-2_LongFormat'!$A$2:$A$193,G366)&gt;0,1,0)</f>
        <v>1</v>
      </c>
      <c r="T366" s="33" t="n">
        <f aca="false">IF(COUNTIF([2]Attached_indexes!$C$2:$C$193,G366)&gt;0,1,0)</f>
        <v>1</v>
      </c>
      <c r="U366" s="59"/>
      <c r="V366" s="1" t="s">
        <v>982</v>
      </c>
    </row>
    <row r="367" customFormat="false" ht="15.75" hidden="false" customHeight="true" outlineLevel="0" collapsed="false">
      <c r="A367" s="18" t="s">
        <v>259</v>
      </c>
      <c r="B367" s="18" t="s">
        <v>259</v>
      </c>
      <c r="C367" s="18" t="s">
        <v>40</v>
      </c>
      <c r="E367" s="66" t="n">
        <v>9</v>
      </c>
      <c r="F367" s="21" t="str">
        <f aca="false">CONCATENATE(B367,"_",C367, TEXT(E367, "000"))</f>
        <v>HHBB_M. guttatus009</v>
      </c>
      <c r="G367" s="21" t="s">
        <v>298</v>
      </c>
      <c r="H367" s="18" t="n">
        <v>1</v>
      </c>
      <c r="I367" s="22" t="n">
        <v>44671</v>
      </c>
      <c r="J367" s="2" t="s">
        <v>981</v>
      </c>
      <c r="K367" s="68" t="s">
        <v>1021</v>
      </c>
      <c r="L367" s="2" t="n">
        <v>1</v>
      </c>
      <c r="M367" s="2" t="n">
        <v>1</v>
      </c>
      <c r="N367" s="3" t="n">
        <v>44999</v>
      </c>
      <c r="O367" s="2" t="n">
        <v>2.09</v>
      </c>
      <c r="P367" s="2" t="n">
        <v>3</v>
      </c>
      <c r="Q367" s="62" t="str">
        <f aca="false">IF(ISBLANK(N367),"",IF(N367&lt;DATE(2023,5,1),"OLD","NEW"))</f>
        <v>OLD</v>
      </c>
      <c r="S367" s="33" t="n">
        <f aca="false">IF(COUNTIF('[1]Plate_1-2_LongFormat'!$A$2:$A$193,G367)&gt;0,1,0)</f>
        <v>1</v>
      </c>
      <c r="T367" s="33" t="n">
        <f aca="false">IF(COUNTIF([2]Attached_indexes!$C$2:$C$193,G367)&gt;0,1,0)</f>
        <v>1</v>
      </c>
      <c r="U367" s="59"/>
      <c r="V367" s="1" t="s">
        <v>982</v>
      </c>
    </row>
    <row r="368" customFormat="false" ht="15.75" hidden="false" customHeight="true" outlineLevel="0" collapsed="false">
      <c r="A368" s="18" t="s">
        <v>259</v>
      </c>
      <c r="B368" s="18" t="s">
        <v>259</v>
      </c>
      <c r="C368" s="18" t="s">
        <v>31</v>
      </c>
      <c r="E368" s="66" t="n">
        <v>1</v>
      </c>
      <c r="F368" s="21" t="str">
        <f aca="false">CONCATENATE(B368,"_",C368, TEXT(E368, "000"))</f>
        <v>HHBB_M. laciniatus001</v>
      </c>
      <c r="G368" s="21" t="s">
        <v>260</v>
      </c>
      <c r="H368" s="18" t="n">
        <v>1</v>
      </c>
      <c r="I368" s="22" t="n">
        <v>44671</v>
      </c>
      <c r="J368" s="2" t="s">
        <v>981</v>
      </c>
      <c r="L368" s="2" t="n">
        <v>1</v>
      </c>
      <c r="M368" s="2" t="n">
        <v>1</v>
      </c>
      <c r="N368" s="3" t="n">
        <v>45058</v>
      </c>
      <c r="O368" s="2" t="n">
        <v>12.2</v>
      </c>
      <c r="P368" s="2" t="n">
        <v>3</v>
      </c>
      <c r="Q368" s="62" t="str">
        <f aca="false">IF(ISBLANK(N368),"",IF(N368&lt;DATE(2023,5,1),"OLD","NEW"))</f>
        <v>NEW</v>
      </c>
      <c r="S368" s="33" t="n">
        <f aca="false">IF(COUNTIF('[1]Plate_1-2_LongFormat'!$A$2:$A$193,G368)&gt;0,1,0)</f>
        <v>0</v>
      </c>
      <c r="T368" s="33" t="n">
        <f aca="false">IF(COUNTIF([2]Attached_indexes!$C$2:$C$193,G368)&gt;0,1,0)</f>
        <v>0</v>
      </c>
      <c r="U368" s="59"/>
      <c r="V368" s="1" t="s">
        <v>982</v>
      </c>
    </row>
    <row r="369" customFormat="false" ht="15.75" hidden="false" customHeight="true" outlineLevel="0" collapsed="false">
      <c r="A369" s="18" t="s">
        <v>259</v>
      </c>
      <c r="B369" s="18" t="s">
        <v>259</v>
      </c>
      <c r="C369" s="18" t="s">
        <v>31</v>
      </c>
      <c r="E369" s="66" t="n">
        <v>1</v>
      </c>
      <c r="F369" s="21" t="str">
        <f aca="false">CONCATENATE(B369,"_",C369, TEXT(E369, "000"))</f>
        <v>HHBB_M. laciniatus001</v>
      </c>
      <c r="G369" s="21" t="s">
        <v>260</v>
      </c>
      <c r="H369" s="18" t="n">
        <v>1</v>
      </c>
      <c r="I369" s="22" t="n">
        <v>44671</v>
      </c>
      <c r="J369" s="2" t="s">
        <v>981</v>
      </c>
      <c r="L369" s="2" t="n">
        <v>1</v>
      </c>
      <c r="M369" s="2" t="n">
        <v>1</v>
      </c>
      <c r="N369" s="3" t="n">
        <v>45058</v>
      </c>
      <c r="O369" s="2" t="n">
        <v>12.2</v>
      </c>
      <c r="P369" s="2" t="n">
        <v>3</v>
      </c>
      <c r="Q369" s="62" t="str">
        <f aca="false">IF(ISBLANK(N369),"",IF(N369&lt;DATE(2023,5,1),"OLD","NEW"))</f>
        <v>NEW</v>
      </c>
      <c r="S369" s="33" t="n">
        <f aca="false">IF(COUNTIF('[1]Plate_1-2_LongFormat'!$A$2:$A$193,G369)&gt;0,1,0)</f>
        <v>0</v>
      </c>
      <c r="T369" s="33" t="n">
        <f aca="false">IF(COUNTIF([2]Attached_indexes!$C$2:$C$193,G369)&gt;0,1,0)</f>
        <v>0</v>
      </c>
      <c r="U369" s="59"/>
      <c r="V369" s="1" t="s">
        <v>982</v>
      </c>
    </row>
    <row r="370" customFormat="false" ht="15.75" hidden="false" customHeight="true" outlineLevel="0" collapsed="false">
      <c r="A370" s="18" t="s">
        <v>259</v>
      </c>
      <c r="B370" s="18" t="s">
        <v>259</v>
      </c>
      <c r="C370" s="18" t="s">
        <v>31</v>
      </c>
      <c r="E370" s="66" t="n">
        <v>1</v>
      </c>
      <c r="F370" s="21" t="str">
        <f aca="false">CONCATENATE(B370,"_",C370, TEXT(E370, "000"))</f>
        <v>HHBB_M. laciniatus001</v>
      </c>
      <c r="G370" s="21" t="s">
        <v>260</v>
      </c>
      <c r="H370" s="18" t="n">
        <v>1</v>
      </c>
      <c r="I370" s="22" t="n">
        <v>44671</v>
      </c>
      <c r="J370" s="2" t="s">
        <v>981</v>
      </c>
      <c r="L370" s="2" t="n">
        <v>1</v>
      </c>
      <c r="M370" s="2" t="n">
        <v>1</v>
      </c>
      <c r="N370" s="3" t="n">
        <v>45058</v>
      </c>
      <c r="O370" s="2" t="n">
        <v>12.2</v>
      </c>
      <c r="P370" s="2" t="n">
        <v>3</v>
      </c>
      <c r="Q370" s="62" t="str">
        <f aca="false">IF(ISBLANK(N370),"",IF(N370&lt;DATE(2023,5,1),"OLD","NEW"))</f>
        <v>NEW</v>
      </c>
      <c r="S370" s="33" t="n">
        <f aca="false">IF(COUNTIF('[1]Plate_1-2_LongFormat'!$A$2:$A$193,G370)&gt;0,1,0)</f>
        <v>0</v>
      </c>
      <c r="T370" s="33" t="n">
        <f aca="false">IF(COUNTIF([2]Attached_indexes!$C$2:$C$193,G370)&gt;0,1,0)</f>
        <v>0</v>
      </c>
      <c r="U370" s="59"/>
      <c r="V370" s="1" t="s">
        <v>982</v>
      </c>
    </row>
    <row r="371" customFormat="false" ht="15.75" hidden="false" customHeight="true" outlineLevel="0" collapsed="false">
      <c r="A371" s="18" t="s">
        <v>259</v>
      </c>
      <c r="B371" s="18" t="s">
        <v>259</v>
      </c>
      <c r="C371" s="18" t="s">
        <v>31</v>
      </c>
      <c r="E371" s="66" t="n">
        <v>10</v>
      </c>
      <c r="F371" s="21" t="str">
        <f aca="false">CONCATENATE(B371,"_",C371, TEXT(E371, "000"))</f>
        <v>HHBB_M. laciniatus010</v>
      </c>
      <c r="G371" s="21" t="s">
        <v>281</v>
      </c>
      <c r="H371" s="18" t="n">
        <v>1</v>
      </c>
      <c r="I371" s="22" t="n">
        <v>44671</v>
      </c>
      <c r="J371" s="2" t="s">
        <v>981</v>
      </c>
      <c r="L371" s="2" t="n">
        <v>1</v>
      </c>
      <c r="M371" s="2" t="n">
        <v>1</v>
      </c>
      <c r="N371" s="3" t="n">
        <v>44842</v>
      </c>
      <c r="O371" s="2" t="n">
        <v>0.283</v>
      </c>
      <c r="Q371" s="62" t="str">
        <f aca="false">IF(ISBLANK(N371),"",IF(N371&lt;DATE(2023,5,1),"OLD","NEW"))</f>
        <v>OLD</v>
      </c>
      <c r="S371" s="33" t="n">
        <f aca="false">IF(COUNTIF('[1]Plate_1-2_LongFormat'!$A$2:$A$193,G371)&gt;0,1,0)</f>
        <v>1</v>
      </c>
      <c r="T371" s="33" t="n">
        <f aca="false">IF(COUNTIF([2]Attached_indexes!$C$2:$C$193,G371)&gt;0,1,0)</f>
        <v>1</v>
      </c>
      <c r="U371" s="59"/>
      <c r="V371" s="1" t="s">
        <v>982</v>
      </c>
    </row>
    <row r="372" customFormat="false" ht="15.75" hidden="false" customHeight="true" outlineLevel="0" collapsed="false">
      <c r="A372" s="18" t="s">
        <v>259</v>
      </c>
      <c r="B372" s="18" t="s">
        <v>259</v>
      </c>
      <c r="C372" s="18" t="s">
        <v>31</v>
      </c>
      <c r="E372" s="66" t="n">
        <v>10</v>
      </c>
      <c r="F372" s="21" t="str">
        <f aca="false">CONCATENATE(B372,"_",C372, TEXT(E372, "000"))</f>
        <v>HHBB_M. laciniatus010</v>
      </c>
      <c r="G372" s="21" t="s">
        <v>281</v>
      </c>
      <c r="H372" s="18" t="n">
        <v>1</v>
      </c>
      <c r="I372" s="22" t="n">
        <v>44671</v>
      </c>
      <c r="J372" s="2" t="s">
        <v>981</v>
      </c>
      <c r="L372" s="2" t="n">
        <v>1</v>
      </c>
      <c r="M372" s="2" t="n">
        <v>1</v>
      </c>
      <c r="N372" s="3" t="n">
        <v>44842</v>
      </c>
      <c r="O372" s="2" t="n">
        <v>0.283</v>
      </c>
      <c r="Q372" s="62" t="str">
        <f aca="false">IF(ISBLANK(N372),"",IF(N372&lt;DATE(2023,5,1),"OLD","NEW"))</f>
        <v>OLD</v>
      </c>
      <c r="S372" s="33" t="n">
        <f aca="false">IF(COUNTIF('[1]Plate_1-2_LongFormat'!$A$2:$A$193,G372)&gt;0,1,0)</f>
        <v>1</v>
      </c>
      <c r="T372" s="33" t="n">
        <f aca="false">IF(COUNTIF([2]Attached_indexes!$C$2:$C$193,G372)&gt;0,1,0)</f>
        <v>1</v>
      </c>
      <c r="U372" s="59"/>
      <c r="V372" s="1" t="s">
        <v>982</v>
      </c>
    </row>
    <row r="373" customFormat="false" ht="15.75" hidden="false" customHeight="true" outlineLevel="0" collapsed="false">
      <c r="A373" s="18" t="s">
        <v>259</v>
      </c>
      <c r="B373" s="18" t="s">
        <v>259</v>
      </c>
      <c r="C373" s="18" t="s">
        <v>31</v>
      </c>
      <c r="E373" s="66" t="n">
        <v>10</v>
      </c>
      <c r="F373" s="21" t="str">
        <f aca="false">CONCATENATE(B373,"_",C373, TEXT(E373, "000"))</f>
        <v>HHBB_M. laciniatus010</v>
      </c>
      <c r="G373" s="21" t="s">
        <v>281</v>
      </c>
      <c r="H373" s="18" t="n">
        <v>1</v>
      </c>
      <c r="I373" s="22" t="n">
        <v>44671</v>
      </c>
      <c r="J373" s="2" t="s">
        <v>981</v>
      </c>
      <c r="L373" s="2" t="n">
        <v>1</v>
      </c>
      <c r="M373" s="2" t="n">
        <v>1</v>
      </c>
      <c r="N373" s="3" t="n">
        <v>44842</v>
      </c>
      <c r="O373" s="2" t="n">
        <v>0.283</v>
      </c>
      <c r="Q373" s="62" t="str">
        <f aca="false">IF(ISBLANK(N373),"",IF(N373&lt;DATE(2023,5,1),"OLD","NEW"))</f>
        <v>OLD</v>
      </c>
      <c r="S373" s="33" t="n">
        <f aca="false">IF(COUNTIF('[1]Plate_1-2_LongFormat'!$A$2:$A$193,G373)&gt;0,1,0)</f>
        <v>1</v>
      </c>
      <c r="T373" s="33" t="n">
        <f aca="false">IF(COUNTIF([2]Attached_indexes!$C$2:$C$193,G373)&gt;0,1,0)</f>
        <v>1</v>
      </c>
      <c r="U373" s="59"/>
      <c r="V373" s="1" t="s">
        <v>982</v>
      </c>
    </row>
    <row r="374" customFormat="false" ht="15.75" hidden="false" customHeight="true" outlineLevel="0" collapsed="false">
      <c r="A374" s="18" t="s">
        <v>259</v>
      </c>
      <c r="B374" s="18" t="s">
        <v>259</v>
      </c>
      <c r="C374" s="18" t="s">
        <v>31</v>
      </c>
      <c r="E374" s="66" t="n">
        <v>2</v>
      </c>
      <c r="F374" s="21" t="str">
        <f aca="false">CONCATENATE(B374,"_",C374, TEXT(E374, "000"))</f>
        <v>HHBB_M. laciniatus002</v>
      </c>
      <c r="G374" s="21" t="s">
        <v>267</v>
      </c>
      <c r="H374" s="18" t="n">
        <v>1</v>
      </c>
      <c r="I374" s="22" t="n">
        <v>44671</v>
      </c>
      <c r="J374" s="2" t="s">
        <v>981</v>
      </c>
      <c r="K374" s="68" t="s">
        <v>1022</v>
      </c>
      <c r="L374" s="2" t="n">
        <v>1</v>
      </c>
      <c r="M374" s="2" t="n">
        <v>1</v>
      </c>
      <c r="N374" s="3" t="n">
        <v>44945</v>
      </c>
      <c r="O374" s="2" t="n">
        <v>1.67</v>
      </c>
      <c r="P374" s="2" t="n">
        <v>2</v>
      </c>
      <c r="Q374" s="62" t="str">
        <f aca="false">IF(ISBLANK(N374),"",IF(N374&lt;DATE(2023,5,1),"OLD","NEW"))</f>
        <v>OLD</v>
      </c>
      <c r="S374" s="33" t="n">
        <f aca="false">IF(COUNTIF('[1]Plate_1-2_LongFormat'!$A$2:$A$193,G374)&gt;0,1,0)</f>
        <v>1</v>
      </c>
      <c r="T374" s="33" t="n">
        <f aca="false">IF(COUNTIF([2]Attached_indexes!$C$2:$C$193,G374)&gt;0,1,0)</f>
        <v>1</v>
      </c>
      <c r="U374" s="59"/>
      <c r="V374" s="1" t="s">
        <v>982</v>
      </c>
    </row>
    <row r="375" customFormat="false" ht="15.75" hidden="false" customHeight="true" outlineLevel="0" collapsed="false">
      <c r="A375" s="18" t="s">
        <v>259</v>
      </c>
      <c r="B375" s="18" t="s">
        <v>259</v>
      </c>
      <c r="C375" s="18" t="s">
        <v>31</v>
      </c>
      <c r="E375" s="66" t="n">
        <v>2</v>
      </c>
      <c r="F375" s="21" t="str">
        <f aca="false">CONCATENATE(B375,"_",C375, TEXT(E375, "000"))</f>
        <v>HHBB_M. laciniatus002</v>
      </c>
      <c r="G375" s="21" t="s">
        <v>267</v>
      </c>
      <c r="H375" s="18" t="n">
        <v>1</v>
      </c>
      <c r="I375" s="22" t="n">
        <v>44671</v>
      </c>
      <c r="J375" s="2" t="s">
        <v>981</v>
      </c>
      <c r="K375" s="68" t="s">
        <v>1022</v>
      </c>
      <c r="L375" s="2" t="n">
        <v>1</v>
      </c>
      <c r="M375" s="2" t="n">
        <v>1</v>
      </c>
      <c r="N375" s="3" t="n">
        <v>44945</v>
      </c>
      <c r="O375" s="2" t="n">
        <v>1.67</v>
      </c>
      <c r="P375" s="2" t="n">
        <v>2</v>
      </c>
      <c r="Q375" s="62" t="str">
        <f aca="false">IF(ISBLANK(N375),"",IF(N375&lt;DATE(2023,5,1),"OLD","NEW"))</f>
        <v>OLD</v>
      </c>
      <c r="S375" s="33" t="n">
        <f aca="false">IF(COUNTIF('[1]Plate_1-2_LongFormat'!$A$2:$A$193,G375)&gt;0,1,0)</f>
        <v>1</v>
      </c>
      <c r="T375" s="33" t="n">
        <f aca="false">IF(COUNTIF([2]Attached_indexes!$C$2:$C$193,G375)&gt;0,1,0)</f>
        <v>1</v>
      </c>
      <c r="U375" s="59"/>
      <c r="V375" s="1" t="s">
        <v>982</v>
      </c>
    </row>
    <row r="376" customFormat="false" ht="15.75" hidden="false" customHeight="true" outlineLevel="0" collapsed="false">
      <c r="A376" s="18" t="s">
        <v>259</v>
      </c>
      <c r="B376" s="18" t="s">
        <v>259</v>
      </c>
      <c r="C376" s="18" t="s">
        <v>31</v>
      </c>
      <c r="E376" s="66" t="n">
        <v>2</v>
      </c>
      <c r="F376" s="21" t="str">
        <f aca="false">CONCATENATE(B376,"_",C376, TEXT(E376, "000"))</f>
        <v>HHBB_M. laciniatus002</v>
      </c>
      <c r="G376" s="21" t="s">
        <v>267</v>
      </c>
      <c r="H376" s="18" t="n">
        <v>1</v>
      </c>
      <c r="I376" s="22" t="n">
        <v>44671</v>
      </c>
      <c r="J376" s="2" t="s">
        <v>981</v>
      </c>
      <c r="K376" s="68" t="s">
        <v>1022</v>
      </c>
      <c r="L376" s="2" t="n">
        <v>1</v>
      </c>
      <c r="M376" s="2" t="n">
        <v>1</v>
      </c>
      <c r="N376" s="3" t="n">
        <v>44945</v>
      </c>
      <c r="O376" s="2" t="n">
        <v>1.67</v>
      </c>
      <c r="P376" s="2" t="n">
        <v>2</v>
      </c>
      <c r="Q376" s="62" t="str">
        <f aca="false">IF(ISBLANK(N376),"",IF(N376&lt;DATE(2023,5,1),"OLD","NEW"))</f>
        <v>OLD</v>
      </c>
      <c r="S376" s="33" t="n">
        <f aca="false">IF(COUNTIF('[1]Plate_1-2_LongFormat'!$A$2:$A$193,G376)&gt;0,1,0)</f>
        <v>1</v>
      </c>
      <c r="T376" s="33" t="n">
        <f aca="false">IF(COUNTIF([2]Attached_indexes!$C$2:$C$193,G376)&gt;0,1,0)</f>
        <v>1</v>
      </c>
      <c r="U376" s="59"/>
      <c r="V376" s="1" t="s">
        <v>982</v>
      </c>
    </row>
    <row r="377" customFormat="false" ht="15.75" hidden="false" customHeight="true" outlineLevel="0" collapsed="false">
      <c r="A377" s="18" t="s">
        <v>259</v>
      </c>
      <c r="B377" s="18" t="s">
        <v>259</v>
      </c>
      <c r="C377" s="18" t="s">
        <v>31</v>
      </c>
      <c r="E377" s="66" t="n">
        <v>3</v>
      </c>
      <c r="F377" s="21" t="str">
        <f aca="false">CONCATENATE(B377,"_",C377, TEXT(E377, "000"))</f>
        <v>HHBB_M. laciniatus003</v>
      </c>
      <c r="G377" s="21" t="s">
        <v>270</v>
      </c>
      <c r="H377" s="18" t="n">
        <v>1</v>
      </c>
      <c r="I377" s="22" t="n">
        <v>44671</v>
      </c>
      <c r="J377" s="2" t="s">
        <v>981</v>
      </c>
      <c r="K377" s="68" t="s">
        <v>986</v>
      </c>
      <c r="L377" s="2" t="n">
        <v>1</v>
      </c>
      <c r="M377" s="2" t="n">
        <v>1</v>
      </c>
      <c r="N377" s="3" t="n">
        <v>44999</v>
      </c>
      <c r="O377" s="2" t="n">
        <v>4.71</v>
      </c>
      <c r="P377" s="2" t="n">
        <v>3</v>
      </c>
      <c r="Q377" s="62" t="str">
        <f aca="false">IF(ISBLANK(N377),"",IF(N377&lt;DATE(2023,5,1),"OLD","NEW"))</f>
        <v>OLD</v>
      </c>
      <c r="S377" s="33" t="n">
        <f aca="false">IF(COUNTIF('[1]Plate_1-2_LongFormat'!$A$2:$A$193,G377)&gt;0,1,0)</f>
        <v>1</v>
      </c>
      <c r="T377" s="33" t="n">
        <f aca="false">IF(COUNTIF([2]Attached_indexes!$C$2:$C$193,G377)&gt;0,1,0)</f>
        <v>1</v>
      </c>
      <c r="U377" s="59"/>
      <c r="V377" s="1" t="s">
        <v>982</v>
      </c>
    </row>
    <row r="378" customFormat="false" ht="15.75" hidden="false" customHeight="true" outlineLevel="0" collapsed="false">
      <c r="A378" s="18" t="s">
        <v>259</v>
      </c>
      <c r="B378" s="18" t="s">
        <v>259</v>
      </c>
      <c r="C378" s="18" t="s">
        <v>31</v>
      </c>
      <c r="E378" s="66" t="n">
        <v>3</v>
      </c>
      <c r="F378" s="21" t="str">
        <f aca="false">CONCATENATE(B378,"_",C378, TEXT(E378, "000"))</f>
        <v>HHBB_M. laciniatus003</v>
      </c>
      <c r="G378" s="21" t="s">
        <v>270</v>
      </c>
      <c r="H378" s="18" t="n">
        <v>1</v>
      </c>
      <c r="I378" s="22" t="n">
        <v>44671</v>
      </c>
      <c r="J378" s="2" t="s">
        <v>981</v>
      </c>
      <c r="K378" s="68" t="s">
        <v>986</v>
      </c>
      <c r="L378" s="2" t="n">
        <v>1</v>
      </c>
      <c r="M378" s="2" t="n">
        <v>1</v>
      </c>
      <c r="N378" s="3" t="n">
        <v>44999</v>
      </c>
      <c r="O378" s="2" t="n">
        <v>4.71</v>
      </c>
      <c r="P378" s="2" t="n">
        <v>3</v>
      </c>
      <c r="Q378" s="62" t="str">
        <f aca="false">IF(ISBLANK(N378),"",IF(N378&lt;DATE(2023,5,1),"OLD","NEW"))</f>
        <v>OLD</v>
      </c>
      <c r="S378" s="33" t="n">
        <f aca="false">IF(COUNTIF('[1]Plate_1-2_LongFormat'!$A$2:$A$193,G378)&gt;0,1,0)</f>
        <v>1</v>
      </c>
      <c r="T378" s="33" t="n">
        <f aca="false">IF(COUNTIF([2]Attached_indexes!$C$2:$C$193,G378)&gt;0,1,0)</f>
        <v>1</v>
      </c>
      <c r="U378" s="59"/>
      <c r="V378" s="1" t="s">
        <v>982</v>
      </c>
    </row>
    <row r="379" customFormat="false" ht="15.75" hidden="false" customHeight="true" outlineLevel="0" collapsed="false">
      <c r="A379" s="18" t="s">
        <v>259</v>
      </c>
      <c r="B379" s="18" t="s">
        <v>259</v>
      </c>
      <c r="C379" s="18" t="s">
        <v>31</v>
      </c>
      <c r="E379" s="66" t="n">
        <v>3</v>
      </c>
      <c r="F379" s="21" t="str">
        <f aca="false">CONCATENATE(B379,"_",C379, TEXT(E379, "000"))</f>
        <v>HHBB_M. laciniatus003</v>
      </c>
      <c r="G379" s="21" t="s">
        <v>270</v>
      </c>
      <c r="H379" s="18" t="n">
        <v>1</v>
      </c>
      <c r="I379" s="22" t="n">
        <v>44671</v>
      </c>
      <c r="J379" s="2" t="s">
        <v>981</v>
      </c>
      <c r="K379" s="68" t="s">
        <v>986</v>
      </c>
      <c r="L379" s="2" t="n">
        <v>1</v>
      </c>
      <c r="M379" s="2" t="n">
        <v>1</v>
      </c>
      <c r="N379" s="3" t="n">
        <v>44999</v>
      </c>
      <c r="O379" s="2" t="n">
        <v>4.71</v>
      </c>
      <c r="P379" s="2" t="n">
        <v>3</v>
      </c>
      <c r="Q379" s="62" t="str">
        <f aca="false">IF(ISBLANK(N379),"",IF(N379&lt;DATE(2023,5,1),"OLD","NEW"))</f>
        <v>OLD</v>
      </c>
      <c r="S379" s="33" t="n">
        <f aca="false">IF(COUNTIF('[1]Plate_1-2_LongFormat'!$A$2:$A$193,G379)&gt;0,1,0)</f>
        <v>1</v>
      </c>
      <c r="T379" s="33" t="n">
        <f aca="false">IF(COUNTIF([2]Attached_indexes!$C$2:$C$193,G379)&gt;0,1,0)</f>
        <v>1</v>
      </c>
      <c r="U379" s="59"/>
      <c r="V379" s="1" t="s">
        <v>982</v>
      </c>
    </row>
    <row r="380" customFormat="false" ht="15.75" hidden="false" customHeight="true" outlineLevel="0" collapsed="false">
      <c r="A380" s="18" t="s">
        <v>259</v>
      </c>
      <c r="B380" s="18" t="s">
        <v>259</v>
      </c>
      <c r="C380" s="18" t="s">
        <v>31</v>
      </c>
      <c r="E380" s="66" t="n">
        <v>4</v>
      </c>
      <c r="F380" s="21" t="str">
        <f aca="false">CONCATENATE(B380,"_",C380, TEXT(E380, "000"))</f>
        <v>HHBB_M. laciniatus004</v>
      </c>
      <c r="G380" s="21" t="s">
        <v>272</v>
      </c>
      <c r="H380" s="18" t="n">
        <v>1</v>
      </c>
      <c r="I380" s="22" t="n">
        <v>44671</v>
      </c>
      <c r="J380" s="2" t="s">
        <v>981</v>
      </c>
      <c r="K380" s="2" t="s">
        <v>1023</v>
      </c>
      <c r="L380" s="2" t="n">
        <v>1</v>
      </c>
      <c r="M380" s="2" t="n">
        <v>1</v>
      </c>
      <c r="N380" s="3" t="n">
        <v>45058</v>
      </c>
      <c r="O380" s="2" t="n">
        <v>14.3</v>
      </c>
      <c r="P380" s="2" t="n">
        <v>3</v>
      </c>
      <c r="Q380" s="62" t="str">
        <f aca="false">IF(ISBLANK(N380),"",IF(N380&lt;DATE(2023,5,1),"OLD","NEW"))</f>
        <v>NEW</v>
      </c>
      <c r="S380" s="33" t="n">
        <f aca="false">IF(COUNTIF('[1]Plate_1-2_LongFormat'!$A$2:$A$193,G380)&gt;0,1,0)</f>
        <v>0</v>
      </c>
      <c r="T380" s="33" t="n">
        <f aca="false">IF(COUNTIF([2]Attached_indexes!$C$2:$C$193,G380)&gt;0,1,0)</f>
        <v>0</v>
      </c>
      <c r="U380" s="59"/>
      <c r="V380" s="1" t="s">
        <v>982</v>
      </c>
    </row>
    <row r="381" customFormat="false" ht="15.75" hidden="false" customHeight="true" outlineLevel="0" collapsed="false">
      <c r="A381" s="18" t="s">
        <v>259</v>
      </c>
      <c r="B381" s="18" t="s">
        <v>259</v>
      </c>
      <c r="C381" s="18" t="s">
        <v>31</v>
      </c>
      <c r="E381" s="66" t="n">
        <v>4</v>
      </c>
      <c r="F381" s="21" t="str">
        <f aca="false">CONCATENATE(B381,"_",C381, TEXT(E381, "000"))</f>
        <v>HHBB_M. laciniatus004</v>
      </c>
      <c r="G381" s="21" t="s">
        <v>272</v>
      </c>
      <c r="H381" s="18" t="n">
        <v>1</v>
      </c>
      <c r="I381" s="22" t="n">
        <v>44671</v>
      </c>
      <c r="J381" s="2" t="s">
        <v>981</v>
      </c>
      <c r="K381" s="2" t="s">
        <v>1023</v>
      </c>
      <c r="L381" s="2" t="n">
        <v>1</v>
      </c>
      <c r="M381" s="2" t="n">
        <v>1</v>
      </c>
      <c r="N381" s="3" t="n">
        <v>45058</v>
      </c>
      <c r="O381" s="2" t="n">
        <v>14.3</v>
      </c>
      <c r="P381" s="2" t="n">
        <v>3</v>
      </c>
      <c r="Q381" s="62" t="str">
        <f aca="false">IF(ISBLANK(N381),"",IF(N381&lt;DATE(2023,5,1),"OLD","NEW"))</f>
        <v>NEW</v>
      </c>
      <c r="S381" s="33" t="n">
        <f aca="false">IF(COUNTIF('[1]Plate_1-2_LongFormat'!$A$2:$A$193,G381)&gt;0,1,0)</f>
        <v>0</v>
      </c>
      <c r="T381" s="33" t="n">
        <f aca="false">IF(COUNTIF([2]Attached_indexes!$C$2:$C$193,G381)&gt;0,1,0)</f>
        <v>0</v>
      </c>
      <c r="U381" s="59"/>
      <c r="V381" s="1" t="s">
        <v>982</v>
      </c>
    </row>
    <row r="382" customFormat="false" ht="15.75" hidden="false" customHeight="true" outlineLevel="0" collapsed="false">
      <c r="A382" s="18" t="s">
        <v>259</v>
      </c>
      <c r="B382" s="18" t="s">
        <v>259</v>
      </c>
      <c r="C382" s="18" t="s">
        <v>31</v>
      </c>
      <c r="E382" s="66" t="n">
        <v>4</v>
      </c>
      <c r="F382" s="21" t="str">
        <f aca="false">CONCATENATE(B382,"_",C382, TEXT(E382, "000"))</f>
        <v>HHBB_M. laciniatus004</v>
      </c>
      <c r="G382" s="21" t="s">
        <v>272</v>
      </c>
      <c r="H382" s="18" t="n">
        <v>1</v>
      </c>
      <c r="I382" s="22" t="n">
        <v>44671</v>
      </c>
      <c r="J382" s="2" t="s">
        <v>981</v>
      </c>
      <c r="K382" s="2" t="s">
        <v>1023</v>
      </c>
      <c r="L382" s="2" t="n">
        <v>1</v>
      </c>
      <c r="M382" s="2" t="n">
        <v>1</v>
      </c>
      <c r="N382" s="3" t="n">
        <v>45058</v>
      </c>
      <c r="O382" s="2" t="n">
        <v>14.3</v>
      </c>
      <c r="P382" s="2" t="n">
        <v>3</v>
      </c>
      <c r="Q382" s="62" t="str">
        <f aca="false">IF(ISBLANK(N382),"",IF(N382&lt;DATE(2023,5,1),"OLD","NEW"))</f>
        <v>NEW</v>
      </c>
      <c r="S382" s="33" t="n">
        <f aca="false">IF(COUNTIF('[1]Plate_1-2_LongFormat'!$A$2:$A$193,G382)&gt;0,1,0)</f>
        <v>0</v>
      </c>
      <c r="T382" s="33" t="n">
        <f aca="false">IF(COUNTIF([2]Attached_indexes!$C$2:$C$193,G382)&gt;0,1,0)</f>
        <v>0</v>
      </c>
      <c r="U382" s="59"/>
      <c r="V382" s="1" t="s">
        <v>982</v>
      </c>
    </row>
    <row r="383" customFormat="false" ht="15.75" hidden="false" customHeight="true" outlineLevel="0" collapsed="false">
      <c r="A383" s="18" t="s">
        <v>259</v>
      </c>
      <c r="B383" s="18" t="s">
        <v>259</v>
      </c>
      <c r="C383" s="18" t="s">
        <v>31</v>
      </c>
      <c r="E383" s="66" t="n">
        <v>5</v>
      </c>
      <c r="F383" s="21" t="str">
        <f aca="false">CONCATENATE(B383,"_",C383, TEXT(E383, "000"))</f>
        <v>HHBB_M. laciniatus005</v>
      </c>
      <c r="G383" s="21" t="s">
        <v>274</v>
      </c>
      <c r="H383" s="18" t="n">
        <v>1</v>
      </c>
      <c r="I383" s="22" t="n">
        <v>44671</v>
      </c>
      <c r="J383" s="2" t="s">
        <v>981</v>
      </c>
      <c r="K383" s="68" t="s">
        <v>1024</v>
      </c>
      <c r="L383" s="2" t="n">
        <v>1</v>
      </c>
      <c r="M383" s="2" t="n">
        <v>1</v>
      </c>
      <c r="N383" s="3" t="n">
        <v>45058</v>
      </c>
      <c r="O383" s="2" t="n">
        <v>17.3</v>
      </c>
      <c r="P383" s="2" t="n">
        <v>3</v>
      </c>
      <c r="Q383" s="62" t="str">
        <f aca="false">IF(ISBLANK(N383),"",IF(N383&lt;DATE(2023,5,1),"OLD","NEW"))</f>
        <v>NEW</v>
      </c>
      <c r="S383" s="33" t="n">
        <f aca="false">IF(COUNTIF('[1]Plate_1-2_LongFormat'!$A$2:$A$193,G383)&gt;0,1,0)</f>
        <v>0</v>
      </c>
      <c r="T383" s="33" t="n">
        <f aca="false">IF(COUNTIF([2]Attached_indexes!$C$2:$C$193,G383)&gt;0,1,0)</f>
        <v>0</v>
      </c>
      <c r="U383" s="59"/>
      <c r="V383" s="1" t="s">
        <v>982</v>
      </c>
    </row>
    <row r="384" customFormat="false" ht="15.75" hidden="false" customHeight="true" outlineLevel="0" collapsed="false">
      <c r="A384" s="18" t="s">
        <v>259</v>
      </c>
      <c r="B384" s="18" t="s">
        <v>259</v>
      </c>
      <c r="C384" s="18" t="s">
        <v>31</v>
      </c>
      <c r="E384" s="66" t="n">
        <v>5</v>
      </c>
      <c r="F384" s="21" t="str">
        <f aca="false">CONCATENATE(B384,"_",C384, TEXT(E384, "000"))</f>
        <v>HHBB_M. laciniatus005</v>
      </c>
      <c r="G384" s="21" t="s">
        <v>274</v>
      </c>
      <c r="H384" s="18" t="n">
        <v>1</v>
      </c>
      <c r="I384" s="22" t="n">
        <v>44671</v>
      </c>
      <c r="J384" s="2" t="s">
        <v>981</v>
      </c>
      <c r="K384" s="68" t="s">
        <v>1024</v>
      </c>
      <c r="L384" s="2" t="n">
        <v>1</v>
      </c>
      <c r="M384" s="2" t="n">
        <v>1</v>
      </c>
      <c r="N384" s="3" t="n">
        <v>45058</v>
      </c>
      <c r="O384" s="2" t="n">
        <v>17.3</v>
      </c>
      <c r="P384" s="2" t="n">
        <v>3</v>
      </c>
      <c r="Q384" s="62" t="str">
        <f aca="false">IF(ISBLANK(N384),"",IF(N384&lt;DATE(2023,5,1),"OLD","NEW"))</f>
        <v>NEW</v>
      </c>
      <c r="S384" s="33" t="n">
        <f aca="false">IF(COUNTIF('[1]Plate_1-2_LongFormat'!$A$2:$A$193,G384)&gt;0,1,0)</f>
        <v>0</v>
      </c>
      <c r="T384" s="33" t="n">
        <f aca="false">IF(COUNTIF([2]Attached_indexes!$C$2:$C$193,G384)&gt;0,1,0)</f>
        <v>0</v>
      </c>
      <c r="U384" s="59"/>
      <c r="V384" s="1" t="s">
        <v>982</v>
      </c>
    </row>
    <row r="385" customFormat="false" ht="15.75" hidden="false" customHeight="true" outlineLevel="0" collapsed="false">
      <c r="A385" s="18" t="s">
        <v>259</v>
      </c>
      <c r="B385" s="18" t="s">
        <v>259</v>
      </c>
      <c r="C385" s="18" t="s">
        <v>31</v>
      </c>
      <c r="E385" s="66" t="n">
        <v>5</v>
      </c>
      <c r="F385" s="21" t="str">
        <f aca="false">CONCATENATE(B385,"_",C385, TEXT(E385, "000"))</f>
        <v>HHBB_M. laciniatus005</v>
      </c>
      <c r="G385" s="21" t="s">
        <v>274</v>
      </c>
      <c r="H385" s="18" t="n">
        <v>1</v>
      </c>
      <c r="I385" s="22" t="n">
        <v>44671</v>
      </c>
      <c r="J385" s="2" t="s">
        <v>981</v>
      </c>
      <c r="K385" s="68" t="s">
        <v>1024</v>
      </c>
      <c r="L385" s="2" t="n">
        <v>1</v>
      </c>
      <c r="M385" s="2" t="n">
        <v>1</v>
      </c>
      <c r="N385" s="3" t="n">
        <v>45058</v>
      </c>
      <c r="O385" s="2" t="n">
        <v>17.3</v>
      </c>
      <c r="P385" s="2" t="n">
        <v>3</v>
      </c>
      <c r="Q385" s="62" t="str">
        <f aca="false">IF(ISBLANK(N385),"",IF(N385&lt;DATE(2023,5,1),"OLD","NEW"))</f>
        <v>NEW</v>
      </c>
      <c r="S385" s="33" t="n">
        <f aca="false">IF(COUNTIF('[1]Plate_1-2_LongFormat'!$A$2:$A$193,G385)&gt;0,1,0)</f>
        <v>0</v>
      </c>
      <c r="T385" s="33" t="n">
        <f aca="false">IF(COUNTIF([2]Attached_indexes!$C$2:$C$193,G385)&gt;0,1,0)</f>
        <v>0</v>
      </c>
      <c r="U385" s="59"/>
      <c r="V385" s="1" t="s">
        <v>982</v>
      </c>
    </row>
    <row r="386" customFormat="false" ht="15.75" hidden="false" customHeight="true" outlineLevel="0" collapsed="false">
      <c r="A386" s="18" t="s">
        <v>259</v>
      </c>
      <c r="B386" s="18" t="s">
        <v>259</v>
      </c>
      <c r="C386" s="18" t="s">
        <v>31</v>
      </c>
      <c r="E386" s="66" t="n">
        <v>6</v>
      </c>
      <c r="F386" s="21" t="str">
        <f aca="false">CONCATENATE(B386,"_",C386, TEXT(E386, "000"))</f>
        <v>HHBB_M. laciniatus006</v>
      </c>
      <c r="G386" s="21" t="s">
        <v>275</v>
      </c>
      <c r="H386" s="18" t="n">
        <v>1</v>
      </c>
      <c r="I386" s="22" t="n">
        <v>44671</v>
      </c>
      <c r="J386" s="2" t="s">
        <v>981</v>
      </c>
      <c r="L386" s="2" t="n">
        <v>1</v>
      </c>
      <c r="M386" s="2" t="n">
        <v>1</v>
      </c>
      <c r="N386" s="3" t="n">
        <v>45061</v>
      </c>
      <c r="O386" s="2" t="n">
        <v>15.2</v>
      </c>
      <c r="P386" s="2" t="n">
        <v>4</v>
      </c>
      <c r="Q386" s="62" t="str">
        <f aca="false">IF(ISBLANK(N386),"",IF(N386&lt;DATE(2023,5,1),"OLD","NEW"))</f>
        <v>NEW</v>
      </c>
      <c r="S386" s="33" t="n">
        <f aca="false">IF(COUNTIF('[1]Plate_1-2_LongFormat'!$A$2:$A$193,G386)&gt;0,1,0)</f>
        <v>0</v>
      </c>
      <c r="T386" s="33" t="n">
        <f aca="false">IF(COUNTIF([2]Attached_indexes!$C$2:$C$193,G386)&gt;0,1,0)</f>
        <v>0</v>
      </c>
      <c r="U386" s="59"/>
      <c r="V386" s="1" t="s">
        <v>982</v>
      </c>
    </row>
    <row r="387" customFormat="false" ht="15.75" hidden="false" customHeight="true" outlineLevel="0" collapsed="false">
      <c r="A387" s="18" t="s">
        <v>259</v>
      </c>
      <c r="B387" s="18" t="s">
        <v>259</v>
      </c>
      <c r="C387" s="18" t="s">
        <v>31</v>
      </c>
      <c r="E387" s="66" t="n">
        <v>6</v>
      </c>
      <c r="F387" s="21" t="str">
        <f aca="false">CONCATENATE(B387,"_",C387, TEXT(E387, "000"))</f>
        <v>HHBB_M. laciniatus006</v>
      </c>
      <c r="G387" s="21" t="s">
        <v>275</v>
      </c>
      <c r="H387" s="18" t="n">
        <v>1</v>
      </c>
      <c r="I387" s="22" t="n">
        <v>44671</v>
      </c>
      <c r="J387" s="2" t="s">
        <v>981</v>
      </c>
      <c r="L387" s="2" t="n">
        <v>1</v>
      </c>
      <c r="M387" s="2" t="n">
        <v>1</v>
      </c>
      <c r="N387" s="3" t="n">
        <v>45061</v>
      </c>
      <c r="O387" s="2" t="n">
        <v>15.2</v>
      </c>
      <c r="P387" s="2" t="n">
        <v>4</v>
      </c>
      <c r="Q387" s="62" t="str">
        <f aca="false">IF(ISBLANK(N387),"",IF(N387&lt;DATE(2023,5,1),"OLD","NEW"))</f>
        <v>NEW</v>
      </c>
      <c r="S387" s="33" t="n">
        <f aca="false">IF(COUNTIF('[1]Plate_1-2_LongFormat'!$A$2:$A$193,G387)&gt;0,1,0)</f>
        <v>0</v>
      </c>
      <c r="T387" s="33" t="n">
        <f aca="false">IF(COUNTIF([2]Attached_indexes!$C$2:$C$193,G387)&gt;0,1,0)</f>
        <v>0</v>
      </c>
      <c r="U387" s="59"/>
      <c r="V387" s="1" t="s">
        <v>982</v>
      </c>
    </row>
    <row r="388" customFormat="false" ht="15.75" hidden="false" customHeight="true" outlineLevel="0" collapsed="false">
      <c r="A388" s="18" t="s">
        <v>259</v>
      </c>
      <c r="B388" s="18" t="s">
        <v>259</v>
      </c>
      <c r="C388" s="18" t="s">
        <v>31</v>
      </c>
      <c r="E388" s="66" t="n">
        <v>6</v>
      </c>
      <c r="F388" s="21" t="str">
        <f aca="false">CONCATENATE(B388,"_",C388, TEXT(E388, "000"))</f>
        <v>HHBB_M. laciniatus006</v>
      </c>
      <c r="G388" s="21" t="s">
        <v>275</v>
      </c>
      <c r="H388" s="18" t="n">
        <v>1</v>
      </c>
      <c r="I388" s="22" t="n">
        <v>44671</v>
      </c>
      <c r="J388" s="2" t="s">
        <v>981</v>
      </c>
      <c r="L388" s="2" t="n">
        <v>1</v>
      </c>
      <c r="M388" s="2" t="n">
        <v>1</v>
      </c>
      <c r="N388" s="3" t="n">
        <v>45061</v>
      </c>
      <c r="O388" s="2" t="n">
        <v>15.2</v>
      </c>
      <c r="P388" s="2" t="n">
        <v>4</v>
      </c>
      <c r="Q388" s="62" t="str">
        <f aca="false">IF(ISBLANK(N388),"",IF(N388&lt;DATE(2023,5,1),"OLD","NEW"))</f>
        <v>NEW</v>
      </c>
      <c r="S388" s="33" t="n">
        <f aca="false">IF(COUNTIF('[1]Plate_1-2_LongFormat'!$A$2:$A$193,G388)&gt;0,1,0)</f>
        <v>0</v>
      </c>
      <c r="T388" s="33" t="n">
        <f aca="false">IF(COUNTIF([2]Attached_indexes!$C$2:$C$193,G388)&gt;0,1,0)</f>
        <v>0</v>
      </c>
      <c r="U388" s="59"/>
      <c r="V388" s="1" t="s">
        <v>982</v>
      </c>
    </row>
    <row r="389" customFormat="false" ht="15.75" hidden="false" customHeight="true" outlineLevel="0" collapsed="false">
      <c r="A389" s="18" t="s">
        <v>259</v>
      </c>
      <c r="B389" s="18" t="s">
        <v>259</v>
      </c>
      <c r="C389" s="18" t="s">
        <v>31</v>
      </c>
      <c r="E389" s="66" t="n">
        <v>7</v>
      </c>
      <c r="F389" s="21" t="str">
        <f aca="false">CONCATENATE(B389,"_",C389, TEXT(E389, "000"))</f>
        <v>HHBB_M. laciniatus007</v>
      </c>
      <c r="G389" s="21" t="s">
        <v>277</v>
      </c>
      <c r="H389" s="18" t="n">
        <v>1</v>
      </c>
      <c r="I389" s="22" t="n">
        <v>44671</v>
      </c>
      <c r="J389" s="2" t="s">
        <v>981</v>
      </c>
      <c r="L389" s="2" t="n">
        <v>1</v>
      </c>
      <c r="M389" s="2" t="n">
        <v>1</v>
      </c>
      <c r="N389" s="3" t="n">
        <v>45061</v>
      </c>
      <c r="O389" s="2" t="n">
        <v>14.6</v>
      </c>
      <c r="P389" s="2" t="n">
        <v>4</v>
      </c>
      <c r="Q389" s="62" t="str">
        <f aca="false">IF(ISBLANK(N389),"",IF(N389&lt;DATE(2023,5,1),"OLD","NEW"))</f>
        <v>NEW</v>
      </c>
      <c r="S389" s="33" t="n">
        <f aca="false">IF(COUNTIF('[1]Plate_1-2_LongFormat'!$A$2:$A$193,G389)&gt;0,1,0)</f>
        <v>0</v>
      </c>
      <c r="T389" s="33" t="n">
        <f aca="false">IF(COUNTIF([2]Attached_indexes!$C$2:$C$193,G389)&gt;0,1,0)</f>
        <v>0</v>
      </c>
      <c r="U389" s="59"/>
      <c r="V389" s="1" t="s">
        <v>982</v>
      </c>
    </row>
    <row r="390" customFormat="false" ht="15.75" hidden="false" customHeight="true" outlineLevel="0" collapsed="false">
      <c r="A390" s="18" t="s">
        <v>259</v>
      </c>
      <c r="B390" s="18" t="s">
        <v>259</v>
      </c>
      <c r="C390" s="18" t="s">
        <v>31</v>
      </c>
      <c r="E390" s="66" t="n">
        <v>7</v>
      </c>
      <c r="F390" s="21" t="str">
        <f aca="false">CONCATENATE(B390,"_",C390, TEXT(E390, "000"))</f>
        <v>HHBB_M. laciniatus007</v>
      </c>
      <c r="G390" s="21" t="s">
        <v>277</v>
      </c>
      <c r="H390" s="18" t="n">
        <v>1</v>
      </c>
      <c r="I390" s="22" t="n">
        <v>44671</v>
      </c>
      <c r="J390" s="2" t="s">
        <v>981</v>
      </c>
      <c r="L390" s="2" t="n">
        <v>1</v>
      </c>
      <c r="M390" s="2" t="n">
        <v>1</v>
      </c>
      <c r="N390" s="3" t="n">
        <v>45061</v>
      </c>
      <c r="O390" s="2" t="n">
        <v>14.6</v>
      </c>
      <c r="P390" s="2" t="n">
        <v>4</v>
      </c>
      <c r="Q390" s="62" t="str">
        <f aca="false">IF(ISBLANK(N390),"",IF(N390&lt;DATE(2023,5,1),"OLD","NEW"))</f>
        <v>NEW</v>
      </c>
      <c r="S390" s="33" t="n">
        <f aca="false">IF(COUNTIF('[1]Plate_1-2_LongFormat'!$A$2:$A$193,G390)&gt;0,1,0)</f>
        <v>0</v>
      </c>
      <c r="T390" s="33" t="n">
        <f aca="false">IF(COUNTIF([2]Attached_indexes!$C$2:$C$193,G390)&gt;0,1,0)</f>
        <v>0</v>
      </c>
      <c r="U390" s="59"/>
      <c r="V390" s="1" t="s">
        <v>982</v>
      </c>
    </row>
    <row r="391" customFormat="false" ht="15.75" hidden="false" customHeight="true" outlineLevel="0" collapsed="false">
      <c r="A391" s="18" t="s">
        <v>259</v>
      </c>
      <c r="B391" s="18" t="s">
        <v>259</v>
      </c>
      <c r="C391" s="18" t="s">
        <v>31</v>
      </c>
      <c r="E391" s="66" t="n">
        <v>7</v>
      </c>
      <c r="F391" s="21" t="str">
        <f aca="false">CONCATENATE(B391,"_",C391, TEXT(E391, "000"))</f>
        <v>HHBB_M. laciniatus007</v>
      </c>
      <c r="G391" s="21" t="s">
        <v>277</v>
      </c>
      <c r="H391" s="18" t="n">
        <v>1</v>
      </c>
      <c r="I391" s="22" t="n">
        <v>44671</v>
      </c>
      <c r="J391" s="2" t="s">
        <v>981</v>
      </c>
      <c r="L391" s="2" t="n">
        <v>1</v>
      </c>
      <c r="M391" s="2" t="n">
        <v>1</v>
      </c>
      <c r="N391" s="3" t="n">
        <v>45061</v>
      </c>
      <c r="O391" s="2" t="n">
        <v>14.6</v>
      </c>
      <c r="P391" s="2" t="n">
        <v>4</v>
      </c>
      <c r="Q391" s="62" t="str">
        <f aca="false">IF(ISBLANK(N391),"",IF(N391&lt;DATE(2023,5,1),"OLD","NEW"))</f>
        <v>NEW</v>
      </c>
      <c r="S391" s="33" t="n">
        <f aca="false">IF(COUNTIF('[1]Plate_1-2_LongFormat'!$A$2:$A$193,G391)&gt;0,1,0)</f>
        <v>0</v>
      </c>
      <c r="T391" s="33" t="n">
        <f aca="false">IF(COUNTIF([2]Attached_indexes!$C$2:$C$193,G391)&gt;0,1,0)</f>
        <v>0</v>
      </c>
      <c r="U391" s="59"/>
      <c r="V391" s="1" t="s">
        <v>982</v>
      </c>
    </row>
    <row r="392" customFormat="false" ht="15.75" hidden="false" customHeight="true" outlineLevel="0" collapsed="false">
      <c r="A392" s="18" t="s">
        <v>259</v>
      </c>
      <c r="B392" s="18" t="s">
        <v>259</v>
      </c>
      <c r="C392" s="18" t="s">
        <v>31</v>
      </c>
      <c r="E392" s="66" t="n">
        <v>8</v>
      </c>
      <c r="F392" s="21" t="str">
        <f aca="false">CONCATENATE(B392,"_",C392, TEXT(E392, "000"))</f>
        <v>HHBB_M. laciniatus008</v>
      </c>
      <c r="G392" s="21" t="s">
        <v>279</v>
      </c>
      <c r="H392" s="18" t="n">
        <v>1</v>
      </c>
      <c r="I392" s="22" t="n">
        <v>44671</v>
      </c>
      <c r="J392" s="2" t="s">
        <v>981</v>
      </c>
      <c r="L392" s="2" t="n">
        <v>1</v>
      </c>
      <c r="M392" s="2" t="n">
        <v>1</v>
      </c>
      <c r="N392" s="3" t="n">
        <v>44799</v>
      </c>
      <c r="O392" s="2" t="n">
        <v>0.213</v>
      </c>
      <c r="P392" s="2" t="n">
        <v>1</v>
      </c>
      <c r="Q392" s="62" t="str">
        <f aca="false">IF(ISBLANK(N392),"",IF(N392&lt;DATE(2023,5,1),"OLD","NEW"))</f>
        <v>OLD</v>
      </c>
      <c r="R392" s="2" t="s">
        <v>995</v>
      </c>
      <c r="S392" s="33" t="n">
        <f aca="false">IF(COUNTIF('[1]Plate_1-2_LongFormat'!$A$2:$A$193,G392)&gt;0,1,0)</f>
        <v>1</v>
      </c>
      <c r="T392" s="33" t="n">
        <f aca="false">IF(COUNTIF([2]Attached_indexes!$C$2:$C$193,G392)&gt;0,1,0)</f>
        <v>1</v>
      </c>
      <c r="U392" s="59"/>
      <c r="V392" s="1" t="s">
        <v>982</v>
      </c>
    </row>
    <row r="393" customFormat="false" ht="15.75" hidden="false" customHeight="true" outlineLevel="0" collapsed="false">
      <c r="A393" s="18" t="s">
        <v>259</v>
      </c>
      <c r="B393" s="18" t="s">
        <v>259</v>
      </c>
      <c r="C393" s="18" t="s">
        <v>31</v>
      </c>
      <c r="E393" s="66" t="n">
        <v>8</v>
      </c>
      <c r="F393" s="21" t="str">
        <f aca="false">CONCATENATE(B393,"_",C393, TEXT(E393, "000"))</f>
        <v>HHBB_M. laciniatus008</v>
      </c>
      <c r="G393" s="21" t="s">
        <v>279</v>
      </c>
      <c r="H393" s="18" t="n">
        <v>1</v>
      </c>
      <c r="I393" s="22" t="n">
        <v>44671</v>
      </c>
      <c r="J393" s="2" t="s">
        <v>981</v>
      </c>
      <c r="L393" s="2" t="n">
        <v>1</v>
      </c>
      <c r="M393" s="2" t="n">
        <v>1</v>
      </c>
      <c r="N393" s="3" t="n">
        <v>44799</v>
      </c>
      <c r="O393" s="2" t="n">
        <v>0.213</v>
      </c>
      <c r="P393" s="2" t="n">
        <v>1</v>
      </c>
      <c r="Q393" s="62" t="str">
        <f aca="false">IF(ISBLANK(N393),"",IF(N393&lt;DATE(2023,5,1),"OLD","NEW"))</f>
        <v>OLD</v>
      </c>
      <c r="R393" s="2" t="s">
        <v>995</v>
      </c>
      <c r="S393" s="33" t="n">
        <f aca="false">IF(COUNTIF('[1]Plate_1-2_LongFormat'!$A$2:$A$193,G393)&gt;0,1,0)</f>
        <v>1</v>
      </c>
      <c r="T393" s="33" t="n">
        <f aca="false">IF(COUNTIF([2]Attached_indexes!$C$2:$C$193,G393)&gt;0,1,0)</f>
        <v>1</v>
      </c>
      <c r="U393" s="59"/>
      <c r="V393" s="1" t="s">
        <v>982</v>
      </c>
    </row>
    <row r="394" customFormat="false" ht="15.75" hidden="false" customHeight="true" outlineLevel="0" collapsed="false">
      <c r="A394" s="18" t="s">
        <v>259</v>
      </c>
      <c r="B394" s="18" t="s">
        <v>259</v>
      </c>
      <c r="C394" s="18" t="s">
        <v>31</v>
      </c>
      <c r="E394" s="66" t="n">
        <v>8</v>
      </c>
      <c r="F394" s="21" t="str">
        <f aca="false">CONCATENATE(B394,"_",C394, TEXT(E394, "000"))</f>
        <v>HHBB_M. laciniatus008</v>
      </c>
      <c r="G394" s="21" t="s">
        <v>279</v>
      </c>
      <c r="H394" s="18" t="n">
        <v>1</v>
      </c>
      <c r="I394" s="22" t="n">
        <v>44671</v>
      </c>
      <c r="J394" s="2" t="s">
        <v>981</v>
      </c>
      <c r="L394" s="2" t="n">
        <v>1</v>
      </c>
      <c r="M394" s="2" t="n">
        <v>1</v>
      </c>
      <c r="N394" s="3" t="n">
        <v>44799</v>
      </c>
      <c r="O394" s="2" t="n">
        <v>0.213</v>
      </c>
      <c r="P394" s="2" t="n">
        <v>1</v>
      </c>
      <c r="Q394" s="62" t="str">
        <f aca="false">IF(ISBLANK(N394),"",IF(N394&lt;DATE(2023,5,1),"OLD","NEW"))</f>
        <v>OLD</v>
      </c>
      <c r="R394" s="2" t="s">
        <v>995</v>
      </c>
      <c r="S394" s="33" t="n">
        <f aca="false">IF(COUNTIF('[1]Plate_1-2_LongFormat'!$A$2:$A$193,G394)&gt;0,1,0)</f>
        <v>1</v>
      </c>
      <c r="T394" s="33" t="n">
        <f aca="false">IF(COUNTIF([2]Attached_indexes!$C$2:$C$193,G394)&gt;0,1,0)</f>
        <v>1</v>
      </c>
      <c r="U394" s="59"/>
      <c r="V394" s="1" t="s">
        <v>982</v>
      </c>
    </row>
    <row r="395" customFormat="false" ht="15.75" hidden="false" customHeight="true" outlineLevel="0" collapsed="false">
      <c r="A395" s="18" t="s">
        <v>259</v>
      </c>
      <c r="B395" s="18" t="s">
        <v>259</v>
      </c>
      <c r="C395" s="18" t="s">
        <v>31</v>
      </c>
      <c r="E395" s="66" t="n">
        <v>9</v>
      </c>
      <c r="F395" s="21" t="str">
        <f aca="false">CONCATENATE(B395,"_",C395, TEXT(E395, "000"))</f>
        <v>HHBB_M. laciniatus009</v>
      </c>
      <c r="G395" s="21" t="s">
        <v>280</v>
      </c>
      <c r="H395" s="18" t="n">
        <v>1</v>
      </c>
      <c r="I395" s="22" t="n">
        <v>44671</v>
      </c>
      <c r="J395" s="2" t="s">
        <v>981</v>
      </c>
      <c r="L395" s="2" t="n">
        <v>1</v>
      </c>
      <c r="M395" s="2" t="n">
        <v>1</v>
      </c>
      <c r="N395" s="3" t="n">
        <v>44938</v>
      </c>
      <c r="O395" s="2" t="n">
        <v>1.4</v>
      </c>
      <c r="P395" s="2" t="n">
        <v>2</v>
      </c>
      <c r="Q395" s="62" t="str">
        <f aca="false">IF(ISBLANK(N395),"",IF(N395&lt;DATE(2023,5,1),"OLD","NEW"))</f>
        <v>OLD</v>
      </c>
      <c r="S395" s="33" t="n">
        <f aca="false">IF(COUNTIF('[1]Plate_1-2_LongFormat'!$A$2:$A$193,G395)&gt;0,1,0)</f>
        <v>1</v>
      </c>
      <c r="T395" s="33" t="n">
        <f aca="false">IF(COUNTIF([2]Attached_indexes!$C$2:$C$193,G395)&gt;0,1,0)</f>
        <v>1</v>
      </c>
      <c r="U395" s="59"/>
      <c r="V395" s="1" t="s">
        <v>982</v>
      </c>
    </row>
    <row r="396" customFormat="false" ht="15.75" hidden="false" customHeight="true" outlineLevel="0" collapsed="false">
      <c r="A396" s="18" t="s">
        <v>259</v>
      </c>
      <c r="B396" s="18" t="s">
        <v>259</v>
      </c>
      <c r="C396" s="18" t="s">
        <v>31</v>
      </c>
      <c r="E396" s="66" t="n">
        <v>9</v>
      </c>
      <c r="F396" s="21" t="str">
        <f aca="false">CONCATENATE(B396,"_",C396, TEXT(E396, "000"))</f>
        <v>HHBB_M. laciniatus009</v>
      </c>
      <c r="G396" s="21" t="s">
        <v>280</v>
      </c>
      <c r="H396" s="18" t="n">
        <v>1</v>
      </c>
      <c r="I396" s="22" t="n">
        <v>44671</v>
      </c>
      <c r="J396" s="2" t="s">
        <v>981</v>
      </c>
      <c r="L396" s="2" t="n">
        <v>1</v>
      </c>
      <c r="M396" s="2" t="n">
        <v>1</v>
      </c>
      <c r="N396" s="3" t="n">
        <v>44938</v>
      </c>
      <c r="O396" s="2" t="n">
        <v>1.4</v>
      </c>
      <c r="P396" s="2" t="n">
        <v>2</v>
      </c>
      <c r="Q396" s="62" t="str">
        <f aca="false">IF(ISBLANK(N396),"",IF(N396&lt;DATE(2023,5,1),"OLD","NEW"))</f>
        <v>OLD</v>
      </c>
      <c r="S396" s="33" t="n">
        <f aca="false">IF(COUNTIF('[1]Plate_1-2_LongFormat'!$A$2:$A$193,G396)&gt;0,1,0)</f>
        <v>1</v>
      </c>
      <c r="T396" s="33" t="n">
        <f aca="false">IF(COUNTIF([2]Attached_indexes!$C$2:$C$193,G396)&gt;0,1,0)</f>
        <v>1</v>
      </c>
      <c r="U396" s="59"/>
      <c r="V396" s="1" t="s">
        <v>982</v>
      </c>
    </row>
    <row r="397" customFormat="false" ht="15.75" hidden="false" customHeight="true" outlineLevel="0" collapsed="false">
      <c r="A397" s="18" t="s">
        <v>259</v>
      </c>
      <c r="B397" s="18" t="s">
        <v>259</v>
      </c>
      <c r="C397" s="18" t="s">
        <v>31</v>
      </c>
      <c r="E397" s="66" t="n">
        <v>9</v>
      </c>
      <c r="F397" s="21" t="str">
        <f aca="false">CONCATENATE(B397,"_",C397, TEXT(E397, "000"))</f>
        <v>HHBB_M. laciniatus009</v>
      </c>
      <c r="G397" s="21" t="s">
        <v>280</v>
      </c>
      <c r="H397" s="18" t="n">
        <v>1</v>
      </c>
      <c r="I397" s="22" t="n">
        <v>44671</v>
      </c>
      <c r="J397" s="2" t="s">
        <v>981</v>
      </c>
      <c r="L397" s="2" t="n">
        <v>1</v>
      </c>
      <c r="M397" s="2" t="n">
        <v>1</v>
      </c>
      <c r="N397" s="3" t="n">
        <v>44938</v>
      </c>
      <c r="O397" s="2" t="n">
        <v>1.4</v>
      </c>
      <c r="P397" s="2" t="n">
        <v>2</v>
      </c>
      <c r="Q397" s="62" t="str">
        <f aca="false">IF(ISBLANK(N397),"",IF(N397&lt;DATE(2023,5,1),"OLD","NEW"))</f>
        <v>OLD</v>
      </c>
      <c r="S397" s="33" t="n">
        <f aca="false">IF(COUNTIF('[1]Plate_1-2_LongFormat'!$A$2:$A$193,G397)&gt;0,1,0)</f>
        <v>1</v>
      </c>
      <c r="T397" s="33" t="n">
        <f aca="false">IF(COUNTIF([2]Attached_indexes!$C$2:$C$193,G397)&gt;0,1,0)</f>
        <v>1</v>
      </c>
      <c r="U397" s="59"/>
      <c r="V397" s="1" t="s">
        <v>982</v>
      </c>
    </row>
    <row r="398" customFormat="false" ht="15.75" hidden="false" customHeight="true" outlineLevel="0" collapsed="false">
      <c r="A398" s="18" t="s">
        <v>167</v>
      </c>
      <c r="B398" s="18" t="s">
        <v>167</v>
      </c>
      <c r="C398" s="18" t="s">
        <v>40</v>
      </c>
      <c r="E398" s="66" t="n">
        <v>1</v>
      </c>
      <c r="F398" s="21" t="str">
        <f aca="false">CONCATENATE(B398,"_",C398, TEXT(E398, "000"))</f>
        <v>HULB_M. guttatus001</v>
      </c>
      <c r="G398" s="21" t="s">
        <v>187</v>
      </c>
      <c r="H398" s="18" t="n">
        <v>1</v>
      </c>
      <c r="I398" s="22" t="n">
        <v>44349</v>
      </c>
      <c r="J398" s="2" t="s">
        <v>981</v>
      </c>
      <c r="K398" s="72" t="s">
        <v>1025</v>
      </c>
      <c r="L398" s="2" t="n">
        <v>1</v>
      </c>
      <c r="M398" s="2" t="n">
        <v>1</v>
      </c>
      <c r="N398" s="3" t="n">
        <v>45077</v>
      </c>
      <c r="O398" s="2" t="n">
        <v>4.58</v>
      </c>
      <c r="P398" s="2" t="n">
        <v>4</v>
      </c>
      <c r="Q398" s="62" t="str">
        <f aca="false">IF(ISBLANK(N398),"",IF(N398&lt;DATE(2023,5,1),"OLD","NEW"))</f>
        <v>NEW</v>
      </c>
      <c r="S398" s="33" t="n">
        <f aca="false">IF(COUNTIF('[1]Plate_1-2_LongFormat'!$A$2:$A$193,G398)&gt;0,1,0)</f>
        <v>0</v>
      </c>
      <c r="T398" s="33" t="n">
        <f aca="false">IF(COUNTIF([2]Attached_indexes!$C$2:$C$193,G398)&gt;0,1,0)</f>
        <v>0</v>
      </c>
      <c r="U398" s="59"/>
      <c r="V398" s="1" t="s">
        <v>982</v>
      </c>
    </row>
    <row r="399" customFormat="false" ht="15.75" hidden="false" customHeight="true" outlineLevel="0" collapsed="false">
      <c r="A399" s="18" t="s">
        <v>167</v>
      </c>
      <c r="B399" s="18" t="s">
        <v>167</v>
      </c>
      <c r="C399" s="18" t="s">
        <v>40</v>
      </c>
      <c r="E399" s="66" t="n">
        <v>1</v>
      </c>
      <c r="F399" s="21" t="str">
        <f aca="false">CONCATENATE(B399,"_",C399, TEXT(E399, "000"))</f>
        <v>HULB_M. guttatus001</v>
      </c>
      <c r="G399" s="21" t="s">
        <v>187</v>
      </c>
      <c r="H399" s="18" t="n">
        <v>1</v>
      </c>
      <c r="I399" s="22" t="n">
        <v>44349</v>
      </c>
      <c r="J399" s="2" t="s">
        <v>981</v>
      </c>
      <c r="K399" s="72" t="s">
        <v>1025</v>
      </c>
      <c r="L399" s="2" t="n">
        <v>1</v>
      </c>
      <c r="M399" s="2" t="n">
        <v>1</v>
      </c>
      <c r="N399" s="3" t="n">
        <v>45077</v>
      </c>
      <c r="O399" s="2" t="n">
        <v>4.58</v>
      </c>
      <c r="P399" s="2" t="n">
        <v>4</v>
      </c>
      <c r="Q399" s="62" t="str">
        <f aca="false">IF(ISBLANK(N399),"",IF(N399&lt;DATE(2023,5,1),"OLD","NEW"))</f>
        <v>NEW</v>
      </c>
      <c r="S399" s="33" t="n">
        <f aca="false">IF(COUNTIF('[1]Plate_1-2_LongFormat'!$A$2:$A$193,G399)&gt;0,1,0)</f>
        <v>0</v>
      </c>
      <c r="T399" s="33" t="n">
        <f aca="false">IF(COUNTIF([2]Attached_indexes!$C$2:$C$193,G399)&gt;0,1,0)</f>
        <v>0</v>
      </c>
      <c r="U399" s="59"/>
      <c r="V399" s="1" t="s">
        <v>982</v>
      </c>
    </row>
    <row r="400" customFormat="false" ht="15.75" hidden="false" customHeight="true" outlineLevel="0" collapsed="false">
      <c r="A400" s="18" t="s">
        <v>167</v>
      </c>
      <c r="B400" s="18" t="s">
        <v>167</v>
      </c>
      <c r="C400" s="18" t="s">
        <v>40</v>
      </c>
      <c r="E400" s="66" t="n">
        <v>1</v>
      </c>
      <c r="F400" s="21" t="str">
        <f aca="false">CONCATENATE(B400,"_",C400, TEXT(E400, "000"))</f>
        <v>HULB_M. guttatus001</v>
      </c>
      <c r="G400" s="21" t="s">
        <v>187</v>
      </c>
      <c r="H400" s="18" t="n">
        <v>1</v>
      </c>
      <c r="I400" s="22" t="n">
        <v>44349</v>
      </c>
      <c r="J400" s="2" t="s">
        <v>981</v>
      </c>
      <c r="K400" s="72" t="s">
        <v>1025</v>
      </c>
      <c r="L400" s="2" t="n">
        <v>1</v>
      </c>
      <c r="M400" s="2" t="n">
        <v>1</v>
      </c>
      <c r="N400" s="3" t="n">
        <v>45077</v>
      </c>
      <c r="O400" s="2" t="n">
        <v>4.58</v>
      </c>
      <c r="P400" s="2" t="n">
        <v>4</v>
      </c>
      <c r="Q400" s="62" t="str">
        <f aca="false">IF(ISBLANK(N400),"",IF(N400&lt;DATE(2023,5,1),"OLD","NEW"))</f>
        <v>NEW</v>
      </c>
      <c r="S400" s="33" t="n">
        <f aca="false">IF(COUNTIF('[1]Plate_1-2_LongFormat'!$A$2:$A$193,G400)&gt;0,1,0)</f>
        <v>0</v>
      </c>
      <c r="T400" s="33" t="n">
        <f aca="false">IF(COUNTIF([2]Attached_indexes!$C$2:$C$193,G400)&gt;0,1,0)</f>
        <v>0</v>
      </c>
      <c r="U400" s="59"/>
      <c r="V400" s="1" t="s">
        <v>982</v>
      </c>
    </row>
    <row r="401" customFormat="false" ht="15.75" hidden="false" customHeight="true" outlineLevel="0" collapsed="false">
      <c r="A401" s="18" t="s">
        <v>167</v>
      </c>
      <c r="B401" s="18" t="s">
        <v>167</v>
      </c>
      <c r="C401" s="18" t="s">
        <v>40</v>
      </c>
      <c r="E401" s="66" t="n">
        <v>2</v>
      </c>
      <c r="F401" s="21" t="str">
        <f aca="false">CONCATENATE(B401,"_",C401, TEXT(E401, "000"))</f>
        <v>HULB_M. guttatus002</v>
      </c>
      <c r="G401" s="21" t="s">
        <v>190</v>
      </c>
      <c r="H401" s="18" t="n">
        <v>1</v>
      </c>
      <c r="I401" s="22" t="n">
        <v>44349</v>
      </c>
      <c r="J401" s="2" t="s">
        <v>981</v>
      </c>
      <c r="K401" s="68" t="s">
        <v>1026</v>
      </c>
      <c r="L401" s="2" t="n">
        <v>1</v>
      </c>
      <c r="M401" s="2" t="n">
        <v>1</v>
      </c>
      <c r="N401" s="3" t="n">
        <v>45076</v>
      </c>
      <c r="O401" s="2" t="n">
        <v>2.8</v>
      </c>
      <c r="P401" s="2" t="n">
        <v>4</v>
      </c>
      <c r="Q401" s="62" t="str">
        <f aca="false">IF(ISBLANK(N401),"",IF(N401&lt;DATE(2023,5,1),"OLD","NEW"))</f>
        <v>NEW</v>
      </c>
      <c r="S401" s="33" t="n">
        <f aca="false">IF(COUNTIF('[1]Plate_1-2_LongFormat'!$A$2:$A$193,G401)&gt;0,1,0)</f>
        <v>0</v>
      </c>
      <c r="T401" s="33" t="n">
        <f aca="false">IF(COUNTIF([2]Attached_indexes!$C$2:$C$193,G401)&gt;0,1,0)</f>
        <v>0</v>
      </c>
      <c r="U401" s="59"/>
      <c r="V401" s="1" t="s">
        <v>982</v>
      </c>
    </row>
    <row r="402" customFormat="false" ht="15.75" hidden="false" customHeight="true" outlineLevel="0" collapsed="false">
      <c r="A402" s="18" t="s">
        <v>167</v>
      </c>
      <c r="B402" s="18" t="s">
        <v>167</v>
      </c>
      <c r="C402" s="18" t="s">
        <v>40</v>
      </c>
      <c r="E402" s="66" t="n">
        <v>2</v>
      </c>
      <c r="F402" s="21" t="str">
        <f aca="false">CONCATENATE(B402,"_",C402, TEXT(E402, "000"))</f>
        <v>HULB_M. guttatus002</v>
      </c>
      <c r="G402" s="21" t="s">
        <v>190</v>
      </c>
      <c r="H402" s="18" t="n">
        <v>1</v>
      </c>
      <c r="I402" s="22" t="n">
        <v>44349</v>
      </c>
      <c r="J402" s="2" t="s">
        <v>981</v>
      </c>
      <c r="K402" s="68" t="s">
        <v>1026</v>
      </c>
      <c r="L402" s="2" t="n">
        <v>1</v>
      </c>
      <c r="M402" s="2" t="n">
        <v>1</v>
      </c>
      <c r="N402" s="3" t="n">
        <v>45076</v>
      </c>
      <c r="O402" s="2" t="n">
        <v>2.8</v>
      </c>
      <c r="P402" s="2" t="n">
        <v>4</v>
      </c>
      <c r="Q402" s="62" t="str">
        <f aca="false">IF(ISBLANK(N402),"",IF(N402&lt;DATE(2023,5,1),"OLD","NEW"))</f>
        <v>NEW</v>
      </c>
      <c r="S402" s="33" t="n">
        <f aca="false">IF(COUNTIF('[1]Plate_1-2_LongFormat'!$A$2:$A$193,G402)&gt;0,1,0)</f>
        <v>0</v>
      </c>
      <c r="T402" s="33" t="n">
        <f aca="false">IF(COUNTIF([2]Attached_indexes!$C$2:$C$193,G402)&gt;0,1,0)</f>
        <v>0</v>
      </c>
      <c r="U402" s="59"/>
      <c r="V402" s="1" t="s">
        <v>982</v>
      </c>
    </row>
    <row r="403" customFormat="false" ht="15.75" hidden="false" customHeight="true" outlineLevel="0" collapsed="false">
      <c r="A403" s="18" t="s">
        <v>167</v>
      </c>
      <c r="B403" s="18" t="s">
        <v>167</v>
      </c>
      <c r="C403" s="18" t="s">
        <v>40</v>
      </c>
      <c r="E403" s="66" t="n">
        <v>2</v>
      </c>
      <c r="F403" s="21" t="str">
        <f aca="false">CONCATENATE(B403,"_",C403, TEXT(E403, "000"))</f>
        <v>HULB_M. guttatus002</v>
      </c>
      <c r="G403" s="21" t="s">
        <v>190</v>
      </c>
      <c r="H403" s="18" t="n">
        <v>1</v>
      </c>
      <c r="I403" s="22" t="n">
        <v>44349</v>
      </c>
      <c r="J403" s="2" t="s">
        <v>981</v>
      </c>
      <c r="K403" s="68" t="s">
        <v>1026</v>
      </c>
      <c r="L403" s="2" t="n">
        <v>1</v>
      </c>
      <c r="M403" s="2" t="n">
        <v>1</v>
      </c>
      <c r="N403" s="3" t="n">
        <v>45076</v>
      </c>
      <c r="O403" s="2" t="n">
        <v>2.8</v>
      </c>
      <c r="P403" s="2" t="n">
        <v>4</v>
      </c>
      <c r="Q403" s="62" t="str">
        <f aca="false">IF(ISBLANK(N403),"",IF(N403&lt;DATE(2023,5,1),"OLD","NEW"))</f>
        <v>NEW</v>
      </c>
      <c r="S403" s="33" t="n">
        <f aca="false">IF(COUNTIF('[1]Plate_1-2_LongFormat'!$A$2:$A$193,G403)&gt;0,1,0)</f>
        <v>0</v>
      </c>
      <c r="T403" s="33" t="n">
        <f aca="false">IF(COUNTIF([2]Attached_indexes!$C$2:$C$193,G403)&gt;0,1,0)</f>
        <v>0</v>
      </c>
      <c r="U403" s="59"/>
      <c r="V403" s="1" t="s">
        <v>982</v>
      </c>
    </row>
    <row r="404" customFormat="false" ht="15.75" hidden="false" customHeight="true" outlineLevel="0" collapsed="false">
      <c r="A404" s="18" t="s">
        <v>167</v>
      </c>
      <c r="B404" s="18" t="s">
        <v>167</v>
      </c>
      <c r="C404" s="18" t="s">
        <v>40</v>
      </c>
      <c r="E404" s="66" t="n">
        <v>3</v>
      </c>
      <c r="F404" s="21" t="str">
        <f aca="false">CONCATENATE(B404,"_",C404, TEXT(E404, "000"))</f>
        <v>HULB_M. guttatus003</v>
      </c>
      <c r="G404" s="21" t="s">
        <v>193</v>
      </c>
      <c r="H404" s="18" t="n">
        <v>1</v>
      </c>
      <c r="I404" s="22" t="n">
        <v>44349</v>
      </c>
      <c r="J404" s="2" t="s">
        <v>981</v>
      </c>
      <c r="K404" s="72" t="s">
        <v>1025</v>
      </c>
      <c r="L404" s="2" t="n">
        <v>1</v>
      </c>
      <c r="M404" s="2" t="n">
        <v>1</v>
      </c>
      <c r="N404" s="3" t="n">
        <v>45076</v>
      </c>
      <c r="O404" s="2" t="n">
        <v>8.93</v>
      </c>
      <c r="P404" s="2" t="n">
        <v>4</v>
      </c>
      <c r="Q404" s="62" t="str">
        <f aca="false">IF(ISBLANK(N404),"",IF(N404&lt;DATE(2023,5,1),"OLD","NEW"))</f>
        <v>NEW</v>
      </c>
      <c r="S404" s="33" t="n">
        <f aca="false">IF(COUNTIF('[1]Plate_1-2_LongFormat'!$A$2:$A$193,G404)&gt;0,1,0)</f>
        <v>0</v>
      </c>
      <c r="T404" s="33" t="n">
        <f aca="false">IF(COUNTIF([2]Attached_indexes!$C$2:$C$193,G404)&gt;0,1,0)</f>
        <v>0</v>
      </c>
      <c r="U404" s="59"/>
      <c r="V404" s="1" t="s">
        <v>982</v>
      </c>
    </row>
    <row r="405" customFormat="false" ht="15.75" hidden="false" customHeight="true" outlineLevel="0" collapsed="false">
      <c r="A405" s="18" t="s">
        <v>167</v>
      </c>
      <c r="B405" s="18" t="s">
        <v>167</v>
      </c>
      <c r="C405" s="18" t="s">
        <v>40</v>
      </c>
      <c r="D405" s="2"/>
      <c r="E405" s="66" t="n">
        <v>3</v>
      </c>
      <c r="F405" s="21" t="str">
        <f aca="false">CONCATENATE(B405,"_",C405, TEXT(E405, "000"))</f>
        <v>HULB_M. guttatus003</v>
      </c>
      <c r="G405" s="21" t="s">
        <v>193</v>
      </c>
      <c r="H405" s="18" t="n">
        <v>1</v>
      </c>
      <c r="I405" s="22" t="n">
        <v>44349</v>
      </c>
      <c r="J405" s="2" t="s">
        <v>981</v>
      </c>
      <c r="K405" s="72" t="s">
        <v>1025</v>
      </c>
      <c r="L405" s="2" t="n">
        <v>1</v>
      </c>
      <c r="M405" s="2" t="n">
        <v>2</v>
      </c>
      <c r="N405" s="3" t="n">
        <v>45077</v>
      </c>
      <c r="O405" s="2" t="n">
        <v>8.93</v>
      </c>
      <c r="P405" s="2" t="n">
        <v>4</v>
      </c>
      <c r="Q405" s="62" t="str">
        <f aca="false">IF(ISBLANK(N405),"",IF(N405&lt;DATE(2023,5,1),"OLD","NEW"))</f>
        <v>NEW</v>
      </c>
      <c r="S405" s="33" t="n">
        <f aca="false">IF(COUNTIF('[1]Plate_1-2_LongFormat'!$A$2:$A$193,G405)&gt;0,1,0)</f>
        <v>0</v>
      </c>
      <c r="T405" s="33" t="n">
        <f aca="false">IF(COUNTIF([2]Attached_indexes!$C$2:$C$193,G405)&gt;0,1,0)</f>
        <v>0</v>
      </c>
      <c r="U405" s="59"/>
      <c r="V405" s="1" t="s">
        <v>982</v>
      </c>
    </row>
    <row r="406" customFormat="false" ht="15.75" hidden="false" customHeight="true" outlineLevel="0" collapsed="false">
      <c r="A406" s="18" t="s">
        <v>167</v>
      </c>
      <c r="B406" s="18" t="s">
        <v>167</v>
      </c>
      <c r="C406" s="18" t="s">
        <v>40</v>
      </c>
      <c r="D406" s="2"/>
      <c r="E406" s="66" t="n">
        <v>3</v>
      </c>
      <c r="F406" s="21" t="str">
        <f aca="false">CONCATENATE(B406,"_",C406, TEXT(E406, "000"))</f>
        <v>HULB_M. guttatus003</v>
      </c>
      <c r="G406" s="21" t="s">
        <v>193</v>
      </c>
      <c r="H406" s="18" t="n">
        <v>1</v>
      </c>
      <c r="I406" s="22" t="n">
        <v>44349</v>
      </c>
      <c r="J406" s="2" t="s">
        <v>981</v>
      </c>
      <c r="K406" s="72" t="s">
        <v>1025</v>
      </c>
      <c r="L406" s="2" t="n">
        <v>1</v>
      </c>
      <c r="M406" s="2" t="n">
        <v>3</v>
      </c>
      <c r="N406" s="3" t="n">
        <v>45078</v>
      </c>
      <c r="O406" s="2" t="n">
        <v>8.93</v>
      </c>
      <c r="P406" s="2" t="n">
        <v>4</v>
      </c>
      <c r="Q406" s="62" t="str">
        <f aca="false">IF(ISBLANK(N406),"",IF(N406&lt;DATE(2023,5,1),"OLD","NEW"))</f>
        <v>NEW</v>
      </c>
      <c r="S406" s="33" t="n">
        <f aca="false">IF(COUNTIF('[1]Plate_1-2_LongFormat'!$A$2:$A$193,G406)&gt;0,1,0)</f>
        <v>0</v>
      </c>
      <c r="T406" s="33" t="n">
        <f aca="false">IF(COUNTIF([2]Attached_indexes!$C$2:$C$193,G406)&gt;0,1,0)</f>
        <v>0</v>
      </c>
      <c r="U406" s="59"/>
      <c r="V406" s="1" t="s">
        <v>982</v>
      </c>
    </row>
    <row r="407" customFormat="false" ht="15.75" hidden="false" customHeight="true" outlineLevel="0" collapsed="false">
      <c r="A407" s="18" t="s">
        <v>167</v>
      </c>
      <c r="B407" s="18" t="s">
        <v>167</v>
      </c>
      <c r="C407" s="18" t="s">
        <v>40</v>
      </c>
      <c r="D407" s="2"/>
      <c r="E407" s="66" t="n">
        <v>4</v>
      </c>
      <c r="F407" s="21" t="str">
        <f aca="false">CONCATENATE(B407,"_",C407, TEXT(E407, "000"))</f>
        <v>HULB_M. guttatus004</v>
      </c>
      <c r="G407" s="21" t="s">
        <v>195</v>
      </c>
      <c r="H407" s="18" t="n">
        <v>1</v>
      </c>
      <c r="I407" s="22" t="n">
        <v>44349</v>
      </c>
      <c r="J407" s="2" t="s">
        <v>981</v>
      </c>
      <c r="K407" s="72" t="s">
        <v>1025</v>
      </c>
      <c r="L407" s="2" t="n">
        <v>1</v>
      </c>
      <c r="M407" s="2" t="n">
        <v>1</v>
      </c>
      <c r="N407" s="3" t="n">
        <v>45076</v>
      </c>
      <c r="O407" s="2" t="n">
        <v>15.4</v>
      </c>
      <c r="P407" s="2" t="n">
        <v>4</v>
      </c>
      <c r="Q407" s="62" t="str">
        <f aca="false">IF(ISBLANK(N407),"",IF(N407&lt;DATE(2023,5,1),"OLD","NEW"))</f>
        <v>NEW</v>
      </c>
      <c r="S407" s="33" t="n">
        <f aca="false">IF(COUNTIF('[1]Plate_1-2_LongFormat'!$A$2:$A$193,G407)&gt;0,1,0)</f>
        <v>0</v>
      </c>
      <c r="T407" s="33" t="n">
        <f aca="false">IF(COUNTIF([2]Attached_indexes!$C$2:$C$193,G407)&gt;0,1,0)</f>
        <v>0</v>
      </c>
      <c r="U407" s="59"/>
      <c r="V407" s="1" t="s">
        <v>982</v>
      </c>
    </row>
    <row r="408" customFormat="false" ht="15.75" hidden="false" customHeight="true" outlineLevel="0" collapsed="false">
      <c r="A408" s="18" t="s">
        <v>167</v>
      </c>
      <c r="B408" s="18" t="s">
        <v>167</v>
      </c>
      <c r="C408" s="18" t="s">
        <v>40</v>
      </c>
      <c r="D408" s="2"/>
      <c r="E408" s="66" t="n">
        <v>4</v>
      </c>
      <c r="F408" s="21" t="str">
        <f aca="false">CONCATENATE(B408,"_",C408, TEXT(E408, "000"))</f>
        <v>HULB_M. guttatus004</v>
      </c>
      <c r="G408" s="21" t="s">
        <v>195</v>
      </c>
      <c r="H408" s="18" t="n">
        <v>1</v>
      </c>
      <c r="I408" s="22" t="n">
        <v>44349</v>
      </c>
      <c r="J408" s="2" t="s">
        <v>981</v>
      </c>
      <c r="K408" s="72" t="s">
        <v>1025</v>
      </c>
      <c r="L408" s="2" t="n">
        <v>1</v>
      </c>
      <c r="M408" s="2" t="n">
        <v>1</v>
      </c>
      <c r="N408" s="3" t="n">
        <v>45076</v>
      </c>
      <c r="O408" s="2" t="n">
        <v>15.4</v>
      </c>
      <c r="P408" s="2" t="n">
        <v>4</v>
      </c>
      <c r="Q408" s="62" t="str">
        <f aca="false">IF(ISBLANK(N408),"",IF(N408&lt;DATE(2023,5,1),"OLD","NEW"))</f>
        <v>NEW</v>
      </c>
      <c r="S408" s="33" t="n">
        <f aca="false">IF(COUNTIF('[1]Plate_1-2_LongFormat'!$A$2:$A$193,G408)&gt;0,1,0)</f>
        <v>0</v>
      </c>
      <c r="T408" s="33" t="n">
        <f aca="false">IF(COUNTIF([2]Attached_indexes!$C$2:$C$193,G408)&gt;0,1,0)</f>
        <v>0</v>
      </c>
      <c r="U408" s="59"/>
      <c r="V408" s="1" t="s">
        <v>982</v>
      </c>
    </row>
    <row r="409" customFormat="false" ht="15.75" hidden="false" customHeight="true" outlineLevel="0" collapsed="false">
      <c r="A409" s="18" t="s">
        <v>167</v>
      </c>
      <c r="B409" s="18" t="s">
        <v>167</v>
      </c>
      <c r="C409" s="18" t="s">
        <v>40</v>
      </c>
      <c r="E409" s="66" t="n">
        <v>4</v>
      </c>
      <c r="F409" s="21" t="str">
        <f aca="false">CONCATENATE(B409,"_",C409, TEXT(E409, "000"))</f>
        <v>HULB_M. guttatus004</v>
      </c>
      <c r="G409" s="21" t="s">
        <v>195</v>
      </c>
      <c r="H409" s="18" t="n">
        <v>1</v>
      </c>
      <c r="I409" s="22" t="n">
        <v>44349</v>
      </c>
      <c r="J409" s="2" t="s">
        <v>981</v>
      </c>
      <c r="K409" s="72" t="s">
        <v>1025</v>
      </c>
      <c r="L409" s="2" t="n">
        <v>1</v>
      </c>
      <c r="M409" s="2" t="n">
        <v>1</v>
      </c>
      <c r="N409" s="3" t="n">
        <v>45076</v>
      </c>
      <c r="O409" s="2" t="n">
        <v>15.4</v>
      </c>
      <c r="P409" s="2" t="n">
        <v>4</v>
      </c>
      <c r="Q409" s="62" t="str">
        <f aca="false">IF(ISBLANK(N409),"",IF(N409&lt;DATE(2023,5,1),"OLD","NEW"))</f>
        <v>NEW</v>
      </c>
      <c r="S409" s="33" t="n">
        <f aca="false">IF(COUNTIF('[1]Plate_1-2_LongFormat'!$A$2:$A$193,G409)&gt;0,1,0)</f>
        <v>0</v>
      </c>
      <c r="T409" s="33" t="n">
        <f aca="false">IF(COUNTIF([2]Attached_indexes!$C$2:$C$193,G409)&gt;0,1,0)</f>
        <v>0</v>
      </c>
      <c r="U409" s="59"/>
      <c r="V409" s="1" t="s">
        <v>982</v>
      </c>
    </row>
    <row r="410" customFormat="false" ht="15.75" hidden="false" customHeight="true" outlineLevel="0" collapsed="false">
      <c r="A410" s="18" t="s">
        <v>167</v>
      </c>
      <c r="B410" s="18" t="s">
        <v>167</v>
      </c>
      <c r="C410" s="18" t="s">
        <v>40</v>
      </c>
      <c r="E410" s="66" t="n">
        <v>5</v>
      </c>
      <c r="F410" s="21" t="str">
        <f aca="false">CONCATENATE(B410,"_",C410, TEXT(E410, "000"))</f>
        <v>HULB_M. guttatus005</v>
      </c>
      <c r="G410" s="21" t="s">
        <v>198</v>
      </c>
      <c r="H410" s="18" t="n">
        <v>1</v>
      </c>
      <c r="I410" s="22" t="n">
        <v>44349</v>
      </c>
      <c r="J410" s="2" t="s">
        <v>981</v>
      </c>
      <c r="K410" s="72" t="s">
        <v>1025</v>
      </c>
      <c r="L410" s="2" t="n">
        <v>1</v>
      </c>
      <c r="M410" s="2" t="n">
        <v>1</v>
      </c>
      <c r="N410" s="3" t="n">
        <v>45076</v>
      </c>
      <c r="O410" s="2" t="n">
        <v>10.1</v>
      </c>
      <c r="P410" s="2" t="n">
        <v>4</v>
      </c>
      <c r="Q410" s="62" t="str">
        <f aca="false">IF(ISBLANK(N410),"",IF(N410&lt;DATE(2023,5,1),"OLD","NEW"))</f>
        <v>NEW</v>
      </c>
      <c r="S410" s="33" t="n">
        <f aca="false">IF(COUNTIF('[1]Plate_1-2_LongFormat'!$A$2:$A$193,G410)&gt;0,1,0)</f>
        <v>0</v>
      </c>
      <c r="T410" s="33" t="n">
        <f aca="false">IF(COUNTIF([2]Attached_indexes!$C$2:$C$193,G410)&gt;0,1,0)</f>
        <v>0</v>
      </c>
      <c r="U410" s="59"/>
      <c r="V410" s="1" t="s">
        <v>982</v>
      </c>
    </row>
    <row r="411" customFormat="false" ht="15.75" hidden="false" customHeight="true" outlineLevel="0" collapsed="false">
      <c r="A411" s="18" t="s">
        <v>167</v>
      </c>
      <c r="B411" s="18" t="s">
        <v>167</v>
      </c>
      <c r="C411" s="18" t="s">
        <v>40</v>
      </c>
      <c r="E411" s="66" t="n">
        <v>5</v>
      </c>
      <c r="F411" s="21" t="str">
        <f aca="false">CONCATENATE(B411,"_",C411, TEXT(E411, "000"))</f>
        <v>HULB_M. guttatus005</v>
      </c>
      <c r="G411" s="21" t="s">
        <v>198</v>
      </c>
      <c r="H411" s="18" t="n">
        <v>1</v>
      </c>
      <c r="I411" s="22" t="n">
        <v>44349</v>
      </c>
      <c r="J411" s="2" t="s">
        <v>981</v>
      </c>
      <c r="K411" s="72" t="s">
        <v>1025</v>
      </c>
      <c r="L411" s="2" t="n">
        <v>1</v>
      </c>
      <c r="M411" s="2" t="n">
        <v>1</v>
      </c>
      <c r="N411" s="3" t="n">
        <v>45076</v>
      </c>
      <c r="O411" s="2" t="n">
        <v>10.1</v>
      </c>
      <c r="P411" s="2" t="n">
        <v>4</v>
      </c>
      <c r="Q411" s="62" t="str">
        <f aca="false">IF(ISBLANK(N411),"",IF(N411&lt;DATE(2023,5,1),"OLD","NEW"))</f>
        <v>NEW</v>
      </c>
      <c r="S411" s="33" t="n">
        <f aca="false">IF(COUNTIF('[1]Plate_1-2_LongFormat'!$A$2:$A$193,G411)&gt;0,1,0)</f>
        <v>0</v>
      </c>
      <c r="T411" s="33" t="n">
        <f aca="false">IF(COUNTIF([2]Attached_indexes!$C$2:$C$193,G411)&gt;0,1,0)</f>
        <v>0</v>
      </c>
      <c r="U411" s="59"/>
      <c r="V411" s="1" t="s">
        <v>982</v>
      </c>
    </row>
    <row r="412" customFormat="false" ht="15.75" hidden="false" customHeight="true" outlineLevel="0" collapsed="false">
      <c r="A412" s="18" t="s">
        <v>167</v>
      </c>
      <c r="B412" s="18" t="s">
        <v>167</v>
      </c>
      <c r="C412" s="18" t="s">
        <v>40</v>
      </c>
      <c r="E412" s="66" t="n">
        <v>5</v>
      </c>
      <c r="F412" s="21" t="str">
        <f aca="false">CONCATENATE(B412,"_",C412, TEXT(E412, "000"))</f>
        <v>HULB_M. guttatus005</v>
      </c>
      <c r="G412" s="21" t="s">
        <v>198</v>
      </c>
      <c r="H412" s="18" t="n">
        <v>1</v>
      </c>
      <c r="I412" s="22" t="n">
        <v>44349</v>
      </c>
      <c r="J412" s="2" t="s">
        <v>981</v>
      </c>
      <c r="K412" s="72" t="s">
        <v>1025</v>
      </c>
      <c r="L412" s="2" t="n">
        <v>1</v>
      </c>
      <c r="M412" s="2" t="n">
        <v>1</v>
      </c>
      <c r="N412" s="3" t="n">
        <v>45076</v>
      </c>
      <c r="O412" s="2" t="n">
        <v>10.1</v>
      </c>
      <c r="P412" s="2" t="n">
        <v>4</v>
      </c>
      <c r="Q412" s="62" t="str">
        <f aca="false">IF(ISBLANK(N412),"",IF(N412&lt;DATE(2023,5,1),"OLD","NEW"))</f>
        <v>NEW</v>
      </c>
      <c r="S412" s="33" t="n">
        <f aca="false">IF(COUNTIF('[1]Plate_1-2_LongFormat'!$A$2:$A$193,G412)&gt;0,1,0)</f>
        <v>0</v>
      </c>
      <c r="T412" s="33" t="n">
        <f aca="false">IF(COUNTIF([2]Attached_indexes!$C$2:$C$193,G412)&gt;0,1,0)</f>
        <v>0</v>
      </c>
      <c r="U412" s="59"/>
      <c r="V412" s="1" t="s">
        <v>982</v>
      </c>
    </row>
    <row r="413" customFormat="false" ht="15.75" hidden="false" customHeight="true" outlineLevel="0" collapsed="false">
      <c r="A413" s="18" t="s">
        <v>167</v>
      </c>
      <c r="B413" s="18" t="s">
        <v>167</v>
      </c>
      <c r="C413" s="18" t="s">
        <v>31</v>
      </c>
      <c r="E413" s="66" t="n">
        <v>1</v>
      </c>
      <c r="F413" s="21" t="str">
        <f aca="false">CONCATENATE(B413,"_",C413, TEXT(E413, "000"))</f>
        <v>HULB_M. laciniatus001</v>
      </c>
      <c r="G413" s="21" t="s">
        <v>169</v>
      </c>
      <c r="H413" s="18" t="n">
        <v>1</v>
      </c>
      <c r="I413" s="22" t="n">
        <v>44349</v>
      </c>
      <c r="J413" s="2" t="s">
        <v>981</v>
      </c>
      <c r="K413" s="68" t="s">
        <v>987</v>
      </c>
      <c r="L413" s="2" t="n">
        <v>1</v>
      </c>
      <c r="M413" s="2" t="n">
        <v>1</v>
      </c>
      <c r="N413" s="3" t="n">
        <v>45076</v>
      </c>
      <c r="O413" s="2" t="n">
        <v>4.15</v>
      </c>
      <c r="P413" s="2" t="n">
        <v>4</v>
      </c>
      <c r="Q413" s="62" t="str">
        <f aca="false">IF(ISBLANK(N413),"",IF(N413&lt;DATE(2023,5,1),"OLD","NEW"))</f>
        <v>NEW</v>
      </c>
      <c r="S413" s="33" t="n">
        <f aca="false">IF(COUNTIF('[1]Plate_1-2_LongFormat'!$A$2:$A$193,G413)&gt;0,1,0)</f>
        <v>0</v>
      </c>
      <c r="T413" s="33" t="n">
        <f aca="false">IF(COUNTIF([2]Attached_indexes!$C$2:$C$193,G413)&gt;0,1,0)</f>
        <v>0</v>
      </c>
      <c r="U413" s="59"/>
      <c r="V413" s="1" t="s">
        <v>982</v>
      </c>
    </row>
    <row r="414" customFormat="false" ht="15.75" hidden="false" customHeight="true" outlineLevel="0" collapsed="false">
      <c r="A414" s="18" t="s">
        <v>167</v>
      </c>
      <c r="B414" s="18" t="s">
        <v>167</v>
      </c>
      <c r="C414" s="18" t="s">
        <v>31</v>
      </c>
      <c r="E414" s="66" t="n">
        <v>1</v>
      </c>
      <c r="F414" s="21" t="str">
        <f aca="false">CONCATENATE(B414,"_",C414, TEXT(E414, "000"))</f>
        <v>HULB_M. laciniatus001</v>
      </c>
      <c r="G414" s="21" t="s">
        <v>169</v>
      </c>
      <c r="H414" s="18" t="n">
        <v>1</v>
      </c>
      <c r="I414" s="22" t="n">
        <v>44349</v>
      </c>
      <c r="J414" s="2" t="s">
        <v>981</v>
      </c>
      <c r="K414" s="68" t="s">
        <v>987</v>
      </c>
      <c r="L414" s="2" t="n">
        <v>1</v>
      </c>
      <c r="M414" s="2" t="n">
        <v>1</v>
      </c>
      <c r="N414" s="3" t="n">
        <v>45076</v>
      </c>
      <c r="O414" s="2" t="n">
        <v>4.15</v>
      </c>
      <c r="P414" s="2" t="n">
        <v>4</v>
      </c>
      <c r="Q414" s="62" t="str">
        <f aca="false">IF(ISBLANK(N414),"",IF(N414&lt;DATE(2023,5,1),"OLD","NEW"))</f>
        <v>NEW</v>
      </c>
      <c r="S414" s="33" t="n">
        <f aca="false">IF(COUNTIF('[1]Plate_1-2_LongFormat'!$A$2:$A$193,G414)&gt;0,1,0)</f>
        <v>0</v>
      </c>
      <c r="T414" s="33" t="n">
        <f aca="false">IF(COUNTIF([2]Attached_indexes!$C$2:$C$193,G414)&gt;0,1,0)</f>
        <v>0</v>
      </c>
      <c r="U414" s="59"/>
      <c r="V414" s="1" t="s">
        <v>982</v>
      </c>
    </row>
    <row r="415" customFormat="false" ht="15.75" hidden="false" customHeight="true" outlineLevel="0" collapsed="false">
      <c r="A415" s="18" t="s">
        <v>167</v>
      </c>
      <c r="B415" s="18" t="s">
        <v>167</v>
      </c>
      <c r="C415" s="18" t="s">
        <v>31</v>
      </c>
      <c r="E415" s="66" t="n">
        <v>1</v>
      </c>
      <c r="F415" s="21" t="str">
        <f aca="false">CONCATENATE(B415,"_",C415, TEXT(E415, "000"))</f>
        <v>HULB_M. laciniatus001</v>
      </c>
      <c r="G415" s="21" t="s">
        <v>169</v>
      </c>
      <c r="H415" s="18" t="n">
        <v>1</v>
      </c>
      <c r="I415" s="22" t="n">
        <v>44349</v>
      </c>
      <c r="J415" s="2" t="s">
        <v>981</v>
      </c>
      <c r="K415" s="68" t="s">
        <v>987</v>
      </c>
      <c r="L415" s="2" t="n">
        <v>1</v>
      </c>
      <c r="M415" s="2" t="n">
        <v>1</v>
      </c>
      <c r="N415" s="3" t="n">
        <v>45076</v>
      </c>
      <c r="O415" s="2" t="n">
        <v>4.15</v>
      </c>
      <c r="P415" s="2" t="n">
        <v>4</v>
      </c>
      <c r="Q415" s="62" t="str">
        <f aca="false">IF(ISBLANK(N415),"",IF(N415&lt;DATE(2023,5,1),"OLD","NEW"))</f>
        <v>NEW</v>
      </c>
      <c r="S415" s="33" t="n">
        <f aca="false">IF(COUNTIF('[1]Plate_1-2_LongFormat'!$A$2:$A$193,G415)&gt;0,1,0)</f>
        <v>0</v>
      </c>
      <c r="T415" s="33" t="n">
        <f aca="false">IF(COUNTIF([2]Attached_indexes!$C$2:$C$193,G415)&gt;0,1,0)</f>
        <v>0</v>
      </c>
      <c r="U415" s="59"/>
      <c r="V415" s="1" t="s">
        <v>982</v>
      </c>
    </row>
    <row r="416" customFormat="false" ht="15.75" hidden="false" customHeight="true" outlineLevel="0" collapsed="false">
      <c r="A416" s="18" t="s">
        <v>167</v>
      </c>
      <c r="B416" s="18" t="s">
        <v>167</v>
      </c>
      <c r="C416" s="18" t="s">
        <v>31</v>
      </c>
      <c r="E416" s="66" t="n">
        <v>2</v>
      </c>
      <c r="F416" s="21" t="str">
        <f aca="false">CONCATENATE(B416,"_",C416, TEXT(E416, "000"))</f>
        <v>HULB_M. laciniatus002</v>
      </c>
      <c r="G416" s="21" t="s">
        <v>175</v>
      </c>
      <c r="H416" s="18" t="n">
        <v>1</v>
      </c>
      <c r="I416" s="22" t="n">
        <v>44349</v>
      </c>
      <c r="J416" s="2" t="s">
        <v>981</v>
      </c>
      <c r="L416" s="2" t="n">
        <v>1</v>
      </c>
      <c r="M416" s="2" t="n">
        <v>1</v>
      </c>
      <c r="N416" s="3" t="n">
        <v>44999</v>
      </c>
      <c r="O416" s="2" t="n">
        <v>7.4</v>
      </c>
      <c r="P416" s="2" t="n">
        <v>3</v>
      </c>
      <c r="Q416" s="62" t="str">
        <f aca="false">IF(ISBLANK(N416),"",IF(N416&lt;DATE(2023,5,1),"OLD","NEW"))</f>
        <v>OLD</v>
      </c>
      <c r="S416" s="33" t="n">
        <f aca="false">IF(COUNTIF('[1]Plate_1-2_LongFormat'!$A$2:$A$193,G416)&gt;0,1,0)</f>
        <v>1</v>
      </c>
      <c r="T416" s="33" t="n">
        <f aca="false">IF(COUNTIF([2]Attached_indexes!$C$2:$C$193,G416)&gt;0,1,0)</f>
        <v>1</v>
      </c>
      <c r="U416" s="59"/>
      <c r="V416" s="1" t="s">
        <v>982</v>
      </c>
    </row>
    <row r="417" customFormat="false" ht="15.75" hidden="false" customHeight="true" outlineLevel="0" collapsed="false">
      <c r="A417" s="18" t="s">
        <v>167</v>
      </c>
      <c r="B417" s="18" t="s">
        <v>167</v>
      </c>
      <c r="C417" s="18" t="s">
        <v>31</v>
      </c>
      <c r="E417" s="66" t="n">
        <v>2</v>
      </c>
      <c r="F417" s="21" t="str">
        <f aca="false">CONCATENATE(B417,"_",C417, TEXT(E417, "000"))</f>
        <v>HULB_M. laciniatus002</v>
      </c>
      <c r="G417" s="21" t="s">
        <v>175</v>
      </c>
      <c r="H417" s="18" t="n">
        <v>1</v>
      </c>
      <c r="I417" s="22" t="n">
        <v>44349</v>
      </c>
      <c r="J417" s="2" t="s">
        <v>981</v>
      </c>
      <c r="L417" s="2" t="n">
        <v>1</v>
      </c>
      <c r="M417" s="2" t="n">
        <v>1</v>
      </c>
      <c r="N417" s="3" t="n">
        <v>44999</v>
      </c>
      <c r="O417" s="2" t="n">
        <v>7.4</v>
      </c>
      <c r="P417" s="2" t="n">
        <v>3</v>
      </c>
      <c r="Q417" s="62" t="str">
        <f aca="false">IF(ISBLANK(N417),"",IF(N417&lt;DATE(2023,5,1),"OLD","NEW"))</f>
        <v>OLD</v>
      </c>
      <c r="S417" s="33" t="n">
        <f aca="false">IF(COUNTIF('[1]Plate_1-2_LongFormat'!$A$2:$A$193,G417)&gt;0,1,0)</f>
        <v>1</v>
      </c>
      <c r="T417" s="33" t="n">
        <f aca="false">IF(COUNTIF([2]Attached_indexes!$C$2:$C$193,G417)&gt;0,1,0)</f>
        <v>1</v>
      </c>
      <c r="U417" s="59"/>
      <c r="V417" s="1" t="s">
        <v>982</v>
      </c>
    </row>
    <row r="418" customFormat="false" ht="15.75" hidden="false" customHeight="true" outlineLevel="0" collapsed="false">
      <c r="A418" s="18" t="s">
        <v>167</v>
      </c>
      <c r="B418" s="18" t="s">
        <v>167</v>
      </c>
      <c r="C418" s="18" t="s">
        <v>31</v>
      </c>
      <c r="E418" s="66" t="n">
        <v>2</v>
      </c>
      <c r="F418" s="21" t="str">
        <f aca="false">CONCATENATE(B418,"_",C418, TEXT(E418, "000"))</f>
        <v>HULB_M. laciniatus002</v>
      </c>
      <c r="G418" s="21" t="s">
        <v>175</v>
      </c>
      <c r="H418" s="18" t="n">
        <v>1</v>
      </c>
      <c r="I418" s="22" t="n">
        <v>44349</v>
      </c>
      <c r="J418" s="2" t="s">
        <v>981</v>
      </c>
      <c r="L418" s="2" t="n">
        <v>1</v>
      </c>
      <c r="M418" s="2" t="n">
        <v>1</v>
      </c>
      <c r="N418" s="3" t="n">
        <v>44999</v>
      </c>
      <c r="O418" s="2" t="n">
        <v>7.4</v>
      </c>
      <c r="P418" s="2" t="n">
        <v>3</v>
      </c>
      <c r="Q418" s="62" t="str">
        <f aca="false">IF(ISBLANK(N418),"",IF(N418&lt;DATE(2023,5,1),"OLD","NEW"))</f>
        <v>OLD</v>
      </c>
      <c r="S418" s="33" t="n">
        <f aca="false">IF(COUNTIF('[1]Plate_1-2_LongFormat'!$A$2:$A$193,G418)&gt;0,1,0)</f>
        <v>1</v>
      </c>
      <c r="T418" s="33" t="n">
        <f aca="false">IF(COUNTIF([2]Attached_indexes!$C$2:$C$193,G418)&gt;0,1,0)</f>
        <v>1</v>
      </c>
      <c r="U418" s="59"/>
      <c r="V418" s="1" t="s">
        <v>982</v>
      </c>
    </row>
    <row r="419" customFormat="false" ht="15.75" hidden="false" customHeight="true" outlineLevel="0" collapsed="false">
      <c r="A419" s="18" t="s">
        <v>167</v>
      </c>
      <c r="B419" s="18" t="s">
        <v>167</v>
      </c>
      <c r="C419" s="18" t="s">
        <v>31</v>
      </c>
      <c r="E419" s="66" t="n">
        <v>3</v>
      </c>
      <c r="F419" s="21" t="str">
        <f aca="false">CONCATENATE(B419,"_",C419, TEXT(E419, "000"))</f>
        <v>HULB_M. laciniatus003</v>
      </c>
      <c r="G419" s="21" t="s">
        <v>178</v>
      </c>
      <c r="H419" s="18" t="n">
        <v>1</v>
      </c>
      <c r="I419" s="22" t="n">
        <v>44349</v>
      </c>
      <c r="J419" s="2" t="s">
        <v>981</v>
      </c>
      <c r="K419" s="2" t="s">
        <v>1027</v>
      </c>
      <c r="L419" s="2" t="n">
        <v>1</v>
      </c>
      <c r="M419" s="2" t="n">
        <v>1</v>
      </c>
      <c r="N419" s="3" t="n">
        <v>45076</v>
      </c>
      <c r="O419" s="2" t="n">
        <v>10</v>
      </c>
      <c r="P419" s="2" t="n">
        <v>4</v>
      </c>
      <c r="Q419" s="62" t="str">
        <f aca="false">IF(ISBLANK(N419),"",IF(N419&lt;DATE(2023,5,1),"OLD","NEW"))</f>
        <v>NEW</v>
      </c>
      <c r="S419" s="33" t="n">
        <f aca="false">IF(COUNTIF('[1]Plate_1-2_LongFormat'!$A$2:$A$193,G419)&gt;0,1,0)</f>
        <v>0</v>
      </c>
      <c r="T419" s="33" t="n">
        <f aca="false">IF(COUNTIF([2]Attached_indexes!$C$2:$C$193,G419)&gt;0,1,0)</f>
        <v>0</v>
      </c>
      <c r="U419" s="59"/>
      <c r="V419" s="1" t="s">
        <v>982</v>
      </c>
    </row>
    <row r="420" customFormat="false" ht="15.75" hidden="false" customHeight="true" outlineLevel="0" collapsed="false">
      <c r="A420" s="18" t="s">
        <v>167</v>
      </c>
      <c r="B420" s="18" t="s">
        <v>167</v>
      </c>
      <c r="C420" s="18" t="s">
        <v>31</v>
      </c>
      <c r="E420" s="66" t="n">
        <v>3</v>
      </c>
      <c r="F420" s="21" t="str">
        <f aca="false">CONCATENATE(B420,"_",C420, TEXT(E420, "000"))</f>
        <v>HULB_M. laciniatus003</v>
      </c>
      <c r="G420" s="21" t="s">
        <v>178</v>
      </c>
      <c r="H420" s="18" t="n">
        <v>1</v>
      </c>
      <c r="I420" s="22" t="n">
        <v>44349</v>
      </c>
      <c r="J420" s="2" t="s">
        <v>981</v>
      </c>
      <c r="K420" s="2" t="s">
        <v>1027</v>
      </c>
      <c r="L420" s="2" t="n">
        <v>1</v>
      </c>
      <c r="M420" s="2" t="n">
        <v>1</v>
      </c>
      <c r="N420" s="3" t="n">
        <v>45076</v>
      </c>
      <c r="O420" s="2" t="n">
        <v>10</v>
      </c>
      <c r="P420" s="2" t="n">
        <v>4</v>
      </c>
      <c r="Q420" s="62" t="str">
        <f aca="false">IF(ISBLANK(N420),"",IF(N420&lt;DATE(2023,5,1),"OLD","NEW"))</f>
        <v>NEW</v>
      </c>
      <c r="S420" s="33" t="n">
        <f aca="false">IF(COUNTIF('[1]Plate_1-2_LongFormat'!$A$2:$A$193,G420)&gt;0,1,0)</f>
        <v>0</v>
      </c>
      <c r="T420" s="33" t="n">
        <f aca="false">IF(COUNTIF([2]Attached_indexes!$C$2:$C$193,G420)&gt;0,1,0)</f>
        <v>0</v>
      </c>
      <c r="U420" s="59"/>
      <c r="V420" s="1" t="s">
        <v>982</v>
      </c>
    </row>
    <row r="421" customFormat="false" ht="15.75" hidden="false" customHeight="true" outlineLevel="0" collapsed="false">
      <c r="A421" s="18" t="s">
        <v>167</v>
      </c>
      <c r="B421" s="18" t="s">
        <v>167</v>
      </c>
      <c r="C421" s="18" t="s">
        <v>31</v>
      </c>
      <c r="E421" s="66" t="n">
        <v>3</v>
      </c>
      <c r="F421" s="21" t="str">
        <f aca="false">CONCATENATE(B421,"_",C421, TEXT(E421, "000"))</f>
        <v>HULB_M. laciniatus003</v>
      </c>
      <c r="G421" s="21" t="s">
        <v>178</v>
      </c>
      <c r="H421" s="18" t="n">
        <v>1</v>
      </c>
      <c r="I421" s="22" t="n">
        <v>44349</v>
      </c>
      <c r="J421" s="2" t="s">
        <v>981</v>
      </c>
      <c r="K421" s="2" t="s">
        <v>1027</v>
      </c>
      <c r="L421" s="2" t="n">
        <v>1</v>
      </c>
      <c r="M421" s="2" t="n">
        <v>1</v>
      </c>
      <c r="N421" s="3" t="n">
        <v>45076</v>
      </c>
      <c r="O421" s="2" t="n">
        <v>10</v>
      </c>
      <c r="P421" s="2" t="n">
        <v>4</v>
      </c>
      <c r="Q421" s="62" t="str">
        <f aca="false">IF(ISBLANK(N421),"",IF(N421&lt;DATE(2023,5,1),"OLD","NEW"))</f>
        <v>NEW</v>
      </c>
      <c r="S421" s="33" t="n">
        <f aca="false">IF(COUNTIF('[1]Plate_1-2_LongFormat'!$A$2:$A$193,G421)&gt;0,1,0)</f>
        <v>0</v>
      </c>
      <c r="T421" s="33" t="n">
        <f aca="false">IF(COUNTIF([2]Attached_indexes!$C$2:$C$193,G421)&gt;0,1,0)</f>
        <v>0</v>
      </c>
      <c r="U421" s="59"/>
      <c r="V421" s="1" t="s">
        <v>982</v>
      </c>
    </row>
    <row r="422" customFormat="false" ht="15.75" hidden="false" customHeight="true" outlineLevel="0" collapsed="false">
      <c r="A422" s="18" t="s">
        <v>167</v>
      </c>
      <c r="B422" s="18" t="s">
        <v>167</v>
      </c>
      <c r="C422" s="18" t="s">
        <v>31</v>
      </c>
      <c r="E422" s="66" t="n">
        <v>4</v>
      </c>
      <c r="F422" s="21" t="str">
        <f aca="false">CONCATENATE(B422,"_",C422, TEXT(E422, "000"))</f>
        <v>HULB_M. laciniatus004</v>
      </c>
      <c r="G422" s="21" t="s">
        <v>181</v>
      </c>
      <c r="H422" s="18" t="n">
        <v>1</v>
      </c>
      <c r="I422" s="22" t="n">
        <v>44349</v>
      </c>
      <c r="J422" s="2" t="s">
        <v>981</v>
      </c>
      <c r="K422" s="68" t="s">
        <v>1028</v>
      </c>
      <c r="L422" s="2" t="n">
        <v>1</v>
      </c>
      <c r="M422" s="2" t="n">
        <v>1</v>
      </c>
      <c r="N422" s="3" t="n">
        <v>45076</v>
      </c>
      <c r="O422" s="2" t="n">
        <v>2.66</v>
      </c>
      <c r="P422" s="2" t="n">
        <v>4</v>
      </c>
      <c r="Q422" s="62" t="str">
        <f aca="false">IF(ISBLANK(N422),"",IF(N422&lt;DATE(2023,5,1),"OLD","NEW"))</f>
        <v>NEW</v>
      </c>
      <c r="S422" s="33" t="n">
        <f aca="false">IF(COUNTIF('[1]Plate_1-2_LongFormat'!$A$2:$A$193,G422)&gt;0,1,0)</f>
        <v>0</v>
      </c>
      <c r="T422" s="33" t="n">
        <f aca="false">IF(COUNTIF([2]Attached_indexes!$C$2:$C$193,G422)&gt;0,1,0)</f>
        <v>0</v>
      </c>
      <c r="U422" s="59"/>
      <c r="V422" s="1" t="s">
        <v>982</v>
      </c>
    </row>
    <row r="423" customFormat="false" ht="15.75" hidden="false" customHeight="true" outlineLevel="0" collapsed="false">
      <c r="A423" s="18" t="s">
        <v>167</v>
      </c>
      <c r="B423" s="18" t="s">
        <v>167</v>
      </c>
      <c r="C423" s="18" t="s">
        <v>31</v>
      </c>
      <c r="E423" s="66" t="n">
        <v>4</v>
      </c>
      <c r="F423" s="21" t="str">
        <f aca="false">CONCATENATE(B423,"_",C423, TEXT(E423, "000"))</f>
        <v>HULB_M. laciniatus004</v>
      </c>
      <c r="G423" s="21" t="s">
        <v>181</v>
      </c>
      <c r="H423" s="18" t="n">
        <v>1</v>
      </c>
      <c r="I423" s="22" t="n">
        <v>44349</v>
      </c>
      <c r="J423" s="2" t="s">
        <v>981</v>
      </c>
      <c r="K423" s="68" t="s">
        <v>1028</v>
      </c>
      <c r="L423" s="2" t="n">
        <v>1</v>
      </c>
      <c r="M423" s="2" t="n">
        <v>1</v>
      </c>
      <c r="N423" s="3" t="n">
        <v>45076</v>
      </c>
      <c r="O423" s="2" t="n">
        <v>2.66</v>
      </c>
      <c r="P423" s="2" t="n">
        <v>4</v>
      </c>
      <c r="Q423" s="62" t="str">
        <f aca="false">IF(ISBLANK(N423),"",IF(N423&lt;DATE(2023,5,1),"OLD","NEW"))</f>
        <v>NEW</v>
      </c>
      <c r="S423" s="33" t="n">
        <f aca="false">IF(COUNTIF('[1]Plate_1-2_LongFormat'!$A$2:$A$193,G423)&gt;0,1,0)</f>
        <v>0</v>
      </c>
      <c r="T423" s="33" t="n">
        <f aca="false">IF(COUNTIF([2]Attached_indexes!$C$2:$C$193,G423)&gt;0,1,0)</f>
        <v>0</v>
      </c>
      <c r="U423" s="59"/>
      <c r="V423" s="1" t="s">
        <v>982</v>
      </c>
    </row>
    <row r="424" customFormat="false" ht="15.75" hidden="false" customHeight="true" outlineLevel="0" collapsed="false">
      <c r="A424" s="18" t="s">
        <v>167</v>
      </c>
      <c r="B424" s="18" t="s">
        <v>167</v>
      </c>
      <c r="C424" s="18" t="s">
        <v>31</v>
      </c>
      <c r="E424" s="66" t="n">
        <v>4</v>
      </c>
      <c r="F424" s="21" t="str">
        <f aca="false">CONCATENATE(B424,"_",C424, TEXT(E424, "000"))</f>
        <v>HULB_M. laciniatus004</v>
      </c>
      <c r="G424" s="21" t="s">
        <v>181</v>
      </c>
      <c r="H424" s="18" t="n">
        <v>1</v>
      </c>
      <c r="I424" s="22" t="n">
        <v>44349</v>
      </c>
      <c r="J424" s="2" t="s">
        <v>981</v>
      </c>
      <c r="K424" s="68" t="s">
        <v>1028</v>
      </c>
      <c r="L424" s="2" t="n">
        <v>1</v>
      </c>
      <c r="M424" s="2" t="n">
        <v>1</v>
      </c>
      <c r="N424" s="3" t="n">
        <v>45076</v>
      </c>
      <c r="O424" s="2" t="n">
        <v>2.66</v>
      </c>
      <c r="P424" s="2" t="n">
        <v>4</v>
      </c>
      <c r="Q424" s="62" t="str">
        <f aca="false">IF(ISBLANK(N424),"",IF(N424&lt;DATE(2023,5,1),"OLD","NEW"))</f>
        <v>NEW</v>
      </c>
      <c r="S424" s="33" t="n">
        <f aca="false">IF(COUNTIF('[1]Plate_1-2_LongFormat'!$A$2:$A$193,G424)&gt;0,1,0)</f>
        <v>0</v>
      </c>
      <c r="T424" s="33" t="n">
        <f aca="false">IF(COUNTIF([2]Attached_indexes!$C$2:$C$193,G424)&gt;0,1,0)</f>
        <v>0</v>
      </c>
      <c r="U424" s="59"/>
      <c r="V424" s="1" t="s">
        <v>982</v>
      </c>
    </row>
    <row r="425" customFormat="false" ht="15.75" hidden="false" customHeight="true" outlineLevel="0" collapsed="false">
      <c r="A425" s="18" t="s">
        <v>167</v>
      </c>
      <c r="B425" s="18" t="s">
        <v>167</v>
      </c>
      <c r="C425" s="18" t="s">
        <v>31</v>
      </c>
      <c r="E425" s="66" t="n">
        <v>5</v>
      </c>
      <c r="F425" s="21" t="str">
        <f aca="false">CONCATENATE(B425,"_",C425, TEXT(E425, "000"))</f>
        <v>HULB_M. laciniatus005</v>
      </c>
      <c r="G425" s="21" t="s">
        <v>184</v>
      </c>
      <c r="H425" s="18" t="n">
        <v>1</v>
      </c>
      <c r="I425" s="22" t="n">
        <v>44349</v>
      </c>
      <c r="J425" s="2" t="s">
        <v>981</v>
      </c>
      <c r="K425" s="72" t="s">
        <v>1025</v>
      </c>
      <c r="L425" s="2" t="n">
        <v>1</v>
      </c>
      <c r="M425" s="2" t="n">
        <v>1</v>
      </c>
      <c r="N425" s="3" t="n">
        <v>45077</v>
      </c>
      <c r="O425" s="2" t="n">
        <v>18.3</v>
      </c>
      <c r="P425" s="2" t="n">
        <v>4</v>
      </c>
      <c r="Q425" s="62" t="str">
        <f aca="false">IF(ISBLANK(N425),"",IF(N425&lt;DATE(2023,5,1),"OLD","NEW"))</f>
        <v>NEW</v>
      </c>
      <c r="S425" s="33" t="n">
        <f aca="false">IF(COUNTIF('[1]Plate_1-2_LongFormat'!$A$2:$A$193,G425)&gt;0,1,0)</f>
        <v>0</v>
      </c>
      <c r="T425" s="33" t="n">
        <f aca="false">IF(COUNTIF([2]Attached_indexes!$C$2:$C$193,G425)&gt;0,1,0)</f>
        <v>0</v>
      </c>
      <c r="U425" s="59"/>
      <c r="V425" s="1" t="s">
        <v>982</v>
      </c>
    </row>
    <row r="426" customFormat="false" ht="15.75" hidden="false" customHeight="true" outlineLevel="0" collapsed="false">
      <c r="A426" s="18" t="s">
        <v>167</v>
      </c>
      <c r="B426" s="18" t="s">
        <v>167</v>
      </c>
      <c r="C426" s="18" t="s">
        <v>31</v>
      </c>
      <c r="E426" s="66" t="n">
        <v>5</v>
      </c>
      <c r="F426" s="21" t="str">
        <f aca="false">CONCATENATE(B426,"_",C426, TEXT(E426, "000"))</f>
        <v>HULB_M. laciniatus005</v>
      </c>
      <c r="G426" s="21" t="s">
        <v>184</v>
      </c>
      <c r="H426" s="18" t="n">
        <v>1</v>
      </c>
      <c r="I426" s="22" t="n">
        <v>44349</v>
      </c>
      <c r="J426" s="2" t="s">
        <v>981</v>
      </c>
      <c r="K426" s="72" t="s">
        <v>1025</v>
      </c>
      <c r="L426" s="2" t="n">
        <v>1</v>
      </c>
      <c r="M426" s="2" t="n">
        <v>1</v>
      </c>
      <c r="N426" s="3" t="n">
        <v>45077</v>
      </c>
      <c r="O426" s="2" t="n">
        <v>18.3</v>
      </c>
      <c r="P426" s="2" t="n">
        <v>4</v>
      </c>
      <c r="Q426" s="62" t="str">
        <f aca="false">IF(ISBLANK(N426),"",IF(N426&lt;DATE(2023,5,1),"OLD","NEW"))</f>
        <v>NEW</v>
      </c>
      <c r="S426" s="33" t="n">
        <f aca="false">IF(COUNTIF('[1]Plate_1-2_LongFormat'!$A$2:$A$193,G426)&gt;0,1,0)</f>
        <v>0</v>
      </c>
      <c r="T426" s="33" t="n">
        <f aca="false">IF(COUNTIF([2]Attached_indexes!$C$2:$C$193,G426)&gt;0,1,0)</f>
        <v>0</v>
      </c>
      <c r="U426" s="59"/>
      <c r="V426" s="1" t="s">
        <v>982</v>
      </c>
    </row>
    <row r="427" customFormat="false" ht="15.75" hidden="false" customHeight="true" outlineLevel="0" collapsed="false">
      <c r="A427" s="18" t="s">
        <v>167</v>
      </c>
      <c r="B427" s="18" t="s">
        <v>167</v>
      </c>
      <c r="C427" s="18" t="s">
        <v>31</v>
      </c>
      <c r="E427" s="66" t="n">
        <v>5</v>
      </c>
      <c r="F427" s="21" t="str">
        <f aca="false">CONCATENATE(B427,"_",C427, TEXT(E427, "000"))</f>
        <v>HULB_M. laciniatus005</v>
      </c>
      <c r="G427" s="21" t="s">
        <v>184</v>
      </c>
      <c r="H427" s="18" t="n">
        <v>1</v>
      </c>
      <c r="I427" s="22" t="n">
        <v>44349</v>
      </c>
      <c r="J427" s="2" t="s">
        <v>981</v>
      </c>
      <c r="K427" s="72" t="s">
        <v>1025</v>
      </c>
      <c r="L427" s="2" t="n">
        <v>1</v>
      </c>
      <c r="M427" s="2" t="n">
        <v>1</v>
      </c>
      <c r="N427" s="3" t="n">
        <v>45077</v>
      </c>
      <c r="O427" s="2" t="n">
        <v>18.3</v>
      </c>
      <c r="P427" s="2" t="n">
        <v>4</v>
      </c>
      <c r="Q427" s="62" t="str">
        <f aca="false">IF(ISBLANK(N427),"",IF(N427&lt;DATE(2023,5,1),"OLD","NEW"))</f>
        <v>NEW</v>
      </c>
      <c r="S427" s="33" t="n">
        <f aca="false">IF(COUNTIF('[1]Plate_1-2_LongFormat'!$A$2:$A$193,G427)&gt;0,1,0)</f>
        <v>0</v>
      </c>
      <c r="T427" s="33" t="n">
        <f aca="false">IF(COUNTIF([2]Attached_indexes!$C$2:$C$193,G427)&gt;0,1,0)</f>
        <v>0</v>
      </c>
      <c r="U427" s="59"/>
      <c r="V427" s="1" t="s">
        <v>982</v>
      </c>
    </row>
    <row r="428" customFormat="false" ht="15.75" hidden="false" customHeight="true" outlineLevel="0" collapsed="false">
      <c r="A428" s="18" t="s">
        <v>148</v>
      </c>
      <c r="B428" s="18" t="s">
        <v>148</v>
      </c>
      <c r="C428" s="18" t="s">
        <v>40</v>
      </c>
      <c r="E428" s="66" t="n">
        <v>1</v>
      </c>
      <c r="F428" s="21" t="str">
        <f aca="false">CONCATENATE(B428,"_",C428, TEXT(E428, "000"))</f>
        <v>HUOB_M. guttatus001</v>
      </c>
      <c r="G428" s="21" t="s">
        <v>149</v>
      </c>
      <c r="H428" s="18" t="n">
        <v>1</v>
      </c>
      <c r="I428" s="22" t="n">
        <v>44328</v>
      </c>
      <c r="J428" s="2" t="s">
        <v>981</v>
      </c>
      <c r="K428" s="72" t="s">
        <v>1025</v>
      </c>
      <c r="L428" s="2" t="n">
        <v>1</v>
      </c>
      <c r="M428" s="2" t="n">
        <v>1</v>
      </c>
      <c r="N428" s="3" t="n">
        <v>45077</v>
      </c>
      <c r="O428" s="2" t="n">
        <v>31.4</v>
      </c>
      <c r="P428" s="2" t="n">
        <v>4</v>
      </c>
      <c r="Q428" s="62" t="str">
        <f aca="false">IF(ISBLANK(N428),"",IF(N428&lt;DATE(2023,5,1),"OLD","NEW"))</f>
        <v>NEW</v>
      </c>
      <c r="S428" s="33" t="n">
        <f aca="false">IF(COUNTIF('[1]Plate_1-2_LongFormat'!$A$2:$A$193,G428)&gt;0,1,0)</f>
        <v>0</v>
      </c>
      <c r="T428" s="33" t="n">
        <f aca="false">IF(COUNTIF([2]Attached_indexes!$C$2:$C$193,G428)&gt;0,1,0)</f>
        <v>0</v>
      </c>
      <c r="U428" s="59"/>
      <c r="V428" s="1" t="s">
        <v>982</v>
      </c>
    </row>
    <row r="429" customFormat="false" ht="15.75" hidden="false" customHeight="true" outlineLevel="0" collapsed="false">
      <c r="A429" s="18" t="s">
        <v>148</v>
      </c>
      <c r="B429" s="18" t="s">
        <v>148</v>
      </c>
      <c r="C429" s="18" t="s">
        <v>40</v>
      </c>
      <c r="E429" s="66" t="n">
        <v>1</v>
      </c>
      <c r="F429" s="21" t="str">
        <f aca="false">CONCATENATE(B429,"_",C429, TEXT(E429, "000"))</f>
        <v>HUOB_M. guttatus001</v>
      </c>
      <c r="G429" s="21" t="s">
        <v>149</v>
      </c>
      <c r="H429" s="18" t="n">
        <v>1</v>
      </c>
      <c r="I429" s="22" t="n">
        <v>44328</v>
      </c>
      <c r="J429" s="2" t="s">
        <v>981</v>
      </c>
      <c r="K429" s="72" t="s">
        <v>1025</v>
      </c>
      <c r="L429" s="2" t="n">
        <v>1</v>
      </c>
      <c r="M429" s="2" t="n">
        <v>1</v>
      </c>
      <c r="N429" s="3" t="n">
        <v>45077</v>
      </c>
      <c r="O429" s="2" t="n">
        <v>31.4</v>
      </c>
      <c r="P429" s="2" t="n">
        <v>4</v>
      </c>
      <c r="Q429" s="62" t="str">
        <f aca="false">IF(ISBLANK(N429),"",IF(N429&lt;DATE(2023,5,1),"OLD","NEW"))</f>
        <v>NEW</v>
      </c>
      <c r="S429" s="33" t="n">
        <f aca="false">IF(COUNTIF('[1]Plate_1-2_LongFormat'!$A$2:$A$193,G429)&gt;0,1,0)</f>
        <v>0</v>
      </c>
      <c r="T429" s="33" t="n">
        <f aca="false">IF(COUNTIF([2]Attached_indexes!$C$2:$C$193,G429)&gt;0,1,0)</f>
        <v>0</v>
      </c>
      <c r="U429" s="59"/>
      <c r="V429" s="1" t="s">
        <v>982</v>
      </c>
    </row>
    <row r="430" customFormat="false" ht="15.75" hidden="false" customHeight="true" outlineLevel="0" collapsed="false">
      <c r="A430" s="18" t="s">
        <v>148</v>
      </c>
      <c r="B430" s="18" t="s">
        <v>148</v>
      </c>
      <c r="C430" s="18" t="s">
        <v>40</v>
      </c>
      <c r="E430" s="66" t="n">
        <v>1</v>
      </c>
      <c r="F430" s="21" t="str">
        <f aca="false">CONCATENATE(B430,"_",C430, TEXT(E430, "000"))</f>
        <v>HUOB_M. guttatus001</v>
      </c>
      <c r="G430" s="21" t="s">
        <v>149</v>
      </c>
      <c r="H430" s="18" t="n">
        <v>1</v>
      </c>
      <c r="I430" s="22" t="n">
        <v>44328</v>
      </c>
      <c r="J430" s="2" t="s">
        <v>981</v>
      </c>
      <c r="K430" s="72" t="s">
        <v>1025</v>
      </c>
      <c r="L430" s="2" t="n">
        <v>1</v>
      </c>
      <c r="M430" s="2" t="n">
        <v>1</v>
      </c>
      <c r="N430" s="3" t="n">
        <v>45077</v>
      </c>
      <c r="O430" s="2" t="n">
        <v>31.4</v>
      </c>
      <c r="P430" s="2" t="n">
        <v>4</v>
      </c>
      <c r="Q430" s="62" t="str">
        <f aca="false">IF(ISBLANK(N430),"",IF(N430&lt;DATE(2023,5,1),"OLD","NEW"))</f>
        <v>NEW</v>
      </c>
      <c r="S430" s="33" t="n">
        <f aca="false">IF(COUNTIF('[1]Plate_1-2_LongFormat'!$A$2:$A$193,G430)&gt;0,1,0)</f>
        <v>0</v>
      </c>
      <c r="T430" s="33" t="n">
        <f aca="false">IF(COUNTIF([2]Attached_indexes!$C$2:$C$193,G430)&gt;0,1,0)</f>
        <v>0</v>
      </c>
      <c r="U430" s="59"/>
      <c r="V430" s="1" t="s">
        <v>982</v>
      </c>
    </row>
    <row r="431" customFormat="false" ht="15.75" hidden="false" customHeight="true" outlineLevel="0" collapsed="false">
      <c r="A431" s="18" t="s">
        <v>148</v>
      </c>
      <c r="B431" s="18" t="s">
        <v>148</v>
      </c>
      <c r="C431" s="18" t="s">
        <v>40</v>
      </c>
      <c r="E431" s="66" t="n">
        <v>102</v>
      </c>
      <c r="F431" s="21" t="str">
        <f aca="false">CONCATENATE(B431,"_",C431, TEXT(E431, "000"))</f>
        <v>HUOB_M. guttatus102</v>
      </c>
      <c r="G431" s="21" t="s">
        <v>629</v>
      </c>
      <c r="H431" s="18" t="n">
        <v>1</v>
      </c>
      <c r="I431" s="22" t="n">
        <v>44706</v>
      </c>
      <c r="J431" s="2" t="s">
        <v>981</v>
      </c>
      <c r="L431" s="2" t="n">
        <v>1</v>
      </c>
      <c r="M431" s="2" t="n">
        <v>1</v>
      </c>
      <c r="N431" s="3" t="n">
        <v>45053</v>
      </c>
      <c r="O431" s="2" t="n">
        <v>1.07</v>
      </c>
      <c r="P431" s="2" t="n">
        <v>3</v>
      </c>
      <c r="Q431" s="62" t="str">
        <f aca="false">IF(ISBLANK(N431),"",IF(N431&lt;DATE(2023,5,1),"OLD","NEW"))</f>
        <v>NEW</v>
      </c>
      <c r="S431" s="33" t="n">
        <f aca="false">IF(COUNTIF('[1]Plate_1-2_LongFormat'!$A$2:$A$193,G431)&gt;0,1,0)</f>
        <v>0</v>
      </c>
      <c r="T431" s="33" t="n">
        <f aca="false">IF(COUNTIF([2]Attached_indexes!$C$2:$C$193,G431)&gt;0,1,0)</f>
        <v>0</v>
      </c>
      <c r="U431" s="59"/>
      <c r="V431" s="1" t="s">
        <v>982</v>
      </c>
    </row>
    <row r="432" customFormat="false" ht="15.75" hidden="false" customHeight="true" outlineLevel="0" collapsed="false">
      <c r="A432" s="18" t="s">
        <v>148</v>
      </c>
      <c r="B432" s="18" t="s">
        <v>148</v>
      </c>
      <c r="C432" s="18" t="s">
        <v>40</v>
      </c>
      <c r="E432" s="66" t="n">
        <v>102</v>
      </c>
      <c r="F432" s="21" t="str">
        <f aca="false">CONCATENATE(B432,"_",C432, TEXT(E432, "000"))</f>
        <v>HUOB_M. guttatus102</v>
      </c>
      <c r="G432" s="21" t="s">
        <v>629</v>
      </c>
      <c r="H432" s="18" t="n">
        <v>1</v>
      </c>
      <c r="I432" s="22" t="n">
        <v>44706</v>
      </c>
      <c r="J432" s="2" t="s">
        <v>981</v>
      </c>
      <c r="L432" s="2" t="n">
        <v>1</v>
      </c>
      <c r="M432" s="2" t="n">
        <v>1</v>
      </c>
      <c r="N432" s="3" t="n">
        <v>45053</v>
      </c>
      <c r="O432" s="2" t="n">
        <v>1.07</v>
      </c>
      <c r="P432" s="2" t="n">
        <v>3</v>
      </c>
      <c r="Q432" s="62" t="str">
        <f aca="false">IF(ISBLANK(N432),"",IF(N432&lt;DATE(2023,5,1),"OLD","NEW"))</f>
        <v>NEW</v>
      </c>
      <c r="S432" s="33" t="n">
        <f aca="false">IF(COUNTIF('[1]Plate_1-2_LongFormat'!$A$2:$A$193,G432)&gt;0,1,0)</f>
        <v>0</v>
      </c>
      <c r="T432" s="33" t="n">
        <f aca="false">IF(COUNTIF([2]Attached_indexes!$C$2:$C$193,G432)&gt;0,1,0)</f>
        <v>0</v>
      </c>
      <c r="U432" s="59"/>
      <c r="V432" s="1" t="s">
        <v>982</v>
      </c>
    </row>
    <row r="433" customFormat="false" ht="15.75" hidden="false" customHeight="true" outlineLevel="0" collapsed="false">
      <c r="A433" s="18" t="s">
        <v>148</v>
      </c>
      <c r="B433" s="18" t="s">
        <v>148</v>
      </c>
      <c r="C433" s="18" t="s">
        <v>40</v>
      </c>
      <c r="E433" s="66" t="n">
        <v>102</v>
      </c>
      <c r="F433" s="21" t="str">
        <f aca="false">CONCATENATE(B433,"_",C433, TEXT(E433, "000"))</f>
        <v>HUOB_M. guttatus102</v>
      </c>
      <c r="G433" s="21" t="s">
        <v>629</v>
      </c>
      <c r="H433" s="18" t="n">
        <v>1</v>
      </c>
      <c r="I433" s="22" t="n">
        <v>44706</v>
      </c>
      <c r="J433" s="2" t="s">
        <v>981</v>
      </c>
      <c r="L433" s="2" t="n">
        <v>1</v>
      </c>
      <c r="M433" s="2" t="n">
        <v>1</v>
      </c>
      <c r="N433" s="3" t="n">
        <v>45053</v>
      </c>
      <c r="O433" s="2" t="n">
        <v>1.07</v>
      </c>
      <c r="P433" s="2" t="n">
        <v>3</v>
      </c>
      <c r="Q433" s="62" t="str">
        <f aca="false">IF(ISBLANK(N433),"",IF(N433&lt;DATE(2023,5,1),"OLD","NEW"))</f>
        <v>NEW</v>
      </c>
      <c r="S433" s="33" t="n">
        <f aca="false">IF(COUNTIF('[1]Plate_1-2_LongFormat'!$A$2:$A$193,G433)&gt;0,1,0)</f>
        <v>0</v>
      </c>
      <c r="T433" s="33" t="n">
        <f aca="false">IF(COUNTIF([2]Attached_indexes!$C$2:$C$193,G433)&gt;0,1,0)</f>
        <v>0</v>
      </c>
      <c r="U433" s="59"/>
      <c r="V433" s="1" t="s">
        <v>982</v>
      </c>
    </row>
    <row r="434" customFormat="false" ht="15.75" hidden="false" customHeight="true" outlineLevel="0" collapsed="false">
      <c r="A434" s="18" t="s">
        <v>148</v>
      </c>
      <c r="B434" s="18" t="s">
        <v>148</v>
      </c>
      <c r="C434" s="18" t="s">
        <v>40</v>
      </c>
      <c r="E434" s="66" t="n">
        <v>112</v>
      </c>
      <c r="F434" s="21" t="str">
        <f aca="false">CONCATENATE(B434,"_",C434, TEXT(E434, "000"))</f>
        <v>HUOB_M. guttatus112</v>
      </c>
      <c r="G434" s="21" t="s">
        <v>631</v>
      </c>
      <c r="H434" s="18" t="n">
        <v>1</v>
      </c>
      <c r="I434" s="22" t="n">
        <v>44706</v>
      </c>
      <c r="J434" s="2" t="s">
        <v>981</v>
      </c>
      <c r="K434" s="68" t="s">
        <v>1019</v>
      </c>
      <c r="L434" s="2" t="n">
        <v>1</v>
      </c>
      <c r="M434" s="2" t="n">
        <v>1</v>
      </c>
      <c r="N434" s="3" t="n">
        <v>44842</v>
      </c>
      <c r="O434" s="2" t="n">
        <v>10.8</v>
      </c>
      <c r="Q434" s="62" t="str">
        <f aca="false">IF(ISBLANK(N434),"",IF(N434&lt;DATE(2023,5,1),"OLD","NEW"))</f>
        <v>OLD</v>
      </c>
      <c r="S434" s="33" t="n">
        <f aca="false">IF(COUNTIF('[1]Plate_1-2_LongFormat'!$A$2:$A$193,G434)&gt;0,1,0)</f>
        <v>1</v>
      </c>
      <c r="T434" s="33" t="n">
        <f aca="false">IF(COUNTIF([2]Attached_indexes!$C$2:$C$193,G434)&gt;0,1,0)</f>
        <v>1</v>
      </c>
      <c r="U434" s="59"/>
      <c r="V434" s="1" t="s">
        <v>982</v>
      </c>
    </row>
    <row r="435" customFormat="false" ht="15.75" hidden="false" customHeight="true" outlineLevel="0" collapsed="false">
      <c r="A435" s="18" t="s">
        <v>148</v>
      </c>
      <c r="B435" s="18" t="s">
        <v>148</v>
      </c>
      <c r="C435" s="18" t="s">
        <v>40</v>
      </c>
      <c r="E435" s="66" t="n">
        <v>112</v>
      </c>
      <c r="F435" s="21" t="str">
        <f aca="false">CONCATENATE(B435,"_",C435, TEXT(E435, "000"))</f>
        <v>HUOB_M. guttatus112</v>
      </c>
      <c r="G435" s="21" t="s">
        <v>631</v>
      </c>
      <c r="H435" s="18" t="n">
        <v>1</v>
      </c>
      <c r="I435" s="22" t="n">
        <v>44706</v>
      </c>
      <c r="J435" s="2" t="s">
        <v>981</v>
      </c>
      <c r="K435" s="68" t="s">
        <v>1019</v>
      </c>
      <c r="L435" s="2" t="n">
        <v>1</v>
      </c>
      <c r="M435" s="2" t="n">
        <v>1</v>
      </c>
      <c r="N435" s="3" t="n">
        <v>44842</v>
      </c>
      <c r="O435" s="2" t="n">
        <v>10.8</v>
      </c>
      <c r="Q435" s="62" t="str">
        <f aca="false">IF(ISBLANK(N435),"",IF(N435&lt;DATE(2023,5,1),"OLD","NEW"))</f>
        <v>OLD</v>
      </c>
      <c r="S435" s="33" t="n">
        <f aca="false">IF(COUNTIF('[1]Plate_1-2_LongFormat'!$A$2:$A$193,G435)&gt;0,1,0)</f>
        <v>1</v>
      </c>
      <c r="T435" s="33" t="n">
        <f aca="false">IF(COUNTIF([2]Attached_indexes!$C$2:$C$193,G435)&gt;0,1,0)</f>
        <v>1</v>
      </c>
      <c r="U435" s="59"/>
      <c r="V435" s="1" t="s">
        <v>982</v>
      </c>
    </row>
    <row r="436" customFormat="false" ht="15.75" hidden="false" customHeight="true" outlineLevel="0" collapsed="false">
      <c r="A436" s="18" t="s">
        <v>148</v>
      </c>
      <c r="B436" s="18" t="s">
        <v>148</v>
      </c>
      <c r="C436" s="18" t="s">
        <v>40</v>
      </c>
      <c r="E436" s="66" t="n">
        <v>112</v>
      </c>
      <c r="F436" s="21" t="str">
        <f aca="false">CONCATENATE(B436,"_",C436, TEXT(E436, "000"))</f>
        <v>HUOB_M. guttatus112</v>
      </c>
      <c r="G436" s="21" t="s">
        <v>631</v>
      </c>
      <c r="H436" s="18" t="n">
        <v>1</v>
      </c>
      <c r="I436" s="22" t="n">
        <v>44706</v>
      </c>
      <c r="J436" s="2" t="s">
        <v>981</v>
      </c>
      <c r="K436" s="68" t="s">
        <v>1019</v>
      </c>
      <c r="L436" s="2" t="n">
        <v>1</v>
      </c>
      <c r="M436" s="2" t="n">
        <v>1</v>
      </c>
      <c r="N436" s="3" t="n">
        <v>44842</v>
      </c>
      <c r="O436" s="2" t="n">
        <v>10.8</v>
      </c>
      <c r="Q436" s="62" t="str">
        <f aca="false">IF(ISBLANK(N436),"",IF(N436&lt;DATE(2023,5,1),"OLD","NEW"))</f>
        <v>OLD</v>
      </c>
      <c r="S436" s="33" t="n">
        <f aca="false">IF(COUNTIF('[1]Plate_1-2_LongFormat'!$A$2:$A$193,G436)&gt;0,1,0)</f>
        <v>1</v>
      </c>
      <c r="T436" s="33" t="n">
        <f aca="false">IF(COUNTIF([2]Attached_indexes!$C$2:$C$193,G436)&gt;0,1,0)</f>
        <v>1</v>
      </c>
      <c r="U436" s="59"/>
      <c r="V436" s="1" t="s">
        <v>982</v>
      </c>
    </row>
    <row r="437" customFormat="false" ht="15.75" hidden="false" customHeight="true" outlineLevel="0" collapsed="false">
      <c r="A437" s="18" t="s">
        <v>148</v>
      </c>
      <c r="B437" s="18" t="s">
        <v>148</v>
      </c>
      <c r="C437" s="18" t="s">
        <v>40</v>
      </c>
      <c r="E437" s="66" t="n">
        <v>12</v>
      </c>
      <c r="F437" s="21" t="str">
        <f aca="false">CONCATENATE(B437,"_",C437, TEXT(E437, "000"))</f>
        <v>HUOB_M. guttatus012</v>
      </c>
      <c r="G437" s="21" t="s">
        <v>615</v>
      </c>
      <c r="H437" s="18" t="n">
        <v>1</v>
      </c>
      <c r="I437" s="22" t="n">
        <v>44706</v>
      </c>
      <c r="J437" s="2" t="s">
        <v>981</v>
      </c>
      <c r="L437" s="2" t="n">
        <v>1</v>
      </c>
      <c r="M437" s="2" t="n">
        <v>1</v>
      </c>
      <c r="N437" s="3" t="n">
        <v>44834</v>
      </c>
      <c r="P437" s="2" t="n">
        <v>1</v>
      </c>
      <c r="Q437" s="62" t="str">
        <f aca="false">IF(ISBLANK(N437),"",IF(N437&lt;DATE(2023,5,1),"OLD","NEW"))</f>
        <v>OLD</v>
      </c>
      <c r="R437" s="2" t="s">
        <v>983</v>
      </c>
      <c r="S437" s="33" t="n">
        <f aca="false">IF(COUNTIF('[1]Plate_1-2_LongFormat'!$A$2:$A$193,G437)&gt;0,1,0)</f>
        <v>1</v>
      </c>
      <c r="T437" s="33" t="n">
        <f aca="false">IF(COUNTIF([2]Attached_indexes!$C$2:$C$193,G437)&gt;0,1,0)</f>
        <v>1</v>
      </c>
      <c r="U437" s="59"/>
      <c r="V437" s="1" t="s">
        <v>982</v>
      </c>
    </row>
    <row r="438" customFormat="false" ht="15.75" hidden="false" customHeight="true" outlineLevel="0" collapsed="false">
      <c r="A438" s="18" t="s">
        <v>148</v>
      </c>
      <c r="B438" s="18" t="s">
        <v>148</v>
      </c>
      <c r="C438" s="18" t="s">
        <v>40</v>
      </c>
      <c r="E438" s="66" t="n">
        <v>12</v>
      </c>
      <c r="F438" s="21" t="str">
        <f aca="false">CONCATENATE(B438,"_",C438, TEXT(E438, "000"))</f>
        <v>HUOB_M. guttatus012</v>
      </c>
      <c r="G438" s="21" t="s">
        <v>615</v>
      </c>
      <c r="H438" s="18" t="n">
        <v>1</v>
      </c>
      <c r="I438" s="22" t="n">
        <v>44706</v>
      </c>
      <c r="J438" s="2" t="s">
        <v>981</v>
      </c>
      <c r="L438" s="2" t="n">
        <v>1</v>
      </c>
      <c r="M438" s="2" t="n">
        <v>1</v>
      </c>
      <c r="N438" s="3" t="n">
        <v>44834</v>
      </c>
      <c r="P438" s="2" t="n">
        <v>1</v>
      </c>
      <c r="Q438" s="62" t="str">
        <f aca="false">IF(ISBLANK(N438),"",IF(N438&lt;DATE(2023,5,1),"OLD","NEW"))</f>
        <v>OLD</v>
      </c>
      <c r="R438" s="2" t="s">
        <v>983</v>
      </c>
      <c r="S438" s="33" t="n">
        <f aca="false">IF(COUNTIF('[1]Plate_1-2_LongFormat'!$A$2:$A$193,G438)&gt;0,1,0)</f>
        <v>1</v>
      </c>
      <c r="T438" s="33" t="n">
        <f aca="false">IF(COUNTIF([2]Attached_indexes!$C$2:$C$193,G438)&gt;0,1,0)</f>
        <v>1</v>
      </c>
      <c r="U438" s="59"/>
      <c r="V438" s="1" t="s">
        <v>982</v>
      </c>
    </row>
    <row r="439" customFormat="false" ht="15.75" hidden="false" customHeight="true" outlineLevel="0" collapsed="false">
      <c r="A439" s="18" t="s">
        <v>148</v>
      </c>
      <c r="B439" s="18" t="s">
        <v>148</v>
      </c>
      <c r="C439" s="18" t="s">
        <v>40</v>
      </c>
      <c r="E439" s="66" t="n">
        <v>12</v>
      </c>
      <c r="F439" s="21" t="str">
        <f aca="false">CONCATENATE(B439,"_",C439, TEXT(E439, "000"))</f>
        <v>HUOB_M. guttatus012</v>
      </c>
      <c r="G439" s="21" t="s">
        <v>615</v>
      </c>
      <c r="H439" s="18" t="n">
        <v>1</v>
      </c>
      <c r="I439" s="22" t="n">
        <v>44706</v>
      </c>
      <c r="J439" s="2" t="s">
        <v>981</v>
      </c>
      <c r="L439" s="2" t="n">
        <v>1</v>
      </c>
      <c r="M439" s="2" t="n">
        <v>1</v>
      </c>
      <c r="N439" s="3" t="n">
        <v>44834</v>
      </c>
      <c r="P439" s="2" t="n">
        <v>1</v>
      </c>
      <c r="Q439" s="62" t="str">
        <f aca="false">IF(ISBLANK(N439),"",IF(N439&lt;DATE(2023,5,1),"OLD","NEW"))</f>
        <v>OLD</v>
      </c>
      <c r="R439" s="2" t="s">
        <v>983</v>
      </c>
      <c r="S439" s="33" t="n">
        <f aca="false">IF(COUNTIF('[1]Plate_1-2_LongFormat'!$A$2:$A$193,G439)&gt;0,1,0)</f>
        <v>1</v>
      </c>
      <c r="T439" s="33" t="n">
        <f aca="false">IF(COUNTIF([2]Attached_indexes!$C$2:$C$193,G439)&gt;0,1,0)</f>
        <v>1</v>
      </c>
      <c r="U439" s="59"/>
      <c r="V439" s="1" t="s">
        <v>982</v>
      </c>
    </row>
    <row r="440" customFormat="false" ht="15.75" hidden="false" customHeight="true" outlineLevel="0" collapsed="false">
      <c r="A440" s="18" t="s">
        <v>148</v>
      </c>
      <c r="B440" s="18" t="s">
        <v>148</v>
      </c>
      <c r="C440" s="18" t="s">
        <v>40</v>
      </c>
      <c r="E440" s="66" t="n">
        <v>122</v>
      </c>
      <c r="F440" s="21" t="str">
        <f aca="false">CONCATENATE(B440,"_",C440, TEXT(E440, "000"))</f>
        <v>HUOB_M. guttatus122</v>
      </c>
      <c r="G440" s="21" t="s">
        <v>633</v>
      </c>
      <c r="H440" s="18" t="n">
        <v>1</v>
      </c>
      <c r="I440" s="22" t="n">
        <v>44706</v>
      </c>
      <c r="J440" s="2" t="s">
        <v>981</v>
      </c>
      <c r="K440" s="68" t="s">
        <v>1019</v>
      </c>
      <c r="L440" s="2" t="n">
        <v>1</v>
      </c>
      <c r="M440" s="2" t="n">
        <v>1</v>
      </c>
      <c r="N440" s="3" t="n">
        <v>45058</v>
      </c>
      <c r="O440" s="2" t="n">
        <v>8.6</v>
      </c>
      <c r="P440" s="2" t="n">
        <v>3</v>
      </c>
      <c r="Q440" s="62" t="str">
        <f aca="false">IF(ISBLANK(N440),"",IF(N440&lt;DATE(2023,5,1),"OLD","NEW"))</f>
        <v>NEW</v>
      </c>
      <c r="S440" s="33" t="n">
        <f aca="false">IF(COUNTIF('[1]Plate_1-2_LongFormat'!$A$2:$A$193,G440)&gt;0,1,0)</f>
        <v>0</v>
      </c>
      <c r="T440" s="33" t="n">
        <f aca="false">IF(COUNTIF([2]Attached_indexes!$C$2:$C$193,G440)&gt;0,1,0)</f>
        <v>0</v>
      </c>
      <c r="U440" s="59"/>
      <c r="V440" s="1" t="s">
        <v>982</v>
      </c>
    </row>
    <row r="441" customFormat="false" ht="15.75" hidden="false" customHeight="true" outlineLevel="0" collapsed="false">
      <c r="A441" s="18" t="s">
        <v>148</v>
      </c>
      <c r="B441" s="18" t="s">
        <v>148</v>
      </c>
      <c r="C441" s="18" t="s">
        <v>40</v>
      </c>
      <c r="E441" s="66" t="n">
        <v>122</v>
      </c>
      <c r="F441" s="21" t="str">
        <f aca="false">CONCATENATE(B441,"_",C441, TEXT(E441, "000"))</f>
        <v>HUOB_M. guttatus122</v>
      </c>
      <c r="G441" s="21" t="s">
        <v>633</v>
      </c>
      <c r="H441" s="18" t="n">
        <v>1</v>
      </c>
      <c r="I441" s="22" t="n">
        <v>44706</v>
      </c>
      <c r="J441" s="2" t="s">
        <v>981</v>
      </c>
      <c r="K441" s="68" t="s">
        <v>1019</v>
      </c>
      <c r="L441" s="2" t="n">
        <v>1</v>
      </c>
      <c r="M441" s="2" t="n">
        <v>1</v>
      </c>
      <c r="N441" s="3" t="n">
        <v>45058</v>
      </c>
      <c r="O441" s="2" t="n">
        <v>8.6</v>
      </c>
      <c r="P441" s="2" t="n">
        <v>3</v>
      </c>
      <c r="Q441" s="62" t="str">
        <f aca="false">IF(ISBLANK(N441),"",IF(N441&lt;DATE(2023,5,1),"OLD","NEW"))</f>
        <v>NEW</v>
      </c>
      <c r="S441" s="33" t="n">
        <f aca="false">IF(COUNTIF('[1]Plate_1-2_LongFormat'!$A$2:$A$193,G441)&gt;0,1,0)</f>
        <v>0</v>
      </c>
      <c r="T441" s="33" t="n">
        <f aca="false">IF(COUNTIF([2]Attached_indexes!$C$2:$C$193,G441)&gt;0,1,0)</f>
        <v>0</v>
      </c>
      <c r="U441" s="59"/>
      <c r="V441" s="1" t="s">
        <v>982</v>
      </c>
    </row>
    <row r="442" customFormat="false" ht="15.75" hidden="false" customHeight="true" outlineLevel="0" collapsed="false">
      <c r="A442" s="18" t="s">
        <v>148</v>
      </c>
      <c r="B442" s="18" t="s">
        <v>148</v>
      </c>
      <c r="C442" s="18" t="s">
        <v>40</v>
      </c>
      <c r="E442" s="66" t="n">
        <v>122</v>
      </c>
      <c r="F442" s="21" t="str">
        <f aca="false">CONCATENATE(B442,"_",C442, TEXT(E442, "000"))</f>
        <v>HUOB_M. guttatus122</v>
      </c>
      <c r="G442" s="21" t="s">
        <v>633</v>
      </c>
      <c r="H442" s="18" t="n">
        <v>1</v>
      </c>
      <c r="I442" s="22" t="n">
        <v>44706</v>
      </c>
      <c r="J442" s="2" t="s">
        <v>981</v>
      </c>
      <c r="K442" s="68" t="s">
        <v>1019</v>
      </c>
      <c r="L442" s="2" t="n">
        <v>1</v>
      </c>
      <c r="M442" s="2" t="n">
        <v>1</v>
      </c>
      <c r="N442" s="3" t="n">
        <v>45058</v>
      </c>
      <c r="O442" s="2" t="n">
        <v>8.6</v>
      </c>
      <c r="P442" s="2" t="n">
        <v>3</v>
      </c>
      <c r="Q442" s="62" t="str">
        <f aca="false">IF(ISBLANK(N442),"",IF(N442&lt;DATE(2023,5,1),"OLD","NEW"))</f>
        <v>NEW</v>
      </c>
      <c r="S442" s="33" t="n">
        <f aca="false">IF(COUNTIF('[1]Plate_1-2_LongFormat'!$A$2:$A$193,G442)&gt;0,1,0)</f>
        <v>0</v>
      </c>
      <c r="T442" s="33" t="n">
        <f aca="false">IF(COUNTIF([2]Attached_indexes!$C$2:$C$193,G442)&gt;0,1,0)</f>
        <v>0</v>
      </c>
      <c r="U442" s="59"/>
      <c r="V442" s="1" t="s">
        <v>982</v>
      </c>
    </row>
    <row r="443" customFormat="false" ht="15.75" hidden="false" customHeight="true" outlineLevel="0" collapsed="false">
      <c r="A443" s="18" t="s">
        <v>148</v>
      </c>
      <c r="B443" s="18" t="s">
        <v>148</v>
      </c>
      <c r="C443" s="18" t="s">
        <v>40</v>
      </c>
      <c r="E443" s="66" t="n">
        <v>2</v>
      </c>
      <c r="F443" s="21" t="str">
        <f aca="false">CONCATENATE(B443,"_",C443, TEXT(E443, "000"))</f>
        <v>HUOB_M. guttatus002</v>
      </c>
      <c r="G443" s="21" t="s">
        <v>154</v>
      </c>
      <c r="H443" s="18" t="n">
        <v>1</v>
      </c>
      <c r="I443" s="22" t="n">
        <v>44328</v>
      </c>
      <c r="J443" s="2" t="s">
        <v>981</v>
      </c>
      <c r="K443" s="72" t="s">
        <v>1025</v>
      </c>
      <c r="L443" s="2" t="n">
        <v>1</v>
      </c>
      <c r="M443" s="2" t="n">
        <v>1</v>
      </c>
      <c r="N443" s="3" t="n">
        <v>45076</v>
      </c>
      <c r="O443" s="2" t="n">
        <v>12.6</v>
      </c>
      <c r="P443" s="2" t="n">
        <v>4</v>
      </c>
      <c r="Q443" s="62" t="str">
        <f aca="false">IF(ISBLANK(N443),"",IF(N443&lt;DATE(2023,5,1),"OLD","NEW"))</f>
        <v>NEW</v>
      </c>
      <c r="S443" s="33" t="n">
        <f aca="false">IF(COUNTIF('[1]Plate_1-2_LongFormat'!$A$2:$A$193,G443)&gt;0,1,0)</f>
        <v>0</v>
      </c>
      <c r="T443" s="33" t="n">
        <f aca="false">IF(COUNTIF([2]Attached_indexes!$C$2:$C$193,G443)&gt;0,1,0)</f>
        <v>0</v>
      </c>
      <c r="U443" s="59"/>
      <c r="V443" s="1" t="s">
        <v>982</v>
      </c>
    </row>
    <row r="444" customFormat="false" ht="15.75" hidden="false" customHeight="true" outlineLevel="0" collapsed="false">
      <c r="A444" s="18" t="s">
        <v>148</v>
      </c>
      <c r="B444" s="18" t="s">
        <v>148</v>
      </c>
      <c r="C444" s="18" t="s">
        <v>40</v>
      </c>
      <c r="E444" s="66" t="n">
        <v>2</v>
      </c>
      <c r="F444" s="21" t="str">
        <f aca="false">CONCATENATE(B444,"_",C444, TEXT(E444, "000"))</f>
        <v>HUOB_M. guttatus002</v>
      </c>
      <c r="G444" s="21" t="s">
        <v>154</v>
      </c>
      <c r="H444" s="18" t="n">
        <v>1</v>
      </c>
      <c r="I444" s="22" t="n">
        <v>44328</v>
      </c>
      <c r="J444" s="2" t="s">
        <v>981</v>
      </c>
      <c r="K444" s="72" t="s">
        <v>1025</v>
      </c>
      <c r="L444" s="2" t="n">
        <v>1</v>
      </c>
      <c r="M444" s="2" t="n">
        <v>1</v>
      </c>
      <c r="N444" s="3" t="n">
        <v>45076</v>
      </c>
      <c r="O444" s="2" t="n">
        <v>12.6</v>
      </c>
      <c r="P444" s="2" t="n">
        <v>4</v>
      </c>
      <c r="Q444" s="62" t="str">
        <f aca="false">IF(ISBLANK(N444),"",IF(N444&lt;DATE(2023,5,1),"OLD","NEW"))</f>
        <v>NEW</v>
      </c>
      <c r="S444" s="33" t="n">
        <f aca="false">IF(COUNTIF('[1]Plate_1-2_LongFormat'!$A$2:$A$193,G444)&gt;0,1,0)</f>
        <v>0</v>
      </c>
      <c r="T444" s="33" t="n">
        <f aca="false">IF(COUNTIF([2]Attached_indexes!$C$2:$C$193,G444)&gt;0,1,0)</f>
        <v>0</v>
      </c>
      <c r="U444" s="59"/>
      <c r="V444" s="1" t="s">
        <v>982</v>
      </c>
    </row>
    <row r="445" customFormat="false" ht="15.75" hidden="false" customHeight="true" outlineLevel="0" collapsed="false">
      <c r="A445" s="18" t="s">
        <v>148</v>
      </c>
      <c r="B445" s="18" t="s">
        <v>148</v>
      </c>
      <c r="C445" s="18" t="s">
        <v>40</v>
      </c>
      <c r="E445" s="66" t="n">
        <v>2</v>
      </c>
      <c r="F445" s="21" t="str">
        <f aca="false">CONCATENATE(B445,"_",C445, TEXT(E445, "000"))</f>
        <v>HUOB_M. guttatus002</v>
      </c>
      <c r="G445" s="21" t="s">
        <v>154</v>
      </c>
      <c r="H445" s="18" t="n">
        <v>1</v>
      </c>
      <c r="I445" s="22" t="n">
        <v>44328</v>
      </c>
      <c r="J445" s="2" t="s">
        <v>981</v>
      </c>
      <c r="K445" s="72" t="s">
        <v>1025</v>
      </c>
      <c r="L445" s="2" t="n">
        <v>1</v>
      </c>
      <c r="M445" s="2" t="n">
        <v>1</v>
      </c>
      <c r="N445" s="3" t="n">
        <v>45076</v>
      </c>
      <c r="O445" s="2" t="n">
        <v>12.6</v>
      </c>
      <c r="P445" s="2" t="n">
        <v>4</v>
      </c>
      <c r="Q445" s="62" t="str">
        <f aca="false">IF(ISBLANK(N445),"",IF(N445&lt;DATE(2023,5,1),"OLD","NEW"))</f>
        <v>NEW</v>
      </c>
      <c r="S445" s="33" t="n">
        <f aca="false">IF(COUNTIF('[1]Plate_1-2_LongFormat'!$A$2:$A$193,G445)&gt;0,1,0)</f>
        <v>0</v>
      </c>
      <c r="T445" s="33" t="n">
        <f aca="false">IF(COUNTIF([2]Attached_indexes!$C$2:$C$193,G445)&gt;0,1,0)</f>
        <v>0</v>
      </c>
      <c r="U445" s="59"/>
      <c r="V445" s="1" t="s">
        <v>982</v>
      </c>
    </row>
    <row r="446" customFormat="false" ht="15.75" hidden="false" customHeight="true" outlineLevel="0" collapsed="false">
      <c r="A446" s="18" t="s">
        <v>148</v>
      </c>
      <c r="B446" s="18" t="s">
        <v>148</v>
      </c>
      <c r="C446" s="18" t="s">
        <v>40</v>
      </c>
      <c r="E446" s="66" t="n">
        <v>22</v>
      </c>
      <c r="F446" s="21" t="str">
        <f aca="false">CONCATENATE(B446,"_",C446, TEXT(E446, "000"))</f>
        <v>HUOB_M. guttatus022</v>
      </c>
      <c r="G446" s="21" t="s">
        <v>618</v>
      </c>
      <c r="H446" s="18" t="n">
        <v>1</v>
      </c>
      <c r="I446" s="22" t="n">
        <v>44706</v>
      </c>
      <c r="J446" s="2" t="s">
        <v>981</v>
      </c>
      <c r="K446" s="72"/>
      <c r="L446" s="2" t="n">
        <v>1</v>
      </c>
      <c r="M446" s="2" t="n">
        <v>1</v>
      </c>
      <c r="N446" s="3" t="n">
        <v>44842</v>
      </c>
      <c r="O446" s="2" t="n">
        <v>5.55</v>
      </c>
      <c r="Q446" s="62" t="str">
        <f aca="false">IF(ISBLANK(N446),"",IF(N446&lt;DATE(2023,5,1),"OLD","NEW"))</f>
        <v>OLD</v>
      </c>
      <c r="S446" s="33" t="n">
        <f aca="false">IF(COUNTIF('[1]Plate_1-2_LongFormat'!$A$2:$A$193,G446)&gt;0,1,0)</f>
        <v>1</v>
      </c>
      <c r="T446" s="33" t="n">
        <f aca="false">IF(COUNTIF([2]Attached_indexes!$C$2:$C$193,G446)&gt;0,1,0)</f>
        <v>1</v>
      </c>
      <c r="U446" s="59"/>
      <c r="V446" s="1" t="s">
        <v>982</v>
      </c>
    </row>
    <row r="447" customFormat="false" ht="15.75" hidden="false" customHeight="true" outlineLevel="0" collapsed="false">
      <c r="A447" s="18" t="s">
        <v>148</v>
      </c>
      <c r="B447" s="18" t="s">
        <v>148</v>
      </c>
      <c r="C447" s="18" t="s">
        <v>40</v>
      </c>
      <c r="E447" s="66" t="n">
        <v>22</v>
      </c>
      <c r="F447" s="21" t="str">
        <f aca="false">CONCATENATE(B447,"_",C447, TEXT(E447, "000"))</f>
        <v>HUOB_M. guttatus022</v>
      </c>
      <c r="G447" s="21" t="s">
        <v>618</v>
      </c>
      <c r="H447" s="18" t="n">
        <v>1</v>
      </c>
      <c r="I447" s="22" t="n">
        <v>44706</v>
      </c>
      <c r="J447" s="2" t="s">
        <v>981</v>
      </c>
      <c r="K447" s="72"/>
      <c r="L447" s="2" t="n">
        <v>1</v>
      </c>
      <c r="M447" s="2" t="n">
        <v>1</v>
      </c>
      <c r="N447" s="3" t="n">
        <v>44842</v>
      </c>
      <c r="O447" s="2" t="n">
        <v>5.55</v>
      </c>
      <c r="Q447" s="62" t="str">
        <f aca="false">IF(ISBLANK(N447),"",IF(N447&lt;DATE(2023,5,1),"OLD","NEW"))</f>
        <v>OLD</v>
      </c>
      <c r="S447" s="33" t="n">
        <f aca="false">IF(COUNTIF('[1]Plate_1-2_LongFormat'!$A$2:$A$193,G447)&gt;0,1,0)</f>
        <v>1</v>
      </c>
      <c r="T447" s="33" t="n">
        <f aca="false">IF(COUNTIF([2]Attached_indexes!$C$2:$C$193,G447)&gt;0,1,0)</f>
        <v>1</v>
      </c>
      <c r="U447" s="59"/>
      <c r="V447" s="1" t="s">
        <v>982</v>
      </c>
    </row>
    <row r="448" customFormat="false" ht="15.75" hidden="false" customHeight="true" outlineLevel="0" collapsed="false">
      <c r="A448" s="18" t="s">
        <v>148</v>
      </c>
      <c r="B448" s="18" t="s">
        <v>148</v>
      </c>
      <c r="C448" s="18" t="s">
        <v>40</v>
      </c>
      <c r="E448" s="66" t="n">
        <v>22</v>
      </c>
      <c r="F448" s="21" t="str">
        <f aca="false">CONCATENATE(B448,"_",C448, TEXT(E448, "000"))</f>
        <v>HUOB_M. guttatus022</v>
      </c>
      <c r="G448" s="21" t="s">
        <v>618</v>
      </c>
      <c r="H448" s="18" t="n">
        <v>1</v>
      </c>
      <c r="I448" s="22" t="n">
        <v>44706</v>
      </c>
      <c r="J448" s="2" t="s">
        <v>981</v>
      </c>
      <c r="K448" s="72"/>
      <c r="L448" s="2" t="n">
        <v>1</v>
      </c>
      <c r="M448" s="2" t="n">
        <v>1</v>
      </c>
      <c r="N448" s="3" t="n">
        <v>44842</v>
      </c>
      <c r="O448" s="2" t="n">
        <v>5.55</v>
      </c>
      <c r="Q448" s="62" t="str">
        <f aca="false">IF(ISBLANK(N448),"",IF(N448&lt;DATE(2023,5,1),"OLD","NEW"))</f>
        <v>OLD</v>
      </c>
      <c r="S448" s="33" t="n">
        <f aca="false">IF(COUNTIF('[1]Plate_1-2_LongFormat'!$A$2:$A$193,G448)&gt;0,1,0)</f>
        <v>1</v>
      </c>
      <c r="T448" s="33" t="n">
        <f aca="false">IF(COUNTIF([2]Attached_indexes!$C$2:$C$193,G448)&gt;0,1,0)</f>
        <v>1</v>
      </c>
      <c r="U448" s="59"/>
      <c r="V448" s="1" t="s">
        <v>982</v>
      </c>
    </row>
    <row r="449" customFormat="false" ht="15.75" hidden="false" customHeight="true" outlineLevel="0" collapsed="false">
      <c r="A449" s="18" t="s">
        <v>148</v>
      </c>
      <c r="B449" s="18" t="s">
        <v>148</v>
      </c>
      <c r="C449" s="18" t="s">
        <v>40</v>
      </c>
      <c r="E449" s="66" t="n">
        <v>3</v>
      </c>
      <c r="F449" s="21" t="str">
        <f aca="false">CONCATENATE(B449,"_",C449, TEXT(E449, "000"))</f>
        <v>HUOB_M. guttatus003</v>
      </c>
      <c r="G449" s="21" t="s">
        <v>155</v>
      </c>
      <c r="H449" s="18" t="n">
        <v>1</v>
      </c>
      <c r="I449" s="22" t="n">
        <v>44328</v>
      </c>
      <c r="J449" s="2" t="s">
        <v>981</v>
      </c>
      <c r="K449" s="72" t="s">
        <v>1025</v>
      </c>
      <c r="L449" s="2" t="n">
        <v>1</v>
      </c>
      <c r="M449" s="2" t="n">
        <v>1</v>
      </c>
      <c r="N449" s="3" t="n">
        <v>45076</v>
      </c>
      <c r="O449" s="2" t="n">
        <v>9.17</v>
      </c>
      <c r="P449" s="2" t="n">
        <v>4</v>
      </c>
      <c r="Q449" s="62" t="str">
        <f aca="false">IF(ISBLANK(N449),"",IF(N449&lt;DATE(2023,5,1),"OLD","NEW"))</f>
        <v>NEW</v>
      </c>
      <c r="S449" s="33" t="n">
        <f aca="false">IF(COUNTIF('[1]Plate_1-2_LongFormat'!$A$2:$A$193,G449)&gt;0,1,0)</f>
        <v>0</v>
      </c>
      <c r="T449" s="33" t="n">
        <f aca="false">IF(COUNTIF([2]Attached_indexes!$C$2:$C$193,G449)&gt;0,1,0)</f>
        <v>0</v>
      </c>
      <c r="U449" s="59"/>
      <c r="V449" s="1" t="s">
        <v>982</v>
      </c>
    </row>
    <row r="450" customFormat="false" ht="15.75" hidden="false" customHeight="true" outlineLevel="0" collapsed="false">
      <c r="A450" s="18" t="s">
        <v>148</v>
      </c>
      <c r="B450" s="18" t="s">
        <v>148</v>
      </c>
      <c r="C450" s="18" t="s">
        <v>40</v>
      </c>
      <c r="E450" s="66" t="n">
        <v>3</v>
      </c>
      <c r="F450" s="21" t="str">
        <f aca="false">CONCATENATE(B450,"_",C450, TEXT(E450, "000"))</f>
        <v>HUOB_M. guttatus003</v>
      </c>
      <c r="G450" s="21" t="s">
        <v>155</v>
      </c>
      <c r="H450" s="18" t="n">
        <v>1</v>
      </c>
      <c r="I450" s="22" t="n">
        <v>44328</v>
      </c>
      <c r="J450" s="2" t="s">
        <v>981</v>
      </c>
      <c r="K450" s="72" t="s">
        <v>1025</v>
      </c>
      <c r="L450" s="2" t="n">
        <v>1</v>
      </c>
      <c r="M450" s="2" t="n">
        <v>1</v>
      </c>
      <c r="N450" s="3" t="n">
        <v>45076</v>
      </c>
      <c r="O450" s="2" t="n">
        <v>9.17</v>
      </c>
      <c r="P450" s="2" t="n">
        <v>4</v>
      </c>
      <c r="Q450" s="62" t="str">
        <f aca="false">IF(ISBLANK(N450),"",IF(N450&lt;DATE(2023,5,1),"OLD","NEW"))</f>
        <v>NEW</v>
      </c>
      <c r="S450" s="33" t="n">
        <f aca="false">IF(COUNTIF('[1]Plate_1-2_LongFormat'!$A$2:$A$193,G450)&gt;0,1,0)</f>
        <v>0</v>
      </c>
      <c r="T450" s="33" t="n">
        <f aca="false">IF(COUNTIF([2]Attached_indexes!$C$2:$C$193,G450)&gt;0,1,0)</f>
        <v>0</v>
      </c>
      <c r="U450" s="59"/>
      <c r="V450" s="1" t="s">
        <v>982</v>
      </c>
    </row>
    <row r="451" customFormat="false" ht="15.75" hidden="false" customHeight="true" outlineLevel="0" collapsed="false">
      <c r="A451" s="18" t="s">
        <v>148</v>
      </c>
      <c r="B451" s="18" t="s">
        <v>148</v>
      </c>
      <c r="C451" s="18" t="s">
        <v>40</v>
      </c>
      <c r="E451" s="66" t="n">
        <v>3</v>
      </c>
      <c r="F451" s="21" t="str">
        <f aca="false">CONCATENATE(B451,"_",C451, TEXT(E451, "000"))</f>
        <v>HUOB_M. guttatus003</v>
      </c>
      <c r="G451" s="21" t="s">
        <v>155</v>
      </c>
      <c r="H451" s="18" t="n">
        <v>1</v>
      </c>
      <c r="I451" s="22" t="n">
        <v>44328</v>
      </c>
      <c r="J451" s="2" t="s">
        <v>981</v>
      </c>
      <c r="K451" s="72" t="s">
        <v>1025</v>
      </c>
      <c r="L451" s="2" t="n">
        <v>1</v>
      </c>
      <c r="M451" s="2" t="n">
        <v>1</v>
      </c>
      <c r="N451" s="3" t="n">
        <v>45076</v>
      </c>
      <c r="O451" s="2" t="n">
        <v>9.17</v>
      </c>
      <c r="P451" s="2" t="n">
        <v>4</v>
      </c>
      <c r="Q451" s="62" t="str">
        <f aca="false">IF(ISBLANK(N451),"",IF(N451&lt;DATE(2023,5,1),"OLD","NEW"))</f>
        <v>NEW</v>
      </c>
      <c r="S451" s="33" t="n">
        <f aca="false">IF(COUNTIF('[1]Plate_1-2_LongFormat'!$A$2:$A$193,G451)&gt;0,1,0)</f>
        <v>0</v>
      </c>
      <c r="T451" s="33" t="n">
        <f aca="false">IF(COUNTIF([2]Attached_indexes!$C$2:$C$193,G451)&gt;0,1,0)</f>
        <v>0</v>
      </c>
      <c r="U451" s="59"/>
      <c r="V451" s="1" t="s">
        <v>982</v>
      </c>
    </row>
    <row r="452" customFormat="false" ht="15.75" hidden="false" customHeight="true" outlineLevel="0" collapsed="false">
      <c r="A452" s="18" t="s">
        <v>148</v>
      </c>
      <c r="B452" s="18" t="s">
        <v>148</v>
      </c>
      <c r="C452" s="18" t="s">
        <v>40</v>
      </c>
      <c r="E452" s="66" t="n">
        <v>32</v>
      </c>
      <c r="F452" s="21" t="str">
        <f aca="false">CONCATENATE(B452,"_",C452, TEXT(E452, "000"))</f>
        <v>HUOB_M. guttatus032</v>
      </c>
      <c r="G452" s="21" t="s">
        <v>620</v>
      </c>
      <c r="H452" s="18" t="n">
        <v>1</v>
      </c>
      <c r="I452" s="22" t="n">
        <v>44706</v>
      </c>
      <c r="J452" s="2" t="s">
        <v>981</v>
      </c>
      <c r="L452" s="2" t="n">
        <v>1</v>
      </c>
      <c r="M452" s="2" t="n">
        <v>1</v>
      </c>
      <c r="N452" s="3" t="n">
        <v>45053</v>
      </c>
      <c r="O452" s="2" t="n">
        <v>2.68</v>
      </c>
      <c r="P452" s="2" t="n">
        <v>3</v>
      </c>
      <c r="Q452" s="62" t="str">
        <f aca="false">IF(ISBLANK(N452),"",IF(N452&lt;DATE(2023,5,1),"OLD","NEW"))</f>
        <v>NEW</v>
      </c>
      <c r="S452" s="33" t="n">
        <f aca="false">IF(COUNTIF('[1]Plate_1-2_LongFormat'!$A$2:$A$193,G452)&gt;0,1,0)</f>
        <v>0</v>
      </c>
      <c r="T452" s="33" t="n">
        <f aca="false">IF(COUNTIF([2]Attached_indexes!$C$2:$C$193,G452)&gt;0,1,0)</f>
        <v>0</v>
      </c>
      <c r="U452" s="59"/>
      <c r="V452" s="1" t="s">
        <v>982</v>
      </c>
    </row>
    <row r="453" customFormat="false" ht="15.75" hidden="false" customHeight="true" outlineLevel="0" collapsed="false">
      <c r="A453" s="18" t="s">
        <v>148</v>
      </c>
      <c r="B453" s="18" t="s">
        <v>148</v>
      </c>
      <c r="C453" s="18" t="s">
        <v>40</v>
      </c>
      <c r="E453" s="66" t="n">
        <v>32</v>
      </c>
      <c r="F453" s="21" t="str">
        <f aca="false">CONCATENATE(B453,"_",C453, TEXT(E453, "000"))</f>
        <v>HUOB_M. guttatus032</v>
      </c>
      <c r="G453" s="21" t="s">
        <v>620</v>
      </c>
      <c r="H453" s="18" t="n">
        <v>1</v>
      </c>
      <c r="I453" s="22" t="n">
        <v>44706</v>
      </c>
      <c r="J453" s="2" t="s">
        <v>981</v>
      </c>
      <c r="L453" s="2" t="n">
        <v>1</v>
      </c>
      <c r="M453" s="2" t="n">
        <v>1</v>
      </c>
      <c r="N453" s="3" t="n">
        <v>45053</v>
      </c>
      <c r="O453" s="2" t="n">
        <v>2.68</v>
      </c>
      <c r="P453" s="2" t="n">
        <v>3</v>
      </c>
      <c r="Q453" s="62" t="str">
        <f aca="false">IF(ISBLANK(N453),"",IF(N453&lt;DATE(2023,5,1),"OLD","NEW"))</f>
        <v>NEW</v>
      </c>
      <c r="S453" s="33" t="n">
        <f aca="false">IF(COUNTIF('[1]Plate_1-2_LongFormat'!$A$2:$A$193,G453)&gt;0,1,0)</f>
        <v>0</v>
      </c>
      <c r="T453" s="33" t="n">
        <f aca="false">IF(COUNTIF([2]Attached_indexes!$C$2:$C$193,G453)&gt;0,1,0)</f>
        <v>0</v>
      </c>
      <c r="U453" s="59"/>
      <c r="V453" s="1" t="s">
        <v>982</v>
      </c>
    </row>
    <row r="454" customFormat="false" ht="15.75" hidden="false" customHeight="true" outlineLevel="0" collapsed="false">
      <c r="A454" s="18" t="s">
        <v>148</v>
      </c>
      <c r="B454" s="18" t="s">
        <v>148</v>
      </c>
      <c r="C454" s="18" t="s">
        <v>40</v>
      </c>
      <c r="E454" s="66" t="n">
        <v>32</v>
      </c>
      <c r="F454" s="21" t="str">
        <f aca="false">CONCATENATE(B454,"_",C454, TEXT(E454, "000"))</f>
        <v>HUOB_M. guttatus032</v>
      </c>
      <c r="G454" s="21" t="s">
        <v>620</v>
      </c>
      <c r="H454" s="18" t="n">
        <v>1</v>
      </c>
      <c r="I454" s="22" t="n">
        <v>44706</v>
      </c>
      <c r="J454" s="2" t="s">
        <v>981</v>
      </c>
      <c r="L454" s="2" t="n">
        <v>1</v>
      </c>
      <c r="M454" s="2" t="n">
        <v>1</v>
      </c>
      <c r="N454" s="3" t="n">
        <v>45053</v>
      </c>
      <c r="O454" s="2" t="n">
        <v>2.68</v>
      </c>
      <c r="P454" s="2" t="n">
        <v>3</v>
      </c>
      <c r="Q454" s="62" t="str">
        <f aca="false">IF(ISBLANK(N454),"",IF(N454&lt;DATE(2023,5,1),"OLD","NEW"))</f>
        <v>NEW</v>
      </c>
      <c r="S454" s="33" t="n">
        <f aca="false">IF(COUNTIF('[1]Plate_1-2_LongFormat'!$A$2:$A$193,G454)&gt;0,1,0)</f>
        <v>0</v>
      </c>
      <c r="T454" s="33" t="n">
        <f aca="false">IF(COUNTIF([2]Attached_indexes!$C$2:$C$193,G454)&gt;0,1,0)</f>
        <v>0</v>
      </c>
      <c r="U454" s="59"/>
      <c r="V454" s="1" t="s">
        <v>982</v>
      </c>
    </row>
    <row r="455" customFormat="false" ht="15.75" hidden="false" customHeight="true" outlineLevel="0" collapsed="false">
      <c r="A455" s="18" t="s">
        <v>148</v>
      </c>
      <c r="B455" s="18" t="s">
        <v>148</v>
      </c>
      <c r="C455" s="18" t="s">
        <v>40</v>
      </c>
      <c r="E455" s="66" t="n">
        <v>4</v>
      </c>
      <c r="F455" s="21" t="str">
        <f aca="false">CONCATENATE(B455,"_",C455, TEXT(E455, "000"))</f>
        <v>HUOB_M. guttatus004</v>
      </c>
      <c r="G455" s="21" t="s">
        <v>156</v>
      </c>
      <c r="H455" s="18" t="n">
        <v>1</v>
      </c>
      <c r="I455" s="22" t="n">
        <v>44328</v>
      </c>
      <c r="J455" s="2"/>
      <c r="L455" s="2" t="n">
        <v>1</v>
      </c>
      <c r="M455" s="2" t="n">
        <v>1</v>
      </c>
      <c r="N455" s="3" t="n">
        <v>45077</v>
      </c>
      <c r="O455" s="2" t="n">
        <v>15.3</v>
      </c>
      <c r="P455" s="2" t="n">
        <v>4</v>
      </c>
      <c r="Q455" s="62" t="str">
        <f aca="false">IF(ISBLANK(N455),"",IF(N455&lt;DATE(2023,5,1),"OLD","NEW"))</f>
        <v>NEW</v>
      </c>
      <c r="S455" s="33" t="n">
        <f aca="false">IF(COUNTIF('[1]Plate_1-2_LongFormat'!$A$2:$A$193,G455)&gt;0,1,0)</f>
        <v>0</v>
      </c>
      <c r="T455" s="33" t="n">
        <f aca="false">IF(COUNTIF([2]Attached_indexes!$C$2:$C$193,G455)&gt;0,1,0)</f>
        <v>0</v>
      </c>
      <c r="U455" s="59"/>
      <c r="V455" s="1" t="s">
        <v>982</v>
      </c>
    </row>
    <row r="456" customFormat="false" ht="15.75" hidden="false" customHeight="true" outlineLevel="0" collapsed="false">
      <c r="A456" s="18" t="s">
        <v>148</v>
      </c>
      <c r="B456" s="18" t="s">
        <v>148</v>
      </c>
      <c r="C456" s="18" t="s">
        <v>40</v>
      </c>
      <c r="E456" s="66" t="n">
        <v>4</v>
      </c>
      <c r="F456" s="21" t="str">
        <f aca="false">CONCATENATE(B456,"_",C456, TEXT(E456, "000"))</f>
        <v>HUOB_M. guttatus004</v>
      </c>
      <c r="G456" s="21" t="s">
        <v>156</v>
      </c>
      <c r="H456" s="18" t="n">
        <v>1</v>
      </c>
      <c r="I456" s="22" t="n">
        <v>44328</v>
      </c>
      <c r="J456" s="2"/>
      <c r="L456" s="2" t="n">
        <v>1</v>
      </c>
      <c r="M456" s="2" t="n">
        <v>1</v>
      </c>
      <c r="N456" s="3" t="n">
        <v>45077</v>
      </c>
      <c r="O456" s="2" t="n">
        <v>15.3</v>
      </c>
      <c r="P456" s="2" t="n">
        <v>4</v>
      </c>
      <c r="Q456" s="62" t="str">
        <f aca="false">IF(ISBLANK(N456),"",IF(N456&lt;DATE(2023,5,1),"OLD","NEW"))</f>
        <v>NEW</v>
      </c>
      <c r="S456" s="33" t="n">
        <f aca="false">IF(COUNTIF('[1]Plate_1-2_LongFormat'!$A$2:$A$193,G456)&gt;0,1,0)</f>
        <v>0</v>
      </c>
      <c r="T456" s="33" t="n">
        <f aca="false">IF(COUNTIF([2]Attached_indexes!$C$2:$C$193,G456)&gt;0,1,0)</f>
        <v>0</v>
      </c>
      <c r="U456" s="59"/>
      <c r="V456" s="1" t="s">
        <v>982</v>
      </c>
    </row>
    <row r="457" customFormat="false" ht="15.75" hidden="false" customHeight="true" outlineLevel="0" collapsed="false">
      <c r="A457" s="18" t="s">
        <v>148</v>
      </c>
      <c r="B457" s="18" t="s">
        <v>148</v>
      </c>
      <c r="C457" s="18" t="s">
        <v>40</v>
      </c>
      <c r="E457" s="66" t="n">
        <v>4</v>
      </c>
      <c r="F457" s="21" t="str">
        <f aca="false">CONCATENATE(B457,"_",C457, TEXT(E457, "000"))</f>
        <v>HUOB_M. guttatus004</v>
      </c>
      <c r="G457" s="21" t="s">
        <v>156</v>
      </c>
      <c r="H457" s="18" t="n">
        <v>1</v>
      </c>
      <c r="I457" s="22" t="n">
        <v>44328</v>
      </c>
      <c r="J457" s="2"/>
      <c r="L457" s="2" t="n">
        <v>1</v>
      </c>
      <c r="M457" s="2" t="n">
        <v>1</v>
      </c>
      <c r="N457" s="3" t="n">
        <v>45077</v>
      </c>
      <c r="O457" s="2" t="n">
        <v>15.3</v>
      </c>
      <c r="P457" s="2" t="n">
        <v>4</v>
      </c>
      <c r="Q457" s="62" t="str">
        <f aca="false">IF(ISBLANK(N457),"",IF(N457&lt;DATE(2023,5,1),"OLD","NEW"))</f>
        <v>NEW</v>
      </c>
      <c r="S457" s="33" t="n">
        <f aca="false">IF(COUNTIF('[1]Plate_1-2_LongFormat'!$A$2:$A$193,G457)&gt;0,1,0)</f>
        <v>0</v>
      </c>
      <c r="T457" s="33" t="n">
        <f aca="false">IF(COUNTIF([2]Attached_indexes!$C$2:$C$193,G457)&gt;0,1,0)</f>
        <v>0</v>
      </c>
      <c r="U457" s="59"/>
      <c r="V457" s="1" t="s">
        <v>982</v>
      </c>
    </row>
    <row r="458" customFormat="false" ht="15.75" hidden="false" customHeight="true" outlineLevel="0" collapsed="false">
      <c r="A458" s="18" t="s">
        <v>148</v>
      </c>
      <c r="B458" s="18" t="s">
        <v>148</v>
      </c>
      <c r="C458" s="18" t="s">
        <v>40</v>
      </c>
      <c r="E458" s="66" t="n">
        <v>42</v>
      </c>
      <c r="F458" s="21" t="str">
        <f aca="false">CONCATENATE(B458,"_",C458, TEXT(E458, "000"))</f>
        <v>HUOB_M. guttatus042</v>
      </c>
      <c r="G458" s="21" t="s">
        <v>622</v>
      </c>
      <c r="H458" s="18" t="n">
        <v>1</v>
      </c>
      <c r="I458" s="22" t="n">
        <v>44706</v>
      </c>
      <c r="J458" s="2" t="s">
        <v>981</v>
      </c>
      <c r="L458" s="2" t="n">
        <v>1</v>
      </c>
      <c r="M458" s="2" t="n">
        <v>1</v>
      </c>
      <c r="N458" s="3" t="n">
        <v>45053</v>
      </c>
      <c r="O458" s="2" t="n">
        <v>3.39</v>
      </c>
      <c r="P458" s="2" t="n">
        <v>3</v>
      </c>
      <c r="Q458" s="62" t="str">
        <f aca="false">IF(ISBLANK(N458),"",IF(N458&lt;DATE(2023,5,1),"OLD","NEW"))</f>
        <v>NEW</v>
      </c>
      <c r="S458" s="33" t="n">
        <f aca="false">IF(COUNTIF('[1]Plate_1-2_LongFormat'!$A$2:$A$193,G458)&gt;0,1,0)</f>
        <v>0</v>
      </c>
      <c r="T458" s="33" t="n">
        <f aca="false">IF(COUNTIF([2]Attached_indexes!$C$2:$C$193,G458)&gt;0,1,0)</f>
        <v>0</v>
      </c>
      <c r="U458" s="59"/>
      <c r="V458" s="1" t="s">
        <v>982</v>
      </c>
    </row>
    <row r="459" customFormat="false" ht="15.75" hidden="false" customHeight="true" outlineLevel="0" collapsed="false">
      <c r="A459" s="18" t="s">
        <v>148</v>
      </c>
      <c r="B459" s="18" t="s">
        <v>148</v>
      </c>
      <c r="C459" s="18" t="s">
        <v>40</v>
      </c>
      <c r="E459" s="66" t="n">
        <v>42</v>
      </c>
      <c r="F459" s="21" t="str">
        <f aca="false">CONCATENATE(B459,"_",C459, TEXT(E459, "000"))</f>
        <v>HUOB_M. guttatus042</v>
      </c>
      <c r="G459" s="21" t="s">
        <v>622</v>
      </c>
      <c r="H459" s="18" t="n">
        <v>1</v>
      </c>
      <c r="I459" s="22" t="n">
        <v>44706</v>
      </c>
      <c r="J459" s="2" t="s">
        <v>981</v>
      </c>
      <c r="L459" s="2" t="n">
        <v>1</v>
      </c>
      <c r="M459" s="2" t="n">
        <v>1</v>
      </c>
      <c r="N459" s="3" t="n">
        <v>45053</v>
      </c>
      <c r="O459" s="2" t="n">
        <v>3.39</v>
      </c>
      <c r="P459" s="2" t="n">
        <v>3</v>
      </c>
      <c r="Q459" s="62" t="str">
        <f aca="false">IF(ISBLANK(N459),"",IF(N459&lt;DATE(2023,5,1),"OLD","NEW"))</f>
        <v>NEW</v>
      </c>
      <c r="S459" s="33" t="n">
        <f aca="false">IF(COUNTIF('[1]Plate_1-2_LongFormat'!$A$2:$A$193,G459)&gt;0,1,0)</f>
        <v>0</v>
      </c>
      <c r="T459" s="33" t="n">
        <f aca="false">IF(COUNTIF([2]Attached_indexes!$C$2:$C$193,G459)&gt;0,1,0)</f>
        <v>0</v>
      </c>
      <c r="U459" s="59"/>
      <c r="V459" s="1" t="s">
        <v>982</v>
      </c>
    </row>
    <row r="460" customFormat="false" ht="15.75" hidden="false" customHeight="true" outlineLevel="0" collapsed="false">
      <c r="A460" s="18" t="s">
        <v>148</v>
      </c>
      <c r="B460" s="18" t="s">
        <v>148</v>
      </c>
      <c r="C460" s="18" t="s">
        <v>40</v>
      </c>
      <c r="E460" s="66" t="n">
        <v>42</v>
      </c>
      <c r="F460" s="21" t="str">
        <f aca="false">CONCATENATE(B460,"_",C460, TEXT(E460, "000"))</f>
        <v>HUOB_M. guttatus042</v>
      </c>
      <c r="G460" s="21" t="s">
        <v>622</v>
      </c>
      <c r="H460" s="18" t="n">
        <v>1</v>
      </c>
      <c r="I460" s="22" t="n">
        <v>44706</v>
      </c>
      <c r="J460" s="2" t="s">
        <v>981</v>
      </c>
      <c r="L460" s="2" t="n">
        <v>1</v>
      </c>
      <c r="M460" s="2" t="n">
        <v>1</v>
      </c>
      <c r="N460" s="3" t="n">
        <v>45053</v>
      </c>
      <c r="O460" s="2" t="n">
        <v>3.39</v>
      </c>
      <c r="P460" s="2" t="n">
        <v>3</v>
      </c>
      <c r="Q460" s="62" t="str">
        <f aca="false">IF(ISBLANK(N460),"",IF(N460&lt;DATE(2023,5,1),"OLD","NEW"))</f>
        <v>NEW</v>
      </c>
      <c r="S460" s="33" t="n">
        <f aca="false">IF(COUNTIF('[1]Plate_1-2_LongFormat'!$A$2:$A$193,G460)&gt;0,1,0)</f>
        <v>0</v>
      </c>
      <c r="T460" s="33" t="n">
        <f aca="false">IF(COUNTIF([2]Attached_indexes!$C$2:$C$193,G460)&gt;0,1,0)</f>
        <v>0</v>
      </c>
      <c r="U460" s="59"/>
      <c r="V460" s="1" t="s">
        <v>982</v>
      </c>
    </row>
    <row r="461" customFormat="false" ht="15.75" hidden="false" customHeight="true" outlineLevel="0" collapsed="false">
      <c r="A461" s="18" t="s">
        <v>148</v>
      </c>
      <c r="B461" s="18" t="s">
        <v>148</v>
      </c>
      <c r="C461" s="18" t="s">
        <v>40</v>
      </c>
      <c r="E461" s="66" t="n">
        <v>5</v>
      </c>
      <c r="F461" s="21" t="str">
        <f aca="false">CONCATENATE(B461,"_",C461, TEXT(E461, "000"))</f>
        <v>HUOB_M. guttatus005</v>
      </c>
      <c r="G461" s="21" t="s">
        <v>157</v>
      </c>
      <c r="H461" s="18" t="n">
        <v>1</v>
      </c>
      <c r="I461" s="22" t="n">
        <v>44328</v>
      </c>
      <c r="J461" s="2"/>
      <c r="L461" s="2" t="n">
        <v>1</v>
      </c>
      <c r="M461" s="2" t="n">
        <v>1</v>
      </c>
      <c r="N461" s="3" t="n">
        <v>45076</v>
      </c>
      <c r="O461" s="2" t="n">
        <v>22.8</v>
      </c>
      <c r="P461" s="2" t="n">
        <v>4</v>
      </c>
      <c r="Q461" s="62" t="str">
        <f aca="false">IF(ISBLANK(N461),"",IF(N461&lt;DATE(2023,5,1),"OLD","NEW"))</f>
        <v>NEW</v>
      </c>
      <c r="S461" s="33" t="n">
        <f aca="false">IF(COUNTIF('[1]Plate_1-2_LongFormat'!$A$2:$A$193,G461)&gt;0,1,0)</f>
        <v>0</v>
      </c>
      <c r="T461" s="33" t="n">
        <f aca="false">IF(COUNTIF([2]Attached_indexes!$C$2:$C$193,G461)&gt;0,1,0)</f>
        <v>0</v>
      </c>
      <c r="U461" s="59"/>
      <c r="V461" s="1" t="s">
        <v>982</v>
      </c>
    </row>
    <row r="462" customFormat="false" ht="15.75" hidden="false" customHeight="true" outlineLevel="0" collapsed="false">
      <c r="A462" s="18" t="s">
        <v>148</v>
      </c>
      <c r="B462" s="18" t="s">
        <v>148</v>
      </c>
      <c r="C462" s="18" t="s">
        <v>40</v>
      </c>
      <c r="E462" s="66" t="n">
        <v>5</v>
      </c>
      <c r="F462" s="21" t="str">
        <f aca="false">CONCATENATE(B462,"_",C462, TEXT(E462, "000"))</f>
        <v>HUOB_M. guttatus005</v>
      </c>
      <c r="G462" s="21" t="s">
        <v>157</v>
      </c>
      <c r="H462" s="18" t="n">
        <v>1</v>
      </c>
      <c r="I462" s="22" t="n">
        <v>44328</v>
      </c>
      <c r="J462" s="2"/>
      <c r="L462" s="2" t="n">
        <v>1</v>
      </c>
      <c r="M462" s="2" t="n">
        <v>1</v>
      </c>
      <c r="N462" s="3" t="n">
        <v>45076</v>
      </c>
      <c r="O462" s="2" t="n">
        <v>22.8</v>
      </c>
      <c r="P462" s="2" t="n">
        <v>4</v>
      </c>
      <c r="Q462" s="62" t="str">
        <f aca="false">IF(ISBLANK(N462),"",IF(N462&lt;DATE(2023,5,1),"OLD","NEW"))</f>
        <v>NEW</v>
      </c>
      <c r="S462" s="33" t="n">
        <f aca="false">IF(COUNTIF('[1]Plate_1-2_LongFormat'!$A$2:$A$193,G462)&gt;0,1,0)</f>
        <v>0</v>
      </c>
      <c r="T462" s="33" t="n">
        <f aca="false">IF(COUNTIF([2]Attached_indexes!$C$2:$C$193,G462)&gt;0,1,0)</f>
        <v>0</v>
      </c>
      <c r="U462" s="59"/>
      <c r="V462" s="1" t="s">
        <v>982</v>
      </c>
    </row>
    <row r="463" customFormat="false" ht="15.75" hidden="false" customHeight="true" outlineLevel="0" collapsed="false">
      <c r="A463" s="18" t="s">
        <v>148</v>
      </c>
      <c r="B463" s="18" t="s">
        <v>148</v>
      </c>
      <c r="C463" s="18" t="s">
        <v>40</v>
      </c>
      <c r="E463" s="66" t="n">
        <v>5</v>
      </c>
      <c r="F463" s="21" t="str">
        <f aca="false">CONCATENATE(B463,"_",C463, TEXT(E463, "000"))</f>
        <v>HUOB_M. guttatus005</v>
      </c>
      <c r="G463" s="21" t="s">
        <v>157</v>
      </c>
      <c r="H463" s="18" t="n">
        <v>1</v>
      </c>
      <c r="I463" s="22" t="n">
        <v>44328</v>
      </c>
      <c r="J463" s="2"/>
      <c r="L463" s="2" t="n">
        <v>1</v>
      </c>
      <c r="M463" s="2" t="n">
        <v>1</v>
      </c>
      <c r="N463" s="3" t="n">
        <v>45076</v>
      </c>
      <c r="O463" s="2" t="n">
        <v>22.8</v>
      </c>
      <c r="P463" s="2" t="n">
        <v>4</v>
      </c>
      <c r="Q463" s="62" t="str">
        <f aca="false">IF(ISBLANK(N463),"",IF(N463&lt;DATE(2023,5,1),"OLD","NEW"))</f>
        <v>NEW</v>
      </c>
      <c r="S463" s="33" t="n">
        <f aca="false">IF(COUNTIF('[1]Plate_1-2_LongFormat'!$A$2:$A$193,G463)&gt;0,1,0)</f>
        <v>0</v>
      </c>
      <c r="T463" s="33" t="n">
        <f aca="false">IF(COUNTIF([2]Attached_indexes!$C$2:$C$193,G463)&gt;0,1,0)</f>
        <v>0</v>
      </c>
      <c r="U463" s="59"/>
      <c r="V463" s="1" t="s">
        <v>982</v>
      </c>
    </row>
    <row r="464" customFormat="false" ht="15.75" hidden="false" customHeight="true" outlineLevel="0" collapsed="false">
      <c r="A464" s="18" t="s">
        <v>148</v>
      </c>
      <c r="B464" s="18" t="s">
        <v>148</v>
      </c>
      <c r="C464" s="18" t="s">
        <v>40</v>
      </c>
      <c r="E464" s="66" t="n">
        <v>52</v>
      </c>
      <c r="F464" s="21" t="str">
        <f aca="false">CONCATENATE(B464,"_",C464, TEXT(E464, "000"))</f>
        <v>HUOB_M. guttatus052</v>
      </c>
      <c r="G464" s="21" t="s">
        <v>623</v>
      </c>
      <c r="H464" s="18" t="n">
        <v>1</v>
      </c>
      <c r="I464" s="22" t="n">
        <v>44706</v>
      </c>
      <c r="J464" s="2" t="s">
        <v>981</v>
      </c>
      <c r="K464" s="2" t="s">
        <v>990</v>
      </c>
      <c r="L464" s="2" t="n">
        <v>1</v>
      </c>
      <c r="M464" s="2" t="n">
        <v>1</v>
      </c>
      <c r="N464" s="3" t="n">
        <v>45061</v>
      </c>
      <c r="O464" s="2" t="n">
        <v>3.46</v>
      </c>
      <c r="P464" s="2" t="n">
        <v>4</v>
      </c>
      <c r="Q464" s="62" t="str">
        <f aca="false">IF(ISBLANK(N464),"",IF(N464&lt;DATE(2023,5,1),"OLD","NEW"))</f>
        <v>NEW</v>
      </c>
      <c r="S464" s="33" t="n">
        <f aca="false">IF(COUNTIF('[1]Plate_1-2_LongFormat'!$A$2:$A$193,G464)&gt;0,1,0)</f>
        <v>0</v>
      </c>
      <c r="T464" s="33" t="n">
        <f aca="false">IF(COUNTIF([2]Attached_indexes!$C$2:$C$193,G464)&gt;0,1,0)</f>
        <v>0</v>
      </c>
      <c r="U464" s="59"/>
      <c r="V464" s="1" t="s">
        <v>982</v>
      </c>
    </row>
    <row r="465" customFormat="false" ht="15.75" hidden="false" customHeight="true" outlineLevel="0" collapsed="false">
      <c r="A465" s="18" t="s">
        <v>148</v>
      </c>
      <c r="B465" s="18" t="s">
        <v>148</v>
      </c>
      <c r="C465" s="18" t="s">
        <v>40</v>
      </c>
      <c r="E465" s="66" t="n">
        <v>52</v>
      </c>
      <c r="F465" s="21" t="str">
        <f aca="false">CONCATENATE(B465,"_",C465, TEXT(E465, "000"))</f>
        <v>HUOB_M. guttatus052</v>
      </c>
      <c r="G465" s="21" t="s">
        <v>623</v>
      </c>
      <c r="H465" s="18" t="n">
        <v>1</v>
      </c>
      <c r="I465" s="22" t="n">
        <v>44706</v>
      </c>
      <c r="J465" s="2" t="s">
        <v>981</v>
      </c>
      <c r="K465" s="2" t="s">
        <v>990</v>
      </c>
      <c r="L465" s="2" t="n">
        <v>1</v>
      </c>
      <c r="M465" s="2" t="n">
        <v>1</v>
      </c>
      <c r="N465" s="3" t="n">
        <v>45061</v>
      </c>
      <c r="O465" s="2" t="n">
        <v>3.46</v>
      </c>
      <c r="P465" s="2" t="n">
        <v>4</v>
      </c>
      <c r="Q465" s="62" t="str">
        <f aca="false">IF(ISBLANK(N465),"",IF(N465&lt;DATE(2023,5,1),"OLD","NEW"))</f>
        <v>NEW</v>
      </c>
      <c r="S465" s="33" t="n">
        <f aca="false">IF(COUNTIF('[1]Plate_1-2_LongFormat'!$A$2:$A$193,G465)&gt;0,1,0)</f>
        <v>0</v>
      </c>
      <c r="T465" s="33" t="n">
        <f aca="false">IF(COUNTIF([2]Attached_indexes!$C$2:$C$193,G465)&gt;0,1,0)</f>
        <v>0</v>
      </c>
      <c r="U465" s="59"/>
      <c r="V465" s="1" t="s">
        <v>982</v>
      </c>
    </row>
    <row r="466" customFormat="false" ht="15.75" hidden="false" customHeight="true" outlineLevel="0" collapsed="false">
      <c r="A466" s="18" t="s">
        <v>148</v>
      </c>
      <c r="B466" s="18" t="s">
        <v>148</v>
      </c>
      <c r="C466" s="18" t="s">
        <v>40</v>
      </c>
      <c r="E466" s="66" t="n">
        <v>52</v>
      </c>
      <c r="F466" s="21" t="str">
        <f aca="false">CONCATENATE(B466,"_",C466, TEXT(E466, "000"))</f>
        <v>HUOB_M. guttatus052</v>
      </c>
      <c r="G466" s="21" t="s">
        <v>623</v>
      </c>
      <c r="H466" s="18" t="n">
        <v>1</v>
      </c>
      <c r="I466" s="22" t="n">
        <v>44706</v>
      </c>
      <c r="J466" s="2" t="s">
        <v>981</v>
      </c>
      <c r="K466" s="2" t="s">
        <v>990</v>
      </c>
      <c r="L466" s="2" t="n">
        <v>1</v>
      </c>
      <c r="M466" s="2" t="n">
        <v>1</v>
      </c>
      <c r="N466" s="3" t="n">
        <v>45061</v>
      </c>
      <c r="O466" s="2" t="n">
        <v>3.46</v>
      </c>
      <c r="P466" s="2" t="n">
        <v>4</v>
      </c>
      <c r="Q466" s="62" t="str">
        <f aca="false">IF(ISBLANK(N466),"",IF(N466&lt;DATE(2023,5,1),"OLD","NEW"))</f>
        <v>NEW</v>
      </c>
      <c r="S466" s="33" t="n">
        <f aca="false">IF(COUNTIF('[1]Plate_1-2_LongFormat'!$A$2:$A$193,G466)&gt;0,1,0)</f>
        <v>0</v>
      </c>
      <c r="T466" s="33" t="n">
        <f aca="false">IF(COUNTIF([2]Attached_indexes!$C$2:$C$193,G466)&gt;0,1,0)</f>
        <v>0</v>
      </c>
      <c r="U466" s="59"/>
      <c r="V466" s="1" t="s">
        <v>982</v>
      </c>
    </row>
    <row r="467" customFormat="false" ht="15.75" hidden="false" customHeight="true" outlineLevel="0" collapsed="false">
      <c r="A467" s="18" t="s">
        <v>148</v>
      </c>
      <c r="B467" s="18" t="s">
        <v>148</v>
      </c>
      <c r="C467" s="18" t="s">
        <v>40</v>
      </c>
      <c r="E467" s="66" t="n">
        <v>62</v>
      </c>
      <c r="F467" s="21" t="str">
        <f aca="false">CONCATENATE(B467,"_",C467, TEXT(E467, "000"))</f>
        <v>HUOB_M. guttatus062</v>
      </c>
      <c r="G467" s="21" t="s">
        <v>625</v>
      </c>
      <c r="H467" s="18" t="n">
        <v>1</v>
      </c>
      <c r="I467" s="22" t="n">
        <v>44706</v>
      </c>
      <c r="J467" s="2" t="s">
        <v>981</v>
      </c>
      <c r="L467" s="2" t="n">
        <v>1</v>
      </c>
      <c r="M467" s="2" t="n">
        <v>1</v>
      </c>
      <c r="N467" s="3" t="n">
        <v>44870</v>
      </c>
      <c r="O467" s="2" t="n">
        <v>4.81</v>
      </c>
      <c r="P467" s="2" t="n">
        <v>1</v>
      </c>
      <c r="Q467" s="62" t="str">
        <f aca="false">IF(ISBLANK(N467),"",IF(N467&lt;DATE(2023,5,1),"OLD","NEW"))</f>
        <v>OLD</v>
      </c>
      <c r="S467" s="33" t="n">
        <f aca="false">IF(COUNTIF('[1]Plate_1-2_LongFormat'!$A$2:$A$193,G467)&gt;0,1,0)</f>
        <v>1</v>
      </c>
      <c r="T467" s="33" t="n">
        <f aca="false">IF(COUNTIF([2]Attached_indexes!$C$2:$C$193,G467)&gt;0,1,0)</f>
        <v>1</v>
      </c>
      <c r="U467" s="59"/>
      <c r="V467" s="1" t="s">
        <v>982</v>
      </c>
    </row>
    <row r="468" customFormat="false" ht="15.75" hidden="false" customHeight="true" outlineLevel="0" collapsed="false">
      <c r="A468" s="18" t="s">
        <v>148</v>
      </c>
      <c r="B468" s="18" t="s">
        <v>148</v>
      </c>
      <c r="C468" s="18" t="s">
        <v>40</v>
      </c>
      <c r="E468" s="66" t="n">
        <v>62</v>
      </c>
      <c r="F468" s="21" t="str">
        <f aca="false">CONCATENATE(B468,"_",C468, TEXT(E468, "000"))</f>
        <v>HUOB_M. guttatus062</v>
      </c>
      <c r="G468" s="21" t="s">
        <v>625</v>
      </c>
      <c r="H468" s="18" t="n">
        <v>1</v>
      </c>
      <c r="I468" s="22" t="n">
        <v>44706</v>
      </c>
      <c r="J468" s="2" t="s">
        <v>981</v>
      </c>
      <c r="L468" s="2" t="n">
        <v>1</v>
      </c>
      <c r="M468" s="2" t="n">
        <v>1</v>
      </c>
      <c r="N468" s="3" t="n">
        <v>44871</v>
      </c>
      <c r="O468" s="2" t="n">
        <v>4.81</v>
      </c>
      <c r="P468" s="2" t="n">
        <v>1</v>
      </c>
      <c r="Q468" s="62" t="str">
        <f aca="false">IF(ISBLANK(N468),"",IF(N468&lt;DATE(2023,5,1),"OLD","NEW"))</f>
        <v>OLD</v>
      </c>
      <c r="S468" s="33" t="n">
        <f aca="false">IF(COUNTIF('[1]Plate_1-2_LongFormat'!$A$2:$A$193,G468)&gt;0,1,0)</f>
        <v>1</v>
      </c>
      <c r="T468" s="33" t="n">
        <f aca="false">IF(COUNTIF([2]Attached_indexes!$C$2:$C$193,G468)&gt;0,1,0)</f>
        <v>1</v>
      </c>
      <c r="U468" s="59"/>
      <c r="V468" s="1" t="s">
        <v>982</v>
      </c>
    </row>
    <row r="469" customFormat="false" ht="15.75" hidden="false" customHeight="true" outlineLevel="0" collapsed="false">
      <c r="A469" s="18" t="s">
        <v>148</v>
      </c>
      <c r="B469" s="18" t="s">
        <v>148</v>
      </c>
      <c r="C469" s="18" t="s">
        <v>40</v>
      </c>
      <c r="E469" s="66" t="n">
        <v>62</v>
      </c>
      <c r="F469" s="21" t="str">
        <f aca="false">CONCATENATE(B469,"_",C469, TEXT(E469, "000"))</f>
        <v>HUOB_M. guttatus062</v>
      </c>
      <c r="G469" s="21" t="s">
        <v>625</v>
      </c>
      <c r="H469" s="18" t="n">
        <v>1</v>
      </c>
      <c r="I469" s="22" t="n">
        <v>44706</v>
      </c>
      <c r="J469" s="2" t="s">
        <v>981</v>
      </c>
      <c r="L469" s="2" t="n">
        <v>1</v>
      </c>
      <c r="M469" s="2" t="n">
        <v>1</v>
      </c>
      <c r="N469" s="3" t="n">
        <v>44872</v>
      </c>
      <c r="O469" s="2" t="n">
        <v>4.81</v>
      </c>
      <c r="P469" s="2" t="n">
        <v>1</v>
      </c>
      <c r="Q469" s="62" t="str">
        <f aca="false">IF(ISBLANK(N469),"",IF(N469&lt;DATE(2023,5,1),"OLD","NEW"))</f>
        <v>OLD</v>
      </c>
      <c r="S469" s="33" t="n">
        <f aca="false">IF(COUNTIF('[1]Plate_1-2_LongFormat'!$A$2:$A$193,G469)&gt;0,1,0)</f>
        <v>1</v>
      </c>
      <c r="T469" s="33" t="n">
        <f aca="false">IF(COUNTIF([2]Attached_indexes!$C$2:$C$193,G469)&gt;0,1,0)</f>
        <v>1</v>
      </c>
      <c r="U469" s="59"/>
      <c r="V469" s="1" t="s">
        <v>982</v>
      </c>
    </row>
    <row r="470" customFormat="false" ht="15.75" hidden="false" customHeight="true" outlineLevel="0" collapsed="false">
      <c r="A470" s="18" t="s">
        <v>148</v>
      </c>
      <c r="B470" s="18" t="s">
        <v>148</v>
      </c>
      <c r="C470" s="18" t="s">
        <v>40</v>
      </c>
      <c r="E470" s="66" t="n">
        <v>72</v>
      </c>
      <c r="F470" s="21" t="str">
        <f aca="false">CONCATENATE(B470,"_",C470, TEXT(E470, "000"))</f>
        <v>HUOB_M. guttatus072</v>
      </c>
      <c r="G470" s="21" t="s">
        <v>626</v>
      </c>
      <c r="H470" s="18" t="n">
        <v>1</v>
      </c>
      <c r="I470" s="22" t="n">
        <v>44706</v>
      </c>
      <c r="J470" s="2" t="s">
        <v>981</v>
      </c>
      <c r="L470" s="2" t="n">
        <v>1</v>
      </c>
      <c r="M470" s="2" t="n">
        <v>1</v>
      </c>
      <c r="N470" s="3" t="n">
        <v>44999</v>
      </c>
      <c r="O470" s="2" t="n">
        <v>0.76</v>
      </c>
      <c r="P470" s="2" t="n">
        <v>3</v>
      </c>
      <c r="Q470" s="62" t="str">
        <f aca="false">IF(ISBLANK(N470),"",IF(N470&lt;DATE(2023,5,1),"OLD","NEW"))</f>
        <v>OLD</v>
      </c>
      <c r="S470" s="33" t="n">
        <f aca="false">IF(COUNTIF('[1]Plate_1-2_LongFormat'!$A$2:$A$193,G470)&gt;0,1,0)</f>
        <v>0</v>
      </c>
      <c r="T470" s="33" t="n">
        <f aca="false">IF(COUNTIF([2]Attached_indexes!$C$2:$C$193,G470)&gt;0,1,0)</f>
        <v>0</v>
      </c>
      <c r="U470" s="59"/>
      <c r="V470" s="1" t="s">
        <v>982</v>
      </c>
    </row>
    <row r="471" customFormat="false" ht="15.75" hidden="false" customHeight="true" outlineLevel="0" collapsed="false">
      <c r="A471" s="18" t="s">
        <v>148</v>
      </c>
      <c r="B471" s="18" t="s">
        <v>148</v>
      </c>
      <c r="C471" s="18" t="s">
        <v>40</v>
      </c>
      <c r="E471" s="66" t="n">
        <v>72</v>
      </c>
      <c r="F471" s="21" t="str">
        <f aca="false">CONCATENATE(B471,"_",C471, TEXT(E471, "000"))</f>
        <v>HUOB_M. guttatus072</v>
      </c>
      <c r="G471" s="21" t="s">
        <v>626</v>
      </c>
      <c r="H471" s="18" t="n">
        <v>1</v>
      </c>
      <c r="I471" s="22" t="n">
        <v>44706</v>
      </c>
      <c r="J471" s="2" t="s">
        <v>981</v>
      </c>
      <c r="L471" s="2" t="n">
        <v>1</v>
      </c>
      <c r="M471" s="2" t="n">
        <v>1</v>
      </c>
      <c r="N471" s="3" t="n">
        <v>44999</v>
      </c>
      <c r="O471" s="2" t="n">
        <v>0.76</v>
      </c>
      <c r="P471" s="2" t="n">
        <v>3</v>
      </c>
      <c r="Q471" s="62" t="str">
        <f aca="false">IF(ISBLANK(N471),"",IF(N471&lt;DATE(2023,5,1),"OLD","NEW"))</f>
        <v>OLD</v>
      </c>
      <c r="S471" s="33" t="n">
        <f aca="false">IF(COUNTIF('[1]Plate_1-2_LongFormat'!$A$2:$A$193,G471)&gt;0,1,0)</f>
        <v>0</v>
      </c>
      <c r="T471" s="33" t="n">
        <f aca="false">IF(COUNTIF([2]Attached_indexes!$C$2:$C$193,G471)&gt;0,1,0)</f>
        <v>0</v>
      </c>
      <c r="U471" s="59"/>
      <c r="V471" s="1" t="s">
        <v>982</v>
      </c>
    </row>
    <row r="472" customFormat="false" ht="15.75" hidden="false" customHeight="true" outlineLevel="0" collapsed="false">
      <c r="A472" s="18" t="s">
        <v>148</v>
      </c>
      <c r="B472" s="18" t="s">
        <v>148</v>
      </c>
      <c r="C472" s="18" t="s">
        <v>40</v>
      </c>
      <c r="E472" s="66" t="n">
        <v>72</v>
      </c>
      <c r="F472" s="21" t="str">
        <f aca="false">CONCATENATE(B472,"_",C472, TEXT(E472, "000"))</f>
        <v>HUOB_M. guttatus072</v>
      </c>
      <c r="G472" s="21" t="s">
        <v>626</v>
      </c>
      <c r="H472" s="18" t="n">
        <v>1</v>
      </c>
      <c r="I472" s="22" t="n">
        <v>44706</v>
      </c>
      <c r="J472" s="2" t="s">
        <v>981</v>
      </c>
      <c r="L472" s="2" t="n">
        <v>1</v>
      </c>
      <c r="M472" s="2" t="n">
        <v>1</v>
      </c>
      <c r="N472" s="3" t="n">
        <v>44999</v>
      </c>
      <c r="O472" s="2" t="n">
        <v>0.76</v>
      </c>
      <c r="P472" s="2" t="n">
        <v>3</v>
      </c>
      <c r="Q472" s="62" t="str">
        <f aca="false">IF(ISBLANK(N472),"",IF(N472&lt;DATE(2023,5,1),"OLD","NEW"))</f>
        <v>OLD</v>
      </c>
      <c r="S472" s="33" t="n">
        <f aca="false">IF(COUNTIF('[1]Plate_1-2_LongFormat'!$A$2:$A$193,G472)&gt;0,1,0)</f>
        <v>0</v>
      </c>
      <c r="T472" s="33" t="n">
        <f aca="false">IF(COUNTIF([2]Attached_indexes!$C$2:$C$193,G472)&gt;0,1,0)</f>
        <v>0</v>
      </c>
      <c r="U472" s="59"/>
      <c r="V472" s="1" t="s">
        <v>982</v>
      </c>
    </row>
    <row r="473" customFormat="false" ht="15.75" hidden="false" customHeight="true" outlineLevel="0" collapsed="false">
      <c r="A473" s="18" t="s">
        <v>148</v>
      </c>
      <c r="B473" s="18" t="s">
        <v>148</v>
      </c>
      <c r="C473" s="18" t="s">
        <v>40</v>
      </c>
      <c r="E473" s="66" t="n">
        <v>82</v>
      </c>
      <c r="F473" s="21" t="str">
        <f aca="false">CONCATENATE(B473,"_",C473, TEXT(E473, "000"))</f>
        <v>HUOB_M. guttatus082</v>
      </c>
      <c r="G473" s="21" t="s">
        <v>627</v>
      </c>
      <c r="H473" s="18" t="n">
        <v>1</v>
      </c>
      <c r="I473" s="22" t="n">
        <v>44706</v>
      </c>
      <c r="J473" s="2" t="s">
        <v>981</v>
      </c>
      <c r="L473" s="2" t="n">
        <v>1</v>
      </c>
      <c r="M473" s="2" t="n">
        <v>1</v>
      </c>
      <c r="N473" s="3" t="n">
        <v>44961</v>
      </c>
      <c r="O473" s="2" t="n">
        <v>3.14</v>
      </c>
      <c r="P473" s="2" t="n">
        <v>2</v>
      </c>
      <c r="Q473" s="62" t="str">
        <f aca="false">IF(ISBLANK(N473),"",IF(N473&lt;DATE(2023,5,1),"OLD","NEW"))</f>
        <v>OLD</v>
      </c>
      <c r="S473" s="33" t="n">
        <f aca="false">IF(COUNTIF('[1]Plate_1-2_LongFormat'!$A$2:$A$193,G473)&gt;0,1,0)</f>
        <v>1</v>
      </c>
      <c r="T473" s="33" t="n">
        <f aca="false">IF(COUNTIF([2]Attached_indexes!$C$2:$C$193,G473)&gt;0,1,0)</f>
        <v>1</v>
      </c>
      <c r="U473" s="59"/>
      <c r="V473" s="1" t="s">
        <v>982</v>
      </c>
    </row>
    <row r="474" customFormat="false" ht="15.75" hidden="false" customHeight="true" outlineLevel="0" collapsed="false">
      <c r="A474" s="18" t="s">
        <v>148</v>
      </c>
      <c r="B474" s="18" t="s">
        <v>148</v>
      </c>
      <c r="C474" s="18" t="s">
        <v>40</v>
      </c>
      <c r="E474" s="66" t="n">
        <v>82</v>
      </c>
      <c r="F474" s="21" t="str">
        <f aca="false">CONCATENATE(B474,"_",C474, TEXT(E474, "000"))</f>
        <v>HUOB_M. guttatus082</v>
      </c>
      <c r="G474" s="21" t="s">
        <v>627</v>
      </c>
      <c r="H474" s="18" t="n">
        <v>1</v>
      </c>
      <c r="I474" s="22" t="n">
        <v>44706</v>
      </c>
      <c r="J474" s="2" t="s">
        <v>981</v>
      </c>
      <c r="L474" s="2" t="n">
        <v>1</v>
      </c>
      <c r="M474" s="2" t="n">
        <v>1</v>
      </c>
      <c r="N474" s="3" t="n">
        <v>44961</v>
      </c>
      <c r="O474" s="2" t="n">
        <v>3.14</v>
      </c>
      <c r="P474" s="2" t="n">
        <v>2</v>
      </c>
      <c r="Q474" s="62" t="str">
        <f aca="false">IF(ISBLANK(N474),"",IF(N474&lt;DATE(2023,5,1),"OLD","NEW"))</f>
        <v>OLD</v>
      </c>
      <c r="S474" s="33" t="n">
        <f aca="false">IF(COUNTIF('[1]Plate_1-2_LongFormat'!$A$2:$A$193,G474)&gt;0,1,0)</f>
        <v>1</v>
      </c>
      <c r="T474" s="33" t="n">
        <f aca="false">IF(COUNTIF([2]Attached_indexes!$C$2:$C$193,G474)&gt;0,1,0)</f>
        <v>1</v>
      </c>
      <c r="U474" s="59"/>
      <c r="V474" s="1" t="s">
        <v>982</v>
      </c>
    </row>
    <row r="475" customFormat="false" ht="15.75" hidden="false" customHeight="true" outlineLevel="0" collapsed="false">
      <c r="A475" s="18" t="s">
        <v>148</v>
      </c>
      <c r="B475" s="18" t="s">
        <v>148</v>
      </c>
      <c r="C475" s="18" t="s">
        <v>40</v>
      </c>
      <c r="E475" s="66" t="n">
        <v>82</v>
      </c>
      <c r="F475" s="21" t="str">
        <f aca="false">CONCATENATE(B475,"_",C475, TEXT(E475, "000"))</f>
        <v>HUOB_M. guttatus082</v>
      </c>
      <c r="G475" s="21" t="s">
        <v>627</v>
      </c>
      <c r="H475" s="18" t="n">
        <v>1</v>
      </c>
      <c r="I475" s="22" t="n">
        <v>44706</v>
      </c>
      <c r="J475" s="2" t="s">
        <v>981</v>
      </c>
      <c r="L475" s="2" t="n">
        <v>1</v>
      </c>
      <c r="M475" s="2" t="n">
        <v>1</v>
      </c>
      <c r="N475" s="3" t="n">
        <v>44961</v>
      </c>
      <c r="O475" s="2" t="n">
        <v>3.14</v>
      </c>
      <c r="P475" s="2" t="n">
        <v>2</v>
      </c>
      <c r="Q475" s="62" t="str">
        <f aca="false">IF(ISBLANK(N475),"",IF(N475&lt;DATE(2023,5,1),"OLD","NEW"))</f>
        <v>OLD</v>
      </c>
      <c r="S475" s="33" t="n">
        <f aca="false">IF(COUNTIF('[1]Plate_1-2_LongFormat'!$A$2:$A$193,G475)&gt;0,1,0)</f>
        <v>1</v>
      </c>
      <c r="T475" s="33" t="n">
        <f aca="false">IF(COUNTIF([2]Attached_indexes!$C$2:$C$193,G475)&gt;0,1,0)</f>
        <v>1</v>
      </c>
      <c r="U475" s="59"/>
      <c r="V475" s="1" t="s">
        <v>982</v>
      </c>
    </row>
    <row r="476" customFormat="false" ht="15.75" hidden="false" customHeight="true" outlineLevel="0" collapsed="false">
      <c r="A476" s="18" t="s">
        <v>148</v>
      </c>
      <c r="B476" s="18" t="s">
        <v>148</v>
      </c>
      <c r="C476" s="18" t="s">
        <v>40</v>
      </c>
      <c r="E476" s="66" t="n">
        <v>92</v>
      </c>
      <c r="F476" s="21" t="str">
        <f aca="false">CONCATENATE(B476,"_",C476, TEXT(E476, "000"))</f>
        <v>HUOB_M. guttatus092</v>
      </c>
      <c r="G476" s="21" t="s">
        <v>628</v>
      </c>
      <c r="H476" s="18" t="n">
        <v>1</v>
      </c>
      <c r="I476" s="22" t="n">
        <v>44706</v>
      </c>
      <c r="J476" s="2" t="s">
        <v>981</v>
      </c>
      <c r="L476" s="2" t="n">
        <v>1</v>
      </c>
      <c r="M476" s="2" t="n">
        <v>1</v>
      </c>
      <c r="N476" s="3" t="n">
        <v>44834</v>
      </c>
      <c r="O476" s="2" t="n">
        <v>10.7</v>
      </c>
      <c r="P476" s="2" t="n">
        <v>1</v>
      </c>
      <c r="Q476" s="62" t="str">
        <f aca="false">IF(ISBLANK(N476),"",IF(N476&lt;DATE(2023,5,1),"OLD","NEW"))</f>
        <v>OLD</v>
      </c>
      <c r="S476" s="33" t="n">
        <f aca="false">IF(COUNTIF('[1]Plate_1-2_LongFormat'!$A$2:$A$193,G476)&gt;0,1,0)</f>
        <v>1</v>
      </c>
      <c r="T476" s="33" t="n">
        <f aca="false">IF(COUNTIF([2]Attached_indexes!$C$2:$C$193,G476)&gt;0,1,0)</f>
        <v>1</v>
      </c>
      <c r="U476" s="59"/>
      <c r="V476" s="1" t="s">
        <v>982</v>
      </c>
    </row>
    <row r="477" customFormat="false" ht="15.75" hidden="false" customHeight="true" outlineLevel="0" collapsed="false">
      <c r="A477" s="18" t="s">
        <v>148</v>
      </c>
      <c r="B477" s="18" t="s">
        <v>148</v>
      </c>
      <c r="C477" s="18" t="s">
        <v>40</v>
      </c>
      <c r="E477" s="66" t="n">
        <v>92</v>
      </c>
      <c r="F477" s="21" t="str">
        <f aca="false">CONCATENATE(B477,"_",C477, TEXT(E477, "000"))</f>
        <v>HUOB_M. guttatus092</v>
      </c>
      <c r="G477" s="21" t="s">
        <v>628</v>
      </c>
      <c r="H477" s="18" t="n">
        <v>1</v>
      </c>
      <c r="I477" s="22" t="n">
        <v>44706</v>
      </c>
      <c r="J477" s="2" t="s">
        <v>981</v>
      </c>
      <c r="L477" s="2" t="n">
        <v>1</v>
      </c>
      <c r="M477" s="2" t="n">
        <v>1</v>
      </c>
      <c r="N477" s="3" t="n">
        <v>44834</v>
      </c>
      <c r="O477" s="2" t="n">
        <v>10.7</v>
      </c>
      <c r="P477" s="2" t="n">
        <v>1</v>
      </c>
      <c r="Q477" s="62" t="str">
        <f aca="false">IF(ISBLANK(N477),"",IF(N477&lt;DATE(2023,5,1),"OLD","NEW"))</f>
        <v>OLD</v>
      </c>
      <c r="S477" s="33" t="n">
        <f aca="false">IF(COUNTIF('[1]Plate_1-2_LongFormat'!$A$2:$A$193,G477)&gt;0,1,0)</f>
        <v>1</v>
      </c>
      <c r="T477" s="33" t="n">
        <f aca="false">IF(COUNTIF([2]Attached_indexes!$C$2:$C$193,G477)&gt;0,1,0)</f>
        <v>1</v>
      </c>
      <c r="U477" s="59"/>
      <c r="V477" s="1" t="s">
        <v>982</v>
      </c>
    </row>
    <row r="478" customFormat="false" ht="15.75" hidden="false" customHeight="true" outlineLevel="0" collapsed="false">
      <c r="A478" s="18" t="s">
        <v>148</v>
      </c>
      <c r="B478" s="18" t="s">
        <v>148</v>
      </c>
      <c r="C478" s="18" t="s">
        <v>40</v>
      </c>
      <c r="E478" s="66" t="n">
        <v>92</v>
      </c>
      <c r="F478" s="21" t="str">
        <f aca="false">CONCATENATE(B478,"_",C478, TEXT(E478, "000"))</f>
        <v>HUOB_M. guttatus092</v>
      </c>
      <c r="G478" s="21" t="s">
        <v>628</v>
      </c>
      <c r="H478" s="18" t="n">
        <v>1</v>
      </c>
      <c r="I478" s="22" t="n">
        <v>44706</v>
      </c>
      <c r="J478" s="2" t="s">
        <v>981</v>
      </c>
      <c r="L478" s="2" t="n">
        <v>1</v>
      </c>
      <c r="M478" s="2" t="n">
        <v>1</v>
      </c>
      <c r="N478" s="3" t="n">
        <v>44834</v>
      </c>
      <c r="O478" s="2" t="n">
        <v>10.7</v>
      </c>
      <c r="P478" s="2" t="n">
        <v>1</v>
      </c>
      <c r="Q478" s="62" t="str">
        <f aca="false">IF(ISBLANK(N478),"",IF(N478&lt;DATE(2023,5,1),"OLD","NEW"))</f>
        <v>OLD</v>
      </c>
      <c r="S478" s="33" t="n">
        <f aca="false">IF(COUNTIF('[1]Plate_1-2_LongFormat'!$A$2:$A$193,G478)&gt;0,1,0)</f>
        <v>1</v>
      </c>
      <c r="T478" s="33" t="n">
        <f aca="false">IF(COUNTIF([2]Attached_indexes!$C$2:$C$193,G478)&gt;0,1,0)</f>
        <v>1</v>
      </c>
      <c r="U478" s="59"/>
      <c r="V478" s="1" t="s">
        <v>982</v>
      </c>
    </row>
    <row r="479" customFormat="false" ht="15.75" hidden="false" customHeight="true" outlineLevel="0" collapsed="false">
      <c r="A479" s="18" t="s">
        <v>148</v>
      </c>
      <c r="B479" s="18" t="s">
        <v>148</v>
      </c>
      <c r="C479" s="18" t="s">
        <v>159</v>
      </c>
      <c r="E479" s="66" t="n">
        <v>1</v>
      </c>
      <c r="F479" s="21" t="str">
        <f aca="false">CONCATENATE(B479,"_",C479, TEXT(E479, "000"))</f>
        <v>HUOB_M. nasutus001</v>
      </c>
      <c r="G479" s="21" t="s">
        <v>160</v>
      </c>
      <c r="H479" s="18" t="n">
        <v>1</v>
      </c>
      <c r="I479" s="22" t="n">
        <v>44328</v>
      </c>
      <c r="J479" s="2" t="s">
        <v>981</v>
      </c>
      <c r="L479" s="2" t="n">
        <v>1</v>
      </c>
      <c r="M479" s="2" t="n">
        <v>1</v>
      </c>
      <c r="N479" s="3" t="n">
        <v>44961</v>
      </c>
      <c r="O479" s="2" t="n">
        <v>3.32</v>
      </c>
      <c r="P479" s="2" t="n">
        <v>3</v>
      </c>
      <c r="Q479" s="62" t="str">
        <f aca="false">IF(ISBLANK(N479),"",IF(N479&lt;DATE(2023,5,1),"OLD","NEW"))</f>
        <v>OLD</v>
      </c>
      <c r="R479" s="2" t="s">
        <v>1029</v>
      </c>
      <c r="S479" s="33" t="n">
        <f aca="false">IF(COUNTIF('[1]Plate_1-2_LongFormat'!$A$2:$A$193,G479)&gt;0,1,0)</f>
        <v>1</v>
      </c>
      <c r="T479" s="33" t="n">
        <f aca="false">IF(COUNTIF([2]Attached_indexes!$C$2:$C$193,G479)&gt;0,1,0)</f>
        <v>1</v>
      </c>
      <c r="U479" s="59"/>
      <c r="V479" s="1" t="s">
        <v>982</v>
      </c>
    </row>
    <row r="480" customFormat="false" ht="15.75" hidden="false" customHeight="true" outlineLevel="0" collapsed="false">
      <c r="A480" s="18" t="s">
        <v>148</v>
      </c>
      <c r="B480" s="18" t="s">
        <v>148</v>
      </c>
      <c r="C480" s="18" t="s">
        <v>159</v>
      </c>
      <c r="E480" s="66" t="n">
        <v>1</v>
      </c>
      <c r="F480" s="21" t="str">
        <f aca="false">CONCATENATE(B480,"_",C480, TEXT(E480, "000"))</f>
        <v>HUOB_M. nasutus001</v>
      </c>
      <c r="G480" s="21" t="s">
        <v>160</v>
      </c>
      <c r="H480" s="18" t="n">
        <v>1</v>
      </c>
      <c r="I480" s="22" t="n">
        <v>44328</v>
      </c>
      <c r="J480" s="2" t="s">
        <v>981</v>
      </c>
      <c r="L480" s="2" t="n">
        <v>1</v>
      </c>
      <c r="M480" s="2" t="n">
        <v>1</v>
      </c>
      <c r="N480" s="3" t="n">
        <v>44961</v>
      </c>
      <c r="O480" s="2" t="n">
        <v>3.32</v>
      </c>
      <c r="P480" s="2" t="n">
        <v>3</v>
      </c>
      <c r="Q480" s="62" t="str">
        <f aca="false">IF(ISBLANK(N480),"",IF(N480&lt;DATE(2023,5,1),"OLD","NEW"))</f>
        <v>OLD</v>
      </c>
      <c r="S480" s="33" t="n">
        <f aca="false">IF(COUNTIF('[1]Plate_1-2_LongFormat'!$A$2:$A$193,G480)&gt;0,1,0)</f>
        <v>1</v>
      </c>
      <c r="T480" s="33" t="n">
        <f aca="false">IF(COUNTIF([2]Attached_indexes!$C$2:$C$193,G480)&gt;0,1,0)</f>
        <v>1</v>
      </c>
      <c r="U480" s="59"/>
      <c r="V480" s="1" t="s">
        <v>982</v>
      </c>
    </row>
    <row r="481" customFormat="false" ht="15.75" hidden="false" customHeight="true" outlineLevel="0" collapsed="false">
      <c r="A481" s="18" t="s">
        <v>148</v>
      </c>
      <c r="B481" s="18" t="s">
        <v>148</v>
      </c>
      <c r="C481" s="18" t="s">
        <v>159</v>
      </c>
      <c r="E481" s="66" t="n">
        <v>1</v>
      </c>
      <c r="F481" s="21" t="str">
        <f aca="false">CONCATENATE(B481,"_",C481, TEXT(E481, "000"))</f>
        <v>HUOB_M. nasutus001</v>
      </c>
      <c r="G481" s="21" t="s">
        <v>160</v>
      </c>
      <c r="H481" s="18" t="n">
        <v>1</v>
      </c>
      <c r="I481" s="22" t="n">
        <v>44328</v>
      </c>
      <c r="J481" s="2" t="s">
        <v>981</v>
      </c>
      <c r="L481" s="2" t="n">
        <v>1</v>
      </c>
      <c r="M481" s="2" t="n">
        <v>1</v>
      </c>
      <c r="N481" s="3" t="n">
        <v>44961</v>
      </c>
      <c r="O481" s="2" t="n">
        <v>3.32</v>
      </c>
      <c r="P481" s="2" t="n">
        <v>3</v>
      </c>
      <c r="Q481" s="62" t="str">
        <f aca="false">IF(ISBLANK(N481),"",IF(N481&lt;DATE(2023,5,1),"OLD","NEW"))</f>
        <v>OLD</v>
      </c>
      <c r="S481" s="33" t="n">
        <f aca="false">IF(COUNTIF('[1]Plate_1-2_LongFormat'!$A$2:$A$193,G481)&gt;0,1,0)</f>
        <v>1</v>
      </c>
      <c r="T481" s="33" t="n">
        <f aca="false">IF(COUNTIF([2]Attached_indexes!$C$2:$C$193,G481)&gt;0,1,0)</f>
        <v>1</v>
      </c>
      <c r="U481" s="59"/>
      <c r="V481" s="1" t="s">
        <v>982</v>
      </c>
    </row>
    <row r="482" customFormat="false" ht="15.75" hidden="false" customHeight="true" outlineLevel="0" collapsed="false">
      <c r="A482" s="18" t="s">
        <v>148</v>
      </c>
      <c r="B482" s="18" t="s">
        <v>148</v>
      </c>
      <c r="C482" s="18" t="s">
        <v>159</v>
      </c>
      <c r="E482" s="66" t="n">
        <v>2</v>
      </c>
      <c r="F482" s="21" t="str">
        <f aca="false">CONCATENATE(B482,"_",C482, TEXT(E482, "000"))</f>
        <v>HUOB_M. nasutus002</v>
      </c>
      <c r="G482" s="21" t="s">
        <v>161</v>
      </c>
      <c r="H482" s="18" t="n">
        <v>1</v>
      </c>
      <c r="I482" s="22" t="n">
        <v>44328</v>
      </c>
      <c r="J482" s="2" t="s">
        <v>981</v>
      </c>
      <c r="L482" s="2" t="n">
        <v>1</v>
      </c>
      <c r="M482" s="2" t="n">
        <v>1</v>
      </c>
      <c r="N482" s="3" t="n">
        <v>45053</v>
      </c>
      <c r="O482" s="2" t="n">
        <v>12.3</v>
      </c>
      <c r="P482" s="2" t="n">
        <v>3</v>
      </c>
      <c r="Q482" s="62" t="str">
        <f aca="false">IF(ISBLANK(N482),"",IF(N482&lt;DATE(2023,5,1),"OLD","NEW"))</f>
        <v>NEW</v>
      </c>
      <c r="S482" s="33" t="n">
        <f aca="false">IF(COUNTIF('[1]Plate_1-2_LongFormat'!$A$2:$A$193,G482)&gt;0,1,0)</f>
        <v>0</v>
      </c>
      <c r="T482" s="33" t="n">
        <f aca="false">IF(COUNTIF([2]Attached_indexes!$C$2:$C$193,G482)&gt;0,1,0)</f>
        <v>0</v>
      </c>
      <c r="U482" s="59"/>
      <c r="V482" s="1" t="s">
        <v>982</v>
      </c>
    </row>
    <row r="483" customFormat="false" ht="15.75" hidden="false" customHeight="true" outlineLevel="0" collapsed="false">
      <c r="A483" s="18" t="s">
        <v>148</v>
      </c>
      <c r="B483" s="18" t="s">
        <v>148</v>
      </c>
      <c r="C483" s="18" t="s">
        <v>159</v>
      </c>
      <c r="E483" s="66" t="n">
        <v>2</v>
      </c>
      <c r="F483" s="21" t="str">
        <f aca="false">CONCATENATE(B483,"_",C483, TEXT(E483, "000"))</f>
        <v>HUOB_M. nasutus002</v>
      </c>
      <c r="G483" s="21" t="s">
        <v>161</v>
      </c>
      <c r="H483" s="18" t="n">
        <v>1</v>
      </c>
      <c r="I483" s="22" t="n">
        <v>44328</v>
      </c>
      <c r="J483" s="2" t="s">
        <v>981</v>
      </c>
      <c r="L483" s="2" t="n">
        <v>1</v>
      </c>
      <c r="M483" s="2" t="n">
        <v>1</v>
      </c>
      <c r="N483" s="3" t="n">
        <v>45053</v>
      </c>
      <c r="O483" s="2" t="n">
        <v>12.3</v>
      </c>
      <c r="P483" s="2" t="n">
        <v>3</v>
      </c>
      <c r="Q483" s="62" t="str">
        <f aca="false">IF(ISBLANK(N483),"",IF(N483&lt;DATE(2023,5,1),"OLD","NEW"))</f>
        <v>NEW</v>
      </c>
      <c r="S483" s="33" t="n">
        <f aca="false">IF(COUNTIF('[1]Plate_1-2_LongFormat'!$A$2:$A$193,G483)&gt;0,1,0)</f>
        <v>0</v>
      </c>
      <c r="T483" s="33" t="n">
        <f aca="false">IF(COUNTIF([2]Attached_indexes!$C$2:$C$193,G483)&gt;0,1,0)</f>
        <v>0</v>
      </c>
      <c r="U483" s="59"/>
      <c r="V483" s="1" t="s">
        <v>982</v>
      </c>
    </row>
    <row r="484" customFormat="false" ht="15.75" hidden="false" customHeight="true" outlineLevel="0" collapsed="false">
      <c r="A484" s="18" t="s">
        <v>148</v>
      </c>
      <c r="B484" s="18" t="s">
        <v>148</v>
      </c>
      <c r="C484" s="18" t="s">
        <v>159</v>
      </c>
      <c r="E484" s="66" t="n">
        <v>2</v>
      </c>
      <c r="F484" s="21" t="str">
        <f aca="false">CONCATENATE(B484,"_",C484, TEXT(E484, "000"))</f>
        <v>HUOB_M. nasutus002</v>
      </c>
      <c r="G484" s="21" t="s">
        <v>161</v>
      </c>
      <c r="H484" s="18" t="n">
        <v>1</v>
      </c>
      <c r="I484" s="22" t="n">
        <v>44328</v>
      </c>
      <c r="J484" s="2" t="s">
        <v>981</v>
      </c>
      <c r="L484" s="2" t="n">
        <v>1</v>
      </c>
      <c r="M484" s="2" t="n">
        <v>1</v>
      </c>
      <c r="N484" s="3" t="n">
        <v>45053</v>
      </c>
      <c r="O484" s="2" t="n">
        <v>12.3</v>
      </c>
      <c r="P484" s="2" t="n">
        <v>3</v>
      </c>
      <c r="Q484" s="62" t="str">
        <f aca="false">IF(ISBLANK(N484),"",IF(N484&lt;DATE(2023,5,1),"OLD","NEW"))</f>
        <v>NEW</v>
      </c>
      <c r="S484" s="33" t="n">
        <f aca="false">IF(COUNTIF('[1]Plate_1-2_LongFormat'!$A$2:$A$193,G484)&gt;0,1,0)</f>
        <v>0</v>
      </c>
      <c r="T484" s="33" t="n">
        <f aca="false">IF(COUNTIF([2]Attached_indexes!$C$2:$C$193,G484)&gt;0,1,0)</f>
        <v>0</v>
      </c>
      <c r="U484" s="59"/>
      <c r="V484" s="1" t="s">
        <v>982</v>
      </c>
    </row>
    <row r="485" customFormat="false" ht="15.75" hidden="false" customHeight="true" outlineLevel="0" collapsed="false">
      <c r="A485" s="18" t="s">
        <v>148</v>
      </c>
      <c r="B485" s="18" t="s">
        <v>148</v>
      </c>
      <c r="C485" s="18" t="s">
        <v>159</v>
      </c>
      <c r="E485" s="66" t="n">
        <v>3</v>
      </c>
      <c r="F485" s="21" t="str">
        <f aca="false">CONCATENATE(B485,"_",C485, TEXT(E485, "000"))</f>
        <v>HUOB_M. nasutus003</v>
      </c>
      <c r="G485" s="21" t="s">
        <v>162</v>
      </c>
      <c r="H485" s="18" t="n">
        <v>1</v>
      </c>
      <c r="I485" s="22" t="n">
        <v>44328</v>
      </c>
      <c r="J485" s="2" t="s">
        <v>981</v>
      </c>
      <c r="L485" s="2" t="n">
        <v>1</v>
      </c>
      <c r="M485" s="2" t="n">
        <v>1</v>
      </c>
      <c r="N485" s="3" t="n">
        <v>44945</v>
      </c>
      <c r="O485" s="2" t="n">
        <v>0.653</v>
      </c>
      <c r="P485" s="2" t="n">
        <v>2</v>
      </c>
      <c r="Q485" s="62" t="str">
        <f aca="false">IF(ISBLANK(N485),"",IF(N485&lt;DATE(2023,5,1),"OLD","NEW"))</f>
        <v>OLD</v>
      </c>
      <c r="S485" s="33" t="n">
        <f aca="false">IF(COUNTIF('[1]Plate_1-2_LongFormat'!$A$2:$A$193,G485)&gt;0,1,0)</f>
        <v>1</v>
      </c>
      <c r="T485" s="33" t="n">
        <f aca="false">IF(COUNTIF([2]Attached_indexes!$C$2:$C$193,G485)&gt;0,1,0)</f>
        <v>1</v>
      </c>
      <c r="U485" s="59"/>
      <c r="V485" s="1" t="s">
        <v>982</v>
      </c>
    </row>
    <row r="486" customFormat="false" ht="15.75" hidden="false" customHeight="true" outlineLevel="0" collapsed="false">
      <c r="A486" s="18" t="s">
        <v>148</v>
      </c>
      <c r="B486" s="18" t="s">
        <v>148</v>
      </c>
      <c r="C486" s="18" t="s">
        <v>159</v>
      </c>
      <c r="E486" s="66" t="n">
        <v>3</v>
      </c>
      <c r="F486" s="21" t="str">
        <f aca="false">CONCATENATE(B486,"_",C486, TEXT(E486, "000"))</f>
        <v>HUOB_M. nasutus003</v>
      </c>
      <c r="G486" s="21" t="s">
        <v>162</v>
      </c>
      <c r="H486" s="18" t="n">
        <v>1</v>
      </c>
      <c r="I486" s="22" t="n">
        <v>44328</v>
      </c>
      <c r="J486" s="2" t="s">
        <v>981</v>
      </c>
      <c r="L486" s="2" t="n">
        <v>1</v>
      </c>
      <c r="M486" s="2" t="n">
        <v>1</v>
      </c>
      <c r="N486" s="3" t="n">
        <v>44945</v>
      </c>
      <c r="O486" s="2" t="n">
        <v>0.653</v>
      </c>
      <c r="P486" s="2" t="n">
        <v>2</v>
      </c>
      <c r="Q486" s="62" t="str">
        <f aca="false">IF(ISBLANK(N486),"",IF(N486&lt;DATE(2023,5,1),"OLD","NEW"))</f>
        <v>OLD</v>
      </c>
      <c r="S486" s="33" t="n">
        <f aca="false">IF(COUNTIF('[1]Plate_1-2_LongFormat'!$A$2:$A$193,G486)&gt;0,1,0)</f>
        <v>1</v>
      </c>
      <c r="T486" s="33" t="n">
        <f aca="false">IF(COUNTIF([2]Attached_indexes!$C$2:$C$193,G486)&gt;0,1,0)</f>
        <v>1</v>
      </c>
      <c r="U486" s="59"/>
      <c r="V486" s="1" t="s">
        <v>982</v>
      </c>
    </row>
    <row r="487" customFormat="false" ht="15.75" hidden="false" customHeight="true" outlineLevel="0" collapsed="false">
      <c r="A487" s="18" t="s">
        <v>148</v>
      </c>
      <c r="B487" s="18" t="s">
        <v>148</v>
      </c>
      <c r="C487" s="18" t="s">
        <v>159</v>
      </c>
      <c r="E487" s="66" t="n">
        <v>3</v>
      </c>
      <c r="F487" s="21" t="str">
        <f aca="false">CONCATENATE(B487,"_",C487, TEXT(E487, "000"))</f>
        <v>HUOB_M. nasutus003</v>
      </c>
      <c r="G487" s="21" t="s">
        <v>162</v>
      </c>
      <c r="H487" s="18" t="n">
        <v>1</v>
      </c>
      <c r="I487" s="22" t="n">
        <v>44328</v>
      </c>
      <c r="J487" s="2" t="s">
        <v>981</v>
      </c>
      <c r="L487" s="2" t="n">
        <v>1</v>
      </c>
      <c r="M487" s="2" t="n">
        <v>1</v>
      </c>
      <c r="N487" s="3" t="n">
        <v>44945</v>
      </c>
      <c r="O487" s="2" t="n">
        <v>0.653</v>
      </c>
      <c r="P487" s="2" t="n">
        <v>2</v>
      </c>
      <c r="Q487" s="62" t="str">
        <f aca="false">IF(ISBLANK(N487),"",IF(N487&lt;DATE(2023,5,1),"OLD","NEW"))</f>
        <v>OLD</v>
      </c>
      <c r="S487" s="33" t="n">
        <f aca="false">IF(COUNTIF('[1]Plate_1-2_LongFormat'!$A$2:$A$193,G487)&gt;0,1,0)</f>
        <v>1</v>
      </c>
      <c r="T487" s="33" t="n">
        <f aca="false">IF(COUNTIF([2]Attached_indexes!$C$2:$C$193,G487)&gt;0,1,0)</f>
        <v>1</v>
      </c>
      <c r="U487" s="59"/>
      <c r="V487" s="1" t="s">
        <v>982</v>
      </c>
    </row>
    <row r="488" customFormat="false" ht="15.75" hidden="false" customHeight="true" outlineLevel="0" collapsed="false">
      <c r="A488" s="18" t="s">
        <v>148</v>
      </c>
      <c r="B488" s="18" t="s">
        <v>148</v>
      </c>
      <c r="C488" s="18" t="s">
        <v>159</v>
      </c>
      <c r="E488" s="66" t="n">
        <v>4</v>
      </c>
      <c r="F488" s="21" t="str">
        <f aca="false">CONCATENATE(B488,"_",C488, TEXT(E488, "000"))</f>
        <v>HUOB_M. nasutus004</v>
      </c>
      <c r="G488" s="21" t="s">
        <v>164</v>
      </c>
      <c r="H488" s="18" t="n">
        <v>1</v>
      </c>
      <c r="I488" s="22" t="n">
        <v>44328</v>
      </c>
      <c r="J488" s="2" t="s">
        <v>981</v>
      </c>
      <c r="L488" s="2" t="n">
        <v>1</v>
      </c>
      <c r="M488" s="2" t="n">
        <v>1</v>
      </c>
      <c r="N488" s="3" t="n">
        <v>45053</v>
      </c>
      <c r="O488" s="2" t="n">
        <v>5.05</v>
      </c>
      <c r="P488" s="2" t="n">
        <v>3</v>
      </c>
      <c r="Q488" s="62" t="str">
        <f aca="false">IF(ISBLANK(N488),"",IF(N488&lt;DATE(2023,5,1),"OLD","NEW"))</f>
        <v>NEW</v>
      </c>
      <c r="S488" s="33" t="n">
        <f aca="false">IF(COUNTIF('[1]Plate_1-2_LongFormat'!$A$2:$A$193,G488)&gt;0,1,0)</f>
        <v>0</v>
      </c>
      <c r="T488" s="33" t="n">
        <f aca="false">IF(COUNTIF([2]Attached_indexes!$C$2:$C$193,G488)&gt;0,1,0)</f>
        <v>0</v>
      </c>
      <c r="U488" s="59"/>
      <c r="V488" s="1" t="s">
        <v>982</v>
      </c>
    </row>
    <row r="489" customFormat="false" ht="15.75" hidden="false" customHeight="true" outlineLevel="0" collapsed="false">
      <c r="A489" s="18" t="s">
        <v>148</v>
      </c>
      <c r="B489" s="18" t="s">
        <v>148</v>
      </c>
      <c r="C489" s="18" t="s">
        <v>159</v>
      </c>
      <c r="E489" s="66" t="n">
        <v>4</v>
      </c>
      <c r="F489" s="21" t="str">
        <f aca="false">CONCATENATE(B489,"_",C489, TEXT(E489, "000"))</f>
        <v>HUOB_M. nasutus004</v>
      </c>
      <c r="G489" s="21" t="s">
        <v>164</v>
      </c>
      <c r="H489" s="18" t="n">
        <v>1</v>
      </c>
      <c r="I489" s="22" t="n">
        <v>44328</v>
      </c>
      <c r="J489" s="2" t="s">
        <v>981</v>
      </c>
      <c r="L489" s="2" t="n">
        <v>1</v>
      </c>
      <c r="M489" s="2" t="n">
        <v>1</v>
      </c>
      <c r="N489" s="3" t="n">
        <v>45053</v>
      </c>
      <c r="O489" s="2" t="n">
        <v>5.05</v>
      </c>
      <c r="P489" s="2" t="n">
        <v>3</v>
      </c>
      <c r="Q489" s="62" t="str">
        <f aca="false">IF(ISBLANK(N489),"",IF(N489&lt;DATE(2023,5,1),"OLD","NEW"))</f>
        <v>NEW</v>
      </c>
      <c r="S489" s="33" t="n">
        <f aca="false">IF(COUNTIF('[1]Plate_1-2_LongFormat'!$A$2:$A$193,G489)&gt;0,1,0)</f>
        <v>0</v>
      </c>
      <c r="T489" s="33" t="n">
        <f aca="false">IF(COUNTIF([2]Attached_indexes!$C$2:$C$193,G489)&gt;0,1,0)</f>
        <v>0</v>
      </c>
      <c r="U489" s="59"/>
      <c r="V489" s="1" t="s">
        <v>982</v>
      </c>
    </row>
    <row r="490" customFormat="false" ht="15.75" hidden="false" customHeight="true" outlineLevel="0" collapsed="false">
      <c r="A490" s="18" t="s">
        <v>148</v>
      </c>
      <c r="B490" s="18" t="s">
        <v>148</v>
      </c>
      <c r="C490" s="18" t="s">
        <v>159</v>
      </c>
      <c r="E490" s="66" t="n">
        <v>4</v>
      </c>
      <c r="F490" s="21" t="str">
        <f aca="false">CONCATENATE(B490,"_",C490, TEXT(E490, "000"))</f>
        <v>HUOB_M. nasutus004</v>
      </c>
      <c r="G490" s="21" t="s">
        <v>164</v>
      </c>
      <c r="H490" s="18" t="n">
        <v>1</v>
      </c>
      <c r="I490" s="22" t="n">
        <v>44328</v>
      </c>
      <c r="J490" s="2" t="s">
        <v>981</v>
      </c>
      <c r="L490" s="2" t="n">
        <v>1</v>
      </c>
      <c r="M490" s="2" t="n">
        <v>1</v>
      </c>
      <c r="N490" s="3" t="n">
        <v>45053</v>
      </c>
      <c r="O490" s="2" t="n">
        <v>5.05</v>
      </c>
      <c r="P490" s="2" t="n">
        <v>3</v>
      </c>
      <c r="Q490" s="62" t="str">
        <f aca="false">IF(ISBLANK(N490),"",IF(N490&lt;DATE(2023,5,1),"OLD","NEW"))</f>
        <v>NEW</v>
      </c>
      <c r="S490" s="33" t="n">
        <f aca="false">IF(COUNTIF('[1]Plate_1-2_LongFormat'!$A$2:$A$193,G490)&gt;0,1,0)</f>
        <v>0</v>
      </c>
      <c r="T490" s="33" t="n">
        <f aca="false">IF(COUNTIF([2]Attached_indexes!$C$2:$C$193,G490)&gt;0,1,0)</f>
        <v>0</v>
      </c>
      <c r="U490" s="59"/>
      <c r="V490" s="1" t="s">
        <v>982</v>
      </c>
    </row>
    <row r="491" customFormat="false" ht="15.75" hidden="false" customHeight="true" outlineLevel="0" collapsed="false">
      <c r="A491" s="18" t="s">
        <v>148</v>
      </c>
      <c r="B491" s="18" t="s">
        <v>148</v>
      </c>
      <c r="C491" s="18" t="s">
        <v>159</v>
      </c>
      <c r="E491" s="66" t="n">
        <v>5</v>
      </c>
      <c r="F491" s="21" t="str">
        <f aca="false">CONCATENATE(B491,"_",C491, TEXT(E491, "000"))</f>
        <v>HUOB_M. nasutus005</v>
      </c>
      <c r="G491" s="21" t="s">
        <v>165</v>
      </c>
      <c r="H491" s="18" t="n">
        <v>1</v>
      </c>
      <c r="I491" s="22" t="n">
        <v>44328</v>
      </c>
      <c r="J491" s="2" t="s">
        <v>981</v>
      </c>
      <c r="L491" s="2" t="n">
        <v>1</v>
      </c>
      <c r="M491" s="2" t="n">
        <v>1</v>
      </c>
      <c r="N491" s="3" t="n">
        <v>44961</v>
      </c>
      <c r="O491" s="2" t="n">
        <v>3.95</v>
      </c>
      <c r="P491" s="2" t="n">
        <v>2</v>
      </c>
      <c r="Q491" s="62" t="str">
        <f aca="false">IF(ISBLANK(N491),"",IF(N491&lt;DATE(2023,5,1),"OLD","NEW"))</f>
        <v>OLD</v>
      </c>
      <c r="R491" s="2" t="s">
        <v>1030</v>
      </c>
      <c r="S491" s="33" t="n">
        <f aca="false">IF(COUNTIF('[1]Plate_1-2_LongFormat'!$A$2:$A$193,G491)&gt;0,1,0)</f>
        <v>1</v>
      </c>
      <c r="T491" s="33" t="n">
        <f aca="false">IF(COUNTIF([2]Attached_indexes!$C$2:$C$193,G491)&gt;0,1,0)</f>
        <v>1</v>
      </c>
      <c r="U491" s="59"/>
      <c r="V491" s="1" t="s">
        <v>982</v>
      </c>
    </row>
    <row r="492" customFormat="false" ht="15.75" hidden="false" customHeight="true" outlineLevel="0" collapsed="false">
      <c r="A492" s="18" t="s">
        <v>148</v>
      </c>
      <c r="B492" s="18" t="s">
        <v>148</v>
      </c>
      <c r="C492" s="18" t="s">
        <v>159</v>
      </c>
      <c r="E492" s="66" t="n">
        <v>5</v>
      </c>
      <c r="F492" s="21" t="str">
        <f aca="false">CONCATENATE(B492,"_",C492, TEXT(E492, "000"))</f>
        <v>HUOB_M. nasutus005</v>
      </c>
      <c r="G492" s="21" t="s">
        <v>165</v>
      </c>
      <c r="H492" s="18" t="n">
        <v>1</v>
      </c>
      <c r="I492" s="22" t="n">
        <v>44328</v>
      </c>
      <c r="J492" s="2" t="s">
        <v>981</v>
      </c>
      <c r="L492" s="2" t="n">
        <v>1</v>
      </c>
      <c r="M492" s="2" t="n">
        <v>1</v>
      </c>
      <c r="N492" s="3" t="n">
        <v>44961</v>
      </c>
      <c r="O492" s="2" t="n">
        <v>3.95</v>
      </c>
      <c r="P492" s="2" t="n">
        <v>2</v>
      </c>
      <c r="Q492" s="62" t="str">
        <f aca="false">IF(ISBLANK(N492),"",IF(N492&lt;DATE(2023,5,1),"OLD","NEW"))</f>
        <v>OLD</v>
      </c>
      <c r="S492" s="33" t="n">
        <f aca="false">IF(COUNTIF('[1]Plate_1-2_LongFormat'!$A$2:$A$193,G492)&gt;0,1,0)</f>
        <v>1</v>
      </c>
      <c r="T492" s="33" t="n">
        <f aca="false">IF(COUNTIF([2]Attached_indexes!$C$2:$C$193,G492)&gt;0,1,0)</f>
        <v>1</v>
      </c>
      <c r="U492" s="59"/>
      <c r="V492" s="1" t="s">
        <v>982</v>
      </c>
    </row>
    <row r="493" customFormat="false" ht="15.75" hidden="false" customHeight="true" outlineLevel="0" collapsed="false">
      <c r="A493" s="18" t="s">
        <v>148</v>
      </c>
      <c r="B493" s="18" t="s">
        <v>148</v>
      </c>
      <c r="C493" s="18" t="s">
        <v>159</v>
      </c>
      <c r="E493" s="66" t="n">
        <v>5</v>
      </c>
      <c r="F493" s="21" t="str">
        <f aca="false">CONCATENATE(B493,"_",C493, TEXT(E493, "000"))</f>
        <v>HUOB_M. nasutus005</v>
      </c>
      <c r="G493" s="21" t="s">
        <v>165</v>
      </c>
      <c r="H493" s="18" t="n">
        <v>1</v>
      </c>
      <c r="I493" s="22" t="n">
        <v>44328</v>
      </c>
      <c r="J493" s="2" t="s">
        <v>981</v>
      </c>
      <c r="L493" s="2" t="n">
        <v>1</v>
      </c>
      <c r="M493" s="2" t="n">
        <v>1</v>
      </c>
      <c r="N493" s="3" t="n">
        <v>44961</v>
      </c>
      <c r="O493" s="2" t="n">
        <v>3.95</v>
      </c>
      <c r="P493" s="2" t="n">
        <v>2</v>
      </c>
      <c r="Q493" s="62" t="str">
        <f aca="false">IF(ISBLANK(N493),"",IF(N493&lt;DATE(2023,5,1),"OLD","NEW"))</f>
        <v>OLD</v>
      </c>
      <c r="S493" s="33" t="n">
        <f aca="false">IF(COUNTIF('[1]Plate_1-2_LongFormat'!$A$2:$A$193,G493)&gt;0,1,0)</f>
        <v>1</v>
      </c>
      <c r="T493" s="33" t="n">
        <f aca="false">IF(COUNTIF([2]Attached_indexes!$C$2:$C$193,G493)&gt;0,1,0)</f>
        <v>1</v>
      </c>
      <c r="U493" s="59"/>
      <c r="V493" s="1" t="s">
        <v>982</v>
      </c>
    </row>
    <row r="494" customFormat="false" ht="15.75" hidden="false" customHeight="true" outlineLevel="0" collapsed="false">
      <c r="A494" s="18" t="s">
        <v>705</v>
      </c>
      <c r="B494" s="18" t="s">
        <v>705</v>
      </c>
      <c r="C494" s="18" t="s">
        <v>31</v>
      </c>
      <c r="E494" s="66" t="n">
        <v>1</v>
      </c>
      <c r="F494" s="21" t="str">
        <f aca="false">CONCATENATE(B494,"_",C494, TEXT(E494, "000"))</f>
        <v>KNOB_M. laciniatus001</v>
      </c>
      <c r="G494" s="21" t="s">
        <v>706</v>
      </c>
      <c r="H494" s="18" t="n">
        <v>1</v>
      </c>
      <c r="I494" s="22" t="n">
        <v>44726</v>
      </c>
      <c r="J494" s="2" t="s">
        <v>981</v>
      </c>
      <c r="L494" s="2" t="n">
        <v>1</v>
      </c>
      <c r="M494" s="2" t="n">
        <v>1</v>
      </c>
      <c r="N494" s="3" t="n">
        <v>44961</v>
      </c>
      <c r="O494" s="2" t="n">
        <v>8.93</v>
      </c>
      <c r="P494" s="2" t="n">
        <v>2</v>
      </c>
      <c r="Q494" s="62" t="str">
        <f aca="false">IF(ISBLANK(N494),"",IF(N494&lt;DATE(2023,5,1),"OLD","NEW"))</f>
        <v>OLD</v>
      </c>
      <c r="S494" s="33" t="n">
        <f aca="false">IF(COUNTIF('[1]Plate_1-2_LongFormat'!$A$2:$A$193,G494)&gt;0,1,0)</f>
        <v>1</v>
      </c>
      <c r="T494" s="33" t="n">
        <f aca="false">IF(COUNTIF([2]Attached_indexes!$C$2:$C$193,G494)&gt;0,1,0)</f>
        <v>1</v>
      </c>
      <c r="U494" s="59"/>
      <c r="V494" s="1" t="s">
        <v>982</v>
      </c>
    </row>
    <row r="495" customFormat="false" ht="15.75" hidden="false" customHeight="true" outlineLevel="0" collapsed="false">
      <c r="A495" s="18" t="s">
        <v>705</v>
      </c>
      <c r="B495" s="18" t="s">
        <v>705</v>
      </c>
      <c r="C495" s="18" t="s">
        <v>31</v>
      </c>
      <c r="E495" s="66" t="n">
        <v>1</v>
      </c>
      <c r="F495" s="21" t="str">
        <f aca="false">CONCATENATE(B495,"_",C495, TEXT(E495, "000"))</f>
        <v>KNOB_M. laciniatus001</v>
      </c>
      <c r="G495" s="21" t="s">
        <v>706</v>
      </c>
      <c r="H495" s="18" t="n">
        <v>1</v>
      </c>
      <c r="I495" s="22" t="n">
        <v>44726</v>
      </c>
      <c r="J495" s="2" t="s">
        <v>981</v>
      </c>
      <c r="L495" s="2" t="n">
        <v>1</v>
      </c>
      <c r="M495" s="2" t="n">
        <v>1</v>
      </c>
      <c r="N495" s="3" t="n">
        <v>44962</v>
      </c>
      <c r="O495" s="2" t="n">
        <v>8.93</v>
      </c>
      <c r="P495" s="2" t="n">
        <v>2</v>
      </c>
      <c r="Q495" s="62" t="str">
        <f aca="false">IF(ISBLANK(N495),"",IF(N495&lt;DATE(2023,5,1),"OLD","NEW"))</f>
        <v>OLD</v>
      </c>
      <c r="S495" s="33" t="n">
        <f aca="false">IF(COUNTIF('[1]Plate_1-2_LongFormat'!$A$2:$A$193,G495)&gt;0,1,0)</f>
        <v>1</v>
      </c>
      <c r="T495" s="33" t="n">
        <f aca="false">IF(COUNTIF([2]Attached_indexes!$C$2:$C$193,G495)&gt;0,1,0)</f>
        <v>1</v>
      </c>
      <c r="U495" s="59"/>
      <c r="V495" s="1" t="s">
        <v>982</v>
      </c>
    </row>
    <row r="496" customFormat="false" ht="15.75" hidden="false" customHeight="true" outlineLevel="0" collapsed="false">
      <c r="A496" s="18" t="s">
        <v>705</v>
      </c>
      <c r="B496" s="18" t="s">
        <v>705</v>
      </c>
      <c r="C496" s="18" t="s">
        <v>31</v>
      </c>
      <c r="E496" s="66" t="n">
        <v>1</v>
      </c>
      <c r="F496" s="21" t="str">
        <f aca="false">CONCATENATE(B496,"_",C496, TEXT(E496, "000"))</f>
        <v>KNOB_M. laciniatus001</v>
      </c>
      <c r="G496" s="21" t="s">
        <v>706</v>
      </c>
      <c r="H496" s="18" t="n">
        <v>1</v>
      </c>
      <c r="I496" s="22" t="n">
        <v>44726</v>
      </c>
      <c r="J496" s="2" t="s">
        <v>981</v>
      </c>
      <c r="L496" s="2" t="n">
        <v>1</v>
      </c>
      <c r="M496" s="2" t="n">
        <v>1</v>
      </c>
      <c r="N496" s="3" t="n">
        <v>44963</v>
      </c>
      <c r="O496" s="2" t="n">
        <v>8.93</v>
      </c>
      <c r="P496" s="2" t="n">
        <v>2</v>
      </c>
      <c r="Q496" s="62" t="str">
        <f aca="false">IF(ISBLANK(N496),"",IF(N496&lt;DATE(2023,5,1),"OLD","NEW"))</f>
        <v>OLD</v>
      </c>
      <c r="S496" s="33" t="n">
        <f aca="false">IF(COUNTIF('[1]Plate_1-2_LongFormat'!$A$2:$A$193,G496)&gt;0,1,0)</f>
        <v>1</v>
      </c>
      <c r="T496" s="33" t="n">
        <f aca="false">IF(COUNTIF([2]Attached_indexes!$C$2:$C$193,G496)&gt;0,1,0)</f>
        <v>1</v>
      </c>
      <c r="U496" s="59"/>
      <c r="V496" s="1" t="s">
        <v>982</v>
      </c>
    </row>
    <row r="497" customFormat="false" ht="15.75" hidden="false" customHeight="true" outlineLevel="0" collapsed="false">
      <c r="A497" s="18" t="s">
        <v>705</v>
      </c>
      <c r="B497" s="18" t="s">
        <v>705</v>
      </c>
      <c r="C497" s="18" t="s">
        <v>31</v>
      </c>
      <c r="E497" s="66" t="n">
        <v>10</v>
      </c>
      <c r="F497" s="21" t="str">
        <f aca="false">CONCATENATE(B497,"_",C497, TEXT(E497, "000"))</f>
        <v>KNOB_M. laciniatus010</v>
      </c>
      <c r="G497" s="21" t="s">
        <v>720</v>
      </c>
      <c r="H497" s="18" t="n">
        <v>1</v>
      </c>
      <c r="I497" s="22" t="n">
        <v>44726</v>
      </c>
      <c r="J497" s="2" t="s">
        <v>981</v>
      </c>
      <c r="L497" s="2" t="n">
        <v>1</v>
      </c>
      <c r="M497" s="2" t="n">
        <v>1</v>
      </c>
      <c r="N497" s="3" t="n">
        <v>44799</v>
      </c>
      <c r="O497" s="64" t="n">
        <v>0.286</v>
      </c>
      <c r="P497" s="64" t="n">
        <v>1</v>
      </c>
      <c r="Q497" s="62" t="str">
        <f aca="false">IF(ISBLANK(N497),"",IF(N497&lt;DATE(2023,5,1),"OLD","NEW"))</f>
        <v>OLD</v>
      </c>
      <c r="S497" s="33" t="n">
        <f aca="false">IF(COUNTIF('[1]Plate_1-2_LongFormat'!$A$2:$A$193,G497)&gt;0,1,0)</f>
        <v>1</v>
      </c>
      <c r="T497" s="33" t="n">
        <f aca="false">IF(COUNTIF([2]Attached_indexes!$C$2:$C$193,G497)&gt;0,1,0)</f>
        <v>1</v>
      </c>
      <c r="U497" s="59"/>
      <c r="V497" s="1" t="s">
        <v>982</v>
      </c>
    </row>
    <row r="498" customFormat="false" ht="15.75" hidden="false" customHeight="true" outlineLevel="0" collapsed="false">
      <c r="A498" s="18" t="s">
        <v>705</v>
      </c>
      <c r="B498" s="18" t="s">
        <v>705</v>
      </c>
      <c r="C498" s="18" t="s">
        <v>31</v>
      </c>
      <c r="E498" s="66" t="n">
        <v>10</v>
      </c>
      <c r="F498" s="21" t="str">
        <f aca="false">CONCATENATE(B498,"_",C498, TEXT(E498, "000"))</f>
        <v>KNOB_M. laciniatus010</v>
      </c>
      <c r="G498" s="21" t="s">
        <v>720</v>
      </c>
      <c r="H498" s="18" t="n">
        <v>1</v>
      </c>
      <c r="I498" s="22" t="n">
        <v>44726</v>
      </c>
      <c r="J498" s="2" t="s">
        <v>981</v>
      </c>
      <c r="L498" s="2" t="n">
        <v>1</v>
      </c>
      <c r="M498" s="2" t="n">
        <v>1</v>
      </c>
      <c r="N498" s="3" t="n">
        <v>44799</v>
      </c>
      <c r="O498" s="64" t="n">
        <v>0.286</v>
      </c>
      <c r="P498" s="64" t="n">
        <v>1</v>
      </c>
      <c r="Q498" s="62" t="str">
        <f aca="false">IF(ISBLANK(N498),"",IF(N498&lt;DATE(2023,5,1),"OLD","NEW"))</f>
        <v>OLD</v>
      </c>
      <c r="S498" s="33" t="n">
        <f aca="false">IF(COUNTIF('[1]Plate_1-2_LongFormat'!$A$2:$A$193,G498)&gt;0,1,0)</f>
        <v>1</v>
      </c>
      <c r="T498" s="33" t="n">
        <f aca="false">IF(COUNTIF([2]Attached_indexes!$C$2:$C$193,G498)&gt;0,1,0)</f>
        <v>1</v>
      </c>
      <c r="U498" s="59"/>
      <c r="V498" s="1" t="s">
        <v>982</v>
      </c>
    </row>
    <row r="499" customFormat="false" ht="15.75" hidden="false" customHeight="true" outlineLevel="0" collapsed="false">
      <c r="A499" s="18" t="s">
        <v>705</v>
      </c>
      <c r="B499" s="18" t="s">
        <v>705</v>
      </c>
      <c r="C499" s="18" t="s">
        <v>31</v>
      </c>
      <c r="E499" s="66" t="n">
        <v>10</v>
      </c>
      <c r="F499" s="21" t="str">
        <f aca="false">CONCATENATE(B499,"_",C499, TEXT(E499, "000"))</f>
        <v>KNOB_M. laciniatus010</v>
      </c>
      <c r="G499" s="21" t="s">
        <v>720</v>
      </c>
      <c r="H499" s="18" t="n">
        <v>1</v>
      </c>
      <c r="I499" s="22" t="n">
        <v>44726</v>
      </c>
      <c r="J499" s="2" t="s">
        <v>981</v>
      </c>
      <c r="L499" s="2" t="n">
        <v>1</v>
      </c>
      <c r="M499" s="2" t="n">
        <v>1</v>
      </c>
      <c r="N499" s="3" t="n">
        <v>44799</v>
      </c>
      <c r="O499" s="64" t="n">
        <v>0.286</v>
      </c>
      <c r="P499" s="64" t="n">
        <v>1</v>
      </c>
      <c r="Q499" s="62" t="str">
        <f aca="false">IF(ISBLANK(N499),"",IF(N499&lt;DATE(2023,5,1),"OLD","NEW"))</f>
        <v>OLD</v>
      </c>
      <c r="S499" s="33" t="n">
        <f aca="false">IF(COUNTIF('[1]Plate_1-2_LongFormat'!$A$2:$A$193,G499)&gt;0,1,0)</f>
        <v>1</v>
      </c>
      <c r="T499" s="33" t="n">
        <f aca="false">IF(COUNTIF([2]Attached_indexes!$C$2:$C$193,G499)&gt;0,1,0)</f>
        <v>1</v>
      </c>
      <c r="U499" s="59"/>
      <c r="V499" s="1" t="s">
        <v>982</v>
      </c>
    </row>
    <row r="500" customFormat="false" ht="15.75" hidden="false" customHeight="true" outlineLevel="0" collapsed="false">
      <c r="A500" s="18" t="s">
        <v>705</v>
      </c>
      <c r="B500" s="18" t="s">
        <v>705</v>
      </c>
      <c r="C500" s="18" t="s">
        <v>31</v>
      </c>
      <c r="E500" s="66" t="n">
        <v>2</v>
      </c>
      <c r="F500" s="21" t="str">
        <f aca="false">CONCATENATE(B500,"_",C500, TEXT(E500, "000"))</f>
        <v>KNOB_M. laciniatus002</v>
      </c>
      <c r="G500" s="21" t="s">
        <v>711</v>
      </c>
      <c r="H500" s="18" t="n">
        <v>1</v>
      </c>
      <c r="I500" s="22" t="n">
        <v>44726</v>
      </c>
      <c r="J500" s="2" t="s">
        <v>981</v>
      </c>
      <c r="K500" s="2" t="s">
        <v>1017</v>
      </c>
      <c r="L500" s="2" t="n">
        <v>1</v>
      </c>
      <c r="M500" s="2" t="n">
        <v>1</v>
      </c>
      <c r="N500" s="3" t="n">
        <v>44945</v>
      </c>
      <c r="O500" s="64" t="n">
        <v>5.83</v>
      </c>
      <c r="P500" s="64" t="n">
        <v>2</v>
      </c>
      <c r="Q500" s="62" t="str">
        <f aca="false">IF(ISBLANK(N500),"",IF(N500&lt;DATE(2023,5,1),"OLD","NEW"))</f>
        <v>OLD</v>
      </c>
      <c r="S500" s="33" t="n">
        <f aca="false">IF(COUNTIF('[1]Plate_1-2_LongFormat'!$A$2:$A$193,G500)&gt;0,1,0)</f>
        <v>1</v>
      </c>
      <c r="T500" s="33" t="n">
        <f aca="false">IF(COUNTIF([2]Attached_indexes!$C$2:$C$193,G500)&gt;0,1,0)</f>
        <v>1</v>
      </c>
      <c r="U500" s="59"/>
      <c r="V500" s="1" t="s">
        <v>982</v>
      </c>
    </row>
    <row r="501" customFormat="false" ht="15.75" hidden="false" customHeight="true" outlineLevel="0" collapsed="false">
      <c r="A501" s="18" t="s">
        <v>705</v>
      </c>
      <c r="B501" s="18" t="s">
        <v>705</v>
      </c>
      <c r="C501" s="18" t="s">
        <v>31</v>
      </c>
      <c r="E501" s="66" t="n">
        <v>2</v>
      </c>
      <c r="F501" s="21" t="str">
        <f aca="false">CONCATENATE(B501,"_",C501, TEXT(E501, "000"))</f>
        <v>KNOB_M. laciniatus002</v>
      </c>
      <c r="G501" s="21" t="s">
        <v>711</v>
      </c>
      <c r="H501" s="18" t="n">
        <v>1</v>
      </c>
      <c r="I501" s="22" t="n">
        <v>44726</v>
      </c>
      <c r="J501" s="2" t="s">
        <v>981</v>
      </c>
      <c r="K501" s="2" t="s">
        <v>1017</v>
      </c>
      <c r="L501" s="2" t="n">
        <v>1</v>
      </c>
      <c r="M501" s="2" t="n">
        <v>1</v>
      </c>
      <c r="N501" s="3" t="n">
        <v>44945</v>
      </c>
      <c r="O501" s="64" t="n">
        <v>5.83</v>
      </c>
      <c r="P501" s="64" t="n">
        <v>2</v>
      </c>
      <c r="Q501" s="62" t="str">
        <f aca="false">IF(ISBLANK(N501),"",IF(N501&lt;DATE(2023,5,1),"OLD","NEW"))</f>
        <v>OLD</v>
      </c>
      <c r="S501" s="33" t="n">
        <f aca="false">IF(COUNTIF('[1]Plate_1-2_LongFormat'!$A$2:$A$193,G501)&gt;0,1,0)</f>
        <v>1</v>
      </c>
      <c r="T501" s="33" t="n">
        <f aca="false">IF(COUNTIF([2]Attached_indexes!$C$2:$C$193,G501)&gt;0,1,0)</f>
        <v>1</v>
      </c>
      <c r="U501" s="59"/>
      <c r="V501" s="1" t="s">
        <v>982</v>
      </c>
    </row>
    <row r="502" customFormat="false" ht="15.75" hidden="false" customHeight="true" outlineLevel="0" collapsed="false">
      <c r="A502" s="18" t="s">
        <v>705</v>
      </c>
      <c r="B502" s="18" t="s">
        <v>705</v>
      </c>
      <c r="C502" s="18" t="s">
        <v>31</v>
      </c>
      <c r="E502" s="66" t="n">
        <v>2</v>
      </c>
      <c r="F502" s="21" t="str">
        <f aca="false">CONCATENATE(B502,"_",C502, TEXT(E502, "000"))</f>
        <v>KNOB_M. laciniatus002</v>
      </c>
      <c r="G502" s="21" t="s">
        <v>711</v>
      </c>
      <c r="H502" s="18" t="n">
        <v>1</v>
      </c>
      <c r="I502" s="22" t="n">
        <v>44726</v>
      </c>
      <c r="J502" s="2" t="s">
        <v>981</v>
      </c>
      <c r="K502" s="2" t="s">
        <v>1017</v>
      </c>
      <c r="L502" s="2" t="n">
        <v>1</v>
      </c>
      <c r="M502" s="2" t="n">
        <v>1</v>
      </c>
      <c r="N502" s="3" t="n">
        <v>44945</v>
      </c>
      <c r="O502" s="64" t="n">
        <v>5.83</v>
      </c>
      <c r="P502" s="64" t="n">
        <v>2</v>
      </c>
      <c r="Q502" s="62" t="str">
        <f aca="false">IF(ISBLANK(N502),"",IF(N502&lt;DATE(2023,5,1),"OLD","NEW"))</f>
        <v>OLD</v>
      </c>
      <c r="S502" s="33" t="n">
        <f aca="false">IF(COUNTIF('[1]Plate_1-2_LongFormat'!$A$2:$A$193,G502)&gt;0,1,0)</f>
        <v>1</v>
      </c>
      <c r="T502" s="33" t="n">
        <f aca="false">IF(COUNTIF([2]Attached_indexes!$C$2:$C$193,G502)&gt;0,1,0)</f>
        <v>1</v>
      </c>
      <c r="U502" s="59"/>
      <c r="V502" s="1" t="s">
        <v>982</v>
      </c>
    </row>
    <row r="503" customFormat="false" ht="15.75" hidden="false" customHeight="true" outlineLevel="0" collapsed="false">
      <c r="A503" s="18" t="s">
        <v>705</v>
      </c>
      <c r="B503" s="18" t="s">
        <v>705</v>
      </c>
      <c r="C503" s="18" t="s">
        <v>31</v>
      </c>
      <c r="E503" s="66" t="n">
        <v>3</v>
      </c>
      <c r="F503" s="21" t="str">
        <f aca="false">CONCATENATE(B503,"_",C503, TEXT(E503, "000"))</f>
        <v>KNOB_M. laciniatus003</v>
      </c>
      <c r="G503" s="21" t="s">
        <v>712</v>
      </c>
      <c r="H503" s="18" t="n">
        <v>1</v>
      </c>
      <c r="I503" s="22" t="n">
        <v>44726</v>
      </c>
      <c r="J503" s="2" t="s">
        <v>981</v>
      </c>
      <c r="K503" s="68" t="s">
        <v>1024</v>
      </c>
      <c r="L503" s="2" t="n">
        <v>1</v>
      </c>
      <c r="M503" s="2" t="n">
        <v>1</v>
      </c>
      <c r="N503" s="3" t="n">
        <v>44945</v>
      </c>
      <c r="O503" s="2" t="n">
        <v>4.49</v>
      </c>
      <c r="P503" s="2" t="n">
        <v>2</v>
      </c>
      <c r="Q503" s="62" t="str">
        <f aca="false">IF(ISBLANK(N503),"",IF(N503&lt;DATE(2023,5,1),"OLD","NEW"))</f>
        <v>OLD</v>
      </c>
      <c r="S503" s="33" t="n">
        <f aca="false">IF(COUNTIF('[1]Plate_1-2_LongFormat'!$A$2:$A$193,G503)&gt;0,1,0)</f>
        <v>1</v>
      </c>
      <c r="T503" s="33" t="n">
        <f aca="false">IF(COUNTIF([2]Attached_indexes!$C$2:$C$193,G503)&gt;0,1,0)</f>
        <v>1</v>
      </c>
      <c r="U503" s="59"/>
      <c r="V503" s="1" t="s">
        <v>982</v>
      </c>
    </row>
    <row r="504" customFormat="false" ht="15.75" hidden="false" customHeight="true" outlineLevel="0" collapsed="false">
      <c r="A504" s="18" t="s">
        <v>705</v>
      </c>
      <c r="B504" s="18" t="s">
        <v>705</v>
      </c>
      <c r="C504" s="18" t="s">
        <v>31</v>
      </c>
      <c r="E504" s="66" t="n">
        <v>3</v>
      </c>
      <c r="F504" s="21" t="str">
        <f aca="false">CONCATENATE(B504,"_",C504, TEXT(E504, "000"))</f>
        <v>KNOB_M. laciniatus003</v>
      </c>
      <c r="G504" s="21" t="s">
        <v>712</v>
      </c>
      <c r="H504" s="18" t="n">
        <v>1</v>
      </c>
      <c r="I504" s="22" t="n">
        <v>44726</v>
      </c>
      <c r="J504" s="2" t="s">
        <v>981</v>
      </c>
      <c r="K504" s="67" t="s">
        <v>1024</v>
      </c>
      <c r="L504" s="2" t="n">
        <v>1</v>
      </c>
      <c r="M504" s="2" t="n">
        <v>1</v>
      </c>
      <c r="N504" s="3" t="n">
        <v>44945</v>
      </c>
      <c r="O504" s="2" t="n">
        <v>4.49</v>
      </c>
      <c r="P504" s="2" t="n">
        <v>2</v>
      </c>
      <c r="Q504" s="62" t="str">
        <f aca="false">IF(ISBLANK(N504),"",IF(N504&lt;DATE(2023,5,1),"OLD","NEW"))</f>
        <v>OLD</v>
      </c>
      <c r="S504" s="33" t="n">
        <f aca="false">IF(COUNTIF('[1]Plate_1-2_LongFormat'!$A$2:$A$193,G504)&gt;0,1,0)</f>
        <v>1</v>
      </c>
      <c r="T504" s="33" t="n">
        <f aca="false">IF(COUNTIF([2]Attached_indexes!$C$2:$C$193,G504)&gt;0,1,0)</f>
        <v>1</v>
      </c>
      <c r="U504" s="59"/>
      <c r="V504" s="1" t="s">
        <v>982</v>
      </c>
    </row>
    <row r="505" customFormat="false" ht="15.75" hidden="false" customHeight="true" outlineLevel="0" collapsed="false">
      <c r="A505" s="18" t="s">
        <v>705</v>
      </c>
      <c r="B505" s="18" t="s">
        <v>705</v>
      </c>
      <c r="C505" s="18" t="s">
        <v>31</v>
      </c>
      <c r="E505" s="66" t="n">
        <v>3</v>
      </c>
      <c r="F505" s="21" t="str">
        <f aca="false">CONCATENATE(B505,"_",C505, TEXT(E505, "000"))</f>
        <v>KNOB_M. laciniatus003</v>
      </c>
      <c r="G505" s="21" t="s">
        <v>712</v>
      </c>
      <c r="H505" s="18" t="n">
        <v>1</v>
      </c>
      <c r="I505" s="22" t="n">
        <v>44726</v>
      </c>
      <c r="J505" s="2" t="s">
        <v>981</v>
      </c>
      <c r="K505" s="67" t="s">
        <v>1024</v>
      </c>
      <c r="L505" s="2" t="n">
        <v>1</v>
      </c>
      <c r="M505" s="2" t="n">
        <v>1</v>
      </c>
      <c r="N505" s="3" t="n">
        <v>44945</v>
      </c>
      <c r="O505" s="2" t="n">
        <v>4.49</v>
      </c>
      <c r="P505" s="2" t="n">
        <v>2</v>
      </c>
      <c r="Q505" s="62" t="str">
        <f aca="false">IF(ISBLANK(N505),"",IF(N505&lt;DATE(2023,5,1),"OLD","NEW"))</f>
        <v>OLD</v>
      </c>
      <c r="S505" s="33" t="n">
        <f aca="false">IF(COUNTIF('[1]Plate_1-2_LongFormat'!$A$2:$A$193,G505)&gt;0,1,0)</f>
        <v>1</v>
      </c>
      <c r="T505" s="33" t="n">
        <f aca="false">IF(COUNTIF([2]Attached_indexes!$C$2:$C$193,G505)&gt;0,1,0)</f>
        <v>1</v>
      </c>
      <c r="U505" s="59"/>
      <c r="V505" s="1" t="s">
        <v>982</v>
      </c>
    </row>
    <row r="506" customFormat="false" ht="15.75" hidden="false" customHeight="true" outlineLevel="0" collapsed="false">
      <c r="A506" s="18" t="s">
        <v>705</v>
      </c>
      <c r="B506" s="18" t="s">
        <v>705</v>
      </c>
      <c r="C506" s="18" t="s">
        <v>31</v>
      </c>
      <c r="E506" s="66" t="n">
        <v>4</v>
      </c>
      <c r="F506" s="21" t="str">
        <f aca="false">CONCATENATE(B506,"_",C506, TEXT(E506, "000"))</f>
        <v>KNOB_M. laciniatus004</v>
      </c>
      <c r="G506" s="21" t="s">
        <v>713</v>
      </c>
      <c r="H506" s="18" t="n">
        <v>1</v>
      </c>
      <c r="I506" s="22" t="n">
        <v>44726</v>
      </c>
      <c r="J506" s="2" t="s">
        <v>981</v>
      </c>
      <c r="K506" s="61"/>
      <c r="L506" s="2" t="n">
        <v>1</v>
      </c>
      <c r="M506" s="2" t="n">
        <v>1</v>
      </c>
      <c r="N506" s="3" t="n">
        <v>44938</v>
      </c>
      <c r="O506" s="2" t="n">
        <v>2.99</v>
      </c>
      <c r="P506" s="2" t="n">
        <v>2</v>
      </c>
      <c r="Q506" s="62" t="str">
        <f aca="false">IF(ISBLANK(N506),"",IF(N506&lt;DATE(2023,5,1),"OLD","NEW"))</f>
        <v>OLD</v>
      </c>
      <c r="S506" s="33" t="n">
        <f aca="false">IF(COUNTIF('[1]Plate_1-2_LongFormat'!$A$2:$A$193,G506)&gt;0,1,0)</f>
        <v>1</v>
      </c>
      <c r="T506" s="33" t="n">
        <f aca="false">IF(COUNTIF([2]Attached_indexes!$C$2:$C$193,G506)&gt;0,1,0)</f>
        <v>1</v>
      </c>
      <c r="U506" s="59"/>
      <c r="V506" s="1" t="s">
        <v>982</v>
      </c>
    </row>
    <row r="507" customFormat="false" ht="15.75" hidden="false" customHeight="true" outlineLevel="0" collapsed="false">
      <c r="A507" s="18" t="s">
        <v>705</v>
      </c>
      <c r="B507" s="18" t="s">
        <v>705</v>
      </c>
      <c r="C507" s="18" t="s">
        <v>31</v>
      </c>
      <c r="E507" s="66" t="n">
        <v>4</v>
      </c>
      <c r="F507" s="21" t="str">
        <f aca="false">CONCATENATE(B507,"_",C507, TEXT(E507, "000"))</f>
        <v>KNOB_M. laciniatus004</v>
      </c>
      <c r="G507" s="21" t="s">
        <v>713</v>
      </c>
      <c r="H507" s="18" t="n">
        <v>1</v>
      </c>
      <c r="I507" s="22" t="n">
        <v>44726</v>
      </c>
      <c r="J507" s="2" t="s">
        <v>981</v>
      </c>
      <c r="K507" s="61"/>
      <c r="L507" s="2" t="n">
        <v>1</v>
      </c>
      <c r="M507" s="2" t="n">
        <v>1</v>
      </c>
      <c r="N507" s="3" t="n">
        <v>44938</v>
      </c>
      <c r="O507" s="2" t="n">
        <v>2.99</v>
      </c>
      <c r="P507" s="2" t="n">
        <v>2</v>
      </c>
      <c r="Q507" s="62" t="str">
        <f aca="false">IF(ISBLANK(N507),"",IF(N507&lt;DATE(2023,5,1),"OLD","NEW"))</f>
        <v>OLD</v>
      </c>
      <c r="S507" s="33" t="n">
        <f aca="false">IF(COUNTIF('[1]Plate_1-2_LongFormat'!$A$2:$A$193,G507)&gt;0,1,0)</f>
        <v>1</v>
      </c>
      <c r="T507" s="33" t="n">
        <f aca="false">IF(COUNTIF([2]Attached_indexes!$C$2:$C$193,G507)&gt;0,1,0)</f>
        <v>1</v>
      </c>
      <c r="U507" s="59"/>
      <c r="V507" s="1" t="s">
        <v>982</v>
      </c>
    </row>
    <row r="508" customFormat="false" ht="15.75" hidden="false" customHeight="true" outlineLevel="0" collapsed="false">
      <c r="A508" s="18" t="s">
        <v>705</v>
      </c>
      <c r="B508" s="18" t="s">
        <v>705</v>
      </c>
      <c r="C508" s="18" t="s">
        <v>31</v>
      </c>
      <c r="E508" s="66" t="n">
        <v>4</v>
      </c>
      <c r="F508" s="21" t="str">
        <f aca="false">CONCATENATE(B508,"_",C508, TEXT(E508, "000"))</f>
        <v>KNOB_M. laciniatus004</v>
      </c>
      <c r="G508" s="21" t="s">
        <v>713</v>
      </c>
      <c r="H508" s="18" t="n">
        <v>1</v>
      </c>
      <c r="I508" s="22" t="n">
        <v>44726</v>
      </c>
      <c r="J508" s="2" t="s">
        <v>981</v>
      </c>
      <c r="K508" s="61"/>
      <c r="L508" s="2" t="n">
        <v>1</v>
      </c>
      <c r="M508" s="2" t="n">
        <v>1</v>
      </c>
      <c r="N508" s="3" t="n">
        <v>44938</v>
      </c>
      <c r="O508" s="2" t="n">
        <v>2.99</v>
      </c>
      <c r="P508" s="2" t="n">
        <v>2</v>
      </c>
      <c r="Q508" s="62" t="str">
        <f aca="false">IF(ISBLANK(N508),"",IF(N508&lt;DATE(2023,5,1),"OLD","NEW"))</f>
        <v>OLD</v>
      </c>
      <c r="S508" s="33" t="n">
        <f aca="false">IF(COUNTIF('[1]Plate_1-2_LongFormat'!$A$2:$A$193,G508)&gt;0,1,0)</f>
        <v>1</v>
      </c>
      <c r="T508" s="33" t="n">
        <f aca="false">IF(COUNTIF([2]Attached_indexes!$C$2:$C$193,G508)&gt;0,1,0)</f>
        <v>1</v>
      </c>
      <c r="U508" s="59"/>
      <c r="V508" s="1" t="s">
        <v>982</v>
      </c>
    </row>
    <row r="509" customFormat="false" ht="15.75" hidden="false" customHeight="true" outlineLevel="0" collapsed="false">
      <c r="A509" s="18" t="s">
        <v>705</v>
      </c>
      <c r="B509" s="18" t="s">
        <v>705</v>
      </c>
      <c r="C509" s="18" t="s">
        <v>31</v>
      </c>
      <c r="E509" s="66" t="n">
        <v>5</v>
      </c>
      <c r="F509" s="21" t="str">
        <f aca="false">CONCATENATE(B509,"_",C509, TEXT(E509, "000"))</f>
        <v>KNOB_M. laciniatus005</v>
      </c>
      <c r="G509" s="21" t="s">
        <v>714</v>
      </c>
      <c r="H509" s="18" t="n">
        <v>1</v>
      </c>
      <c r="I509" s="22" t="n">
        <v>44726</v>
      </c>
      <c r="J509" s="2" t="s">
        <v>981</v>
      </c>
      <c r="K509" s="61"/>
      <c r="L509" s="2" t="n">
        <v>1</v>
      </c>
      <c r="M509" s="2" t="n">
        <v>1</v>
      </c>
      <c r="N509" s="3" t="n">
        <v>44799</v>
      </c>
      <c r="O509" s="64" t="n">
        <v>0.382</v>
      </c>
      <c r="P509" s="64" t="n">
        <v>1</v>
      </c>
      <c r="Q509" s="62" t="str">
        <f aca="false">IF(ISBLANK(N509),"",IF(N509&lt;DATE(2023,5,1),"OLD","NEW"))</f>
        <v>OLD</v>
      </c>
      <c r="S509" s="33" t="n">
        <f aca="false">IF(COUNTIF('[1]Plate_1-2_LongFormat'!$A$2:$A$193,G509)&gt;0,1,0)</f>
        <v>1</v>
      </c>
      <c r="T509" s="33" t="n">
        <f aca="false">IF(COUNTIF([2]Attached_indexes!$C$2:$C$193,G509)&gt;0,1,0)</f>
        <v>1</v>
      </c>
      <c r="U509" s="59"/>
      <c r="V509" s="1" t="s">
        <v>982</v>
      </c>
    </row>
    <row r="510" customFormat="false" ht="15.75" hidden="false" customHeight="true" outlineLevel="0" collapsed="false">
      <c r="A510" s="18" t="s">
        <v>705</v>
      </c>
      <c r="B510" s="18" t="s">
        <v>705</v>
      </c>
      <c r="C510" s="18" t="s">
        <v>31</v>
      </c>
      <c r="E510" s="66" t="n">
        <v>5</v>
      </c>
      <c r="F510" s="21" t="str">
        <f aca="false">CONCATENATE(B510,"_",C510, TEXT(E510, "000"))</f>
        <v>KNOB_M. laciniatus005</v>
      </c>
      <c r="G510" s="21" t="s">
        <v>714</v>
      </c>
      <c r="H510" s="18" t="n">
        <v>1</v>
      </c>
      <c r="I510" s="22" t="n">
        <v>44726</v>
      </c>
      <c r="J510" s="2" t="s">
        <v>981</v>
      </c>
      <c r="K510" s="61"/>
      <c r="L510" s="2" t="n">
        <v>1</v>
      </c>
      <c r="M510" s="2" t="n">
        <v>1</v>
      </c>
      <c r="N510" s="3" t="n">
        <v>44799</v>
      </c>
      <c r="O510" s="64" t="n">
        <v>0.382</v>
      </c>
      <c r="P510" s="64" t="n">
        <v>1</v>
      </c>
      <c r="Q510" s="62" t="str">
        <f aca="false">IF(ISBLANK(N510),"",IF(N510&lt;DATE(2023,5,1),"OLD","NEW"))</f>
        <v>OLD</v>
      </c>
      <c r="S510" s="33" t="n">
        <f aca="false">IF(COUNTIF('[1]Plate_1-2_LongFormat'!$A$2:$A$193,G510)&gt;0,1,0)</f>
        <v>1</v>
      </c>
      <c r="T510" s="33" t="n">
        <f aca="false">IF(COUNTIF([2]Attached_indexes!$C$2:$C$193,G510)&gt;0,1,0)</f>
        <v>1</v>
      </c>
      <c r="U510" s="59"/>
      <c r="V510" s="1" t="s">
        <v>982</v>
      </c>
    </row>
    <row r="511" customFormat="false" ht="15.75" hidden="false" customHeight="true" outlineLevel="0" collapsed="false">
      <c r="A511" s="18" t="s">
        <v>705</v>
      </c>
      <c r="B511" s="18" t="s">
        <v>705</v>
      </c>
      <c r="C511" s="18" t="s">
        <v>31</v>
      </c>
      <c r="E511" s="66" t="n">
        <v>5</v>
      </c>
      <c r="F511" s="21" t="str">
        <f aca="false">CONCATENATE(B511,"_",C511, TEXT(E511, "000"))</f>
        <v>KNOB_M. laciniatus005</v>
      </c>
      <c r="G511" s="21" t="s">
        <v>714</v>
      </c>
      <c r="H511" s="18" t="n">
        <v>1</v>
      </c>
      <c r="I511" s="22" t="n">
        <v>44726</v>
      </c>
      <c r="J511" s="2" t="s">
        <v>981</v>
      </c>
      <c r="K511" s="61"/>
      <c r="L511" s="2" t="n">
        <v>1</v>
      </c>
      <c r="M511" s="2" t="n">
        <v>1</v>
      </c>
      <c r="N511" s="3" t="n">
        <v>44799</v>
      </c>
      <c r="O511" s="64" t="n">
        <v>0.382</v>
      </c>
      <c r="P511" s="64" t="n">
        <v>1</v>
      </c>
      <c r="Q511" s="62" t="str">
        <f aca="false">IF(ISBLANK(N511),"",IF(N511&lt;DATE(2023,5,1),"OLD","NEW"))</f>
        <v>OLD</v>
      </c>
      <c r="S511" s="33" t="n">
        <f aca="false">IF(COUNTIF('[1]Plate_1-2_LongFormat'!$A$2:$A$193,G511)&gt;0,1,0)</f>
        <v>1</v>
      </c>
      <c r="T511" s="33" t="n">
        <f aca="false">IF(COUNTIF([2]Attached_indexes!$C$2:$C$193,G511)&gt;0,1,0)</f>
        <v>1</v>
      </c>
      <c r="U511" s="59"/>
      <c r="V511" s="1" t="s">
        <v>982</v>
      </c>
    </row>
    <row r="512" customFormat="false" ht="15.75" hidden="false" customHeight="true" outlineLevel="0" collapsed="false">
      <c r="A512" s="18" t="s">
        <v>705</v>
      </c>
      <c r="B512" s="18" t="s">
        <v>705</v>
      </c>
      <c r="C512" s="18" t="s">
        <v>31</v>
      </c>
      <c r="E512" s="66" t="n">
        <v>6</v>
      </c>
      <c r="F512" s="21" t="str">
        <f aca="false">CONCATENATE(B512,"_",C512, TEXT(E512, "000"))</f>
        <v>KNOB_M. laciniatus006</v>
      </c>
      <c r="G512" s="21" t="s">
        <v>715</v>
      </c>
      <c r="H512" s="18" t="n">
        <v>1</v>
      </c>
      <c r="I512" s="22" t="n">
        <v>44726</v>
      </c>
      <c r="J512" s="2" t="s">
        <v>981</v>
      </c>
      <c r="K512" s="61"/>
      <c r="L512" s="2" t="n">
        <v>1</v>
      </c>
      <c r="M512" s="2" t="n">
        <v>1</v>
      </c>
      <c r="N512" s="3" t="n">
        <v>44999</v>
      </c>
      <c r="O512" s="64" t="n">
        <v>5.59</v>
      </c>
      <c r="P512" s="64" t="n">
        <v>3</v>
      </c>
      <c r="Q512" s="62" t="str">
        <f aca="false">IF(ISBLANK(N512),"",IF(N512&lt;DATE(2023,5,1),"OLD","NEW"))</f>
        <v>OLD</v>
      </c>
      <c r="S512" s="33" t="n">
        <f aca="false">IF(COUNTIF('[1]Plate_1-2_LongFormat'!$A$2:$A$193,G512)&gt;0,1,0)</f>
        <v>0</v>
      </c>
      <c r="T512" s="33" t="n">
        <f aca="false">IF(COUNTIF([2]Attached_indexes!$C$2:$C$193,G512)&gt;0,1,0)</f>
        <v>0</v>
      </c>
      <c r="U512" s="59"/>
      <c r="V512" s="1" t="s">
        <v>982</v>
      </c>
    </row>
    <row r="513" customFormat="false" ht="15.75" hidden="false" customHeight="true" outlineLevel="0" collapsed="false">
      <c r="A513" s="18" t="s">
        <v>705</v>
      </c>
      <c r="B513" s="18" t="s">
        <v>705</v>
      </c>
      <c r="C513" s="18" t="s">
        <v>31</v>
      </c>
      <c r="E513" s="66" t="n">
        <v>6</v>
      </c>
      <c r="F513" s="21" t="str">
        <f aca="false">CONCATENATE(B513,"_",C513, TEXT(E513, "000"))</f>
        <v>KNOB_M. laciniatus006</v>
      </c>
      <c r="G513" s="21" t="s">
        <v>715</v>
      </c>
      <c r="H513" s="18" t="n">
        <v>1</v>
      </c>
      <c r="I513" s="22" t="n">
        <v>44726</v>
      </c>
      <c r="J513" s="2" t="s">
        <v>981</v>
      </c>
      <c r="K513" s="61"/>
      <c r="L513" s="2" t="n">
        <v>1</v>
      </c>
      <c r="M513" s="2" t="n">
        <v>1</v>
      </c>
      <c r="N513" s="3" t="n">
        <v>44999</v>
      </c>
      <c r="O513" s="64" t="n">
        <v>5.59</v>
      </c>
      <c r="P513" s="64" t="n">
        <v>3</v>
      </c>
      <c r="Q513" s="62" t="str">
        <f aca="false">IF(ISBLANK(N513),"",IF(N513&lt;DATE(2023,5,1),"OLD","NEW"))</f>
        <v>OLD</v>
      </c>
      <c r="S513" s="33" t="n">
        <f aca="false">IF(COUNTIF('[1]Plate_1-2_LongFormat'!$A$2:$A$193,G513)&gt;0,1,0)</f>
        <v>0</v>
      </c>
      <c r="T513" s="33" t="n">
        <f aca="false">IF(COUNTIF([2]Attached_indexes!$C$2:$C$193,G513)&gt;0,1,0)</f>
        <v>0</v>
      </c>
      <c r="U513" s="59"/>
      <c r="V513" s="1" t="s">
        <v>982</v>
      </c>
    </row>
    <row r="514" customFormat="false" ht="15.75" hidden="false" customHeight="true" outlineLevel="0" collapsed="false">
      <c r="A514" s="18" t="s">
        <v>705</v>
      </c>
      <c r="B514" s="18" t="s">
        <v>705</v>
      </c>
      <c r="C514" s="18" t="s">
        <v>31</v>
      </c>
      <c r="E514" s="66" t="n">
        <v>6</v>
      </c>
      <c r="F514" s="21" t="str">
        <f aca="false">CONCATENATE(B514,"_",C514, TEXT(E514, "000"))</f>
        <v>KNOB_M. laciniatus006</v>
      </c>
      <c r="G514" s="21" t="s">
        <v>715</v>
      </c>
      <c r="H514" s="18" t="n">
        <v>1</v>
      </c>
      <c r="I514" s="22" t="n">
        <v>44726</v>
      </c>
      <c r="J514" s="2" t="s">
        <v>981</v>
      </c>
      <c r="K514" s="61"/>
      <c r="L514" s="2" t="n">
        <v>1</v>
      </c>
      <c r="M514" s="2" t="n">
        <v>1</v>
      </c>
      <c r="N514" s="3" t="n">
        <v>44999</v>
      </c>
      <c r="O514" s="64" t="n">
        <v>5.59</v>
      </c>
      <c r="P514" s="64" t="n">
        <v>3</v>
      </c>
      <c r="Q514" s="62" t="str">
        <f aca="false">IF(ISBLANK(N514),"",IF(N514&lt;DATE(2023,5,1),"OLD","NEW"))</f>
        <v>OLD</v>
      </c>
      <c r="S514" s="33" t="n">
        <f aca="false">IF(COUNTIF('[1]Plate_1-2_LongFormat'!$A$2:$A$193,G514)&gt;0,1,0)</f>
        <v>0</v>
      </c>
      <c r="T514" s="33" t="n">
        <f aca="false">IF(COUNTIF([2]Attached_indexes!$C$2:$C$193,G514)&gt;0,1,0)</f>
        <v>0</v>
      </c>
      <c r="U514" s="59"/>
      <c r="V514" s="1" t="s">
        <v>982</v>
      </c>
    </row>
    <row r="515" customFormat="false" ht="15.75" hidden="false" customHeight="true" outlineLevel="0" collapsed="false">
      <c r="A515" s="18" t="s">
        <v>705</v>
      </c>
      <c r="B515" s="18" t="s">
        <v>705</v>
      </c>
      <c r="C515" s="18" t="s">
        <v>31</v>
      </c>
      <c r="E515" s="66" t="n">
        <v>7</v>
      </c>
      <c r="F515" s="21" t="str">
        <f aca="false">CONCATENATE(B515,"_",C515, TEXT(E515, "000"))</f>
        <v>KNOB_M. laciniatus007</v>
      </c>
      <c r="G515" s="21" t="s">
        <v>716</v>
      </c>
      <c r="H515" s="18" t="n">
        <v>1</v>
      </c>
      <c r="I515" s="22" t="n">
        <v>44726</v>
      </c>
      <c r="J515" s="2" t="s">
        <v>981</v>
      </c>
      <c r="K515" s="61"/>
      <c r="L515" s="2" t="n">
        <v>1</v>
      </c>
      <c r="M515" s="2" t="n">
        <v>1</v>
      </c>
      <c r="N515" s="3" t="n">
        <v>45053</v>
      </c>
      <c r="O515" s="64" t="n">
        <v>4.15</v>
      </c>
      <c r="P515" s="64" t="n">
        <v>3</v>
      </c>
      <c r="Q515" s="62" t="str">
        <f aca="false">IF(ISBLANK(N515),"",IF(N515&lt;DATE(2023,5,1),"OLD","NEW"))</f>
        <v>NEW</v>
      </c>
      <c r="S515" s="33" t="n">
        <f aca="false">IF(COUNTIF('[1]Plate_1-2_LongFormat'!$A$2:$A$193,G515)&gt;0,1,0)</f>
        <v>0</v>
      </c>
      <c r="T515" s="33" t="n">
        <f aca="false">IF(COUNTIF([2]Attached_indexes!$C$2:$C$193,G515)&gt;0,1,0)</f>
        <v>0</v>
      </c>
      <c r="U515" s="59"/>
      <c r="V515" s="1" t="s">
        <v>982</v>
      </c>
    </row>
    <row r="516" customFormat="false" ht="15.75" hidden="false" customHeight="true" outlineLevel="0" collapsed="false">
      <c r="A516" s="18" t="s">
        <v>705</v>
      </c>
      <c r="B516" s="18" t="s">
        <v>705</v>
      </c>
      <c r="C516" s="18" t="s">
        <v>31</v>
      </c>
      <c r="E516" s="66" t="n">
        <v>7</v>
      </c>
      <c r="F516" s="21" t="str">
        <f aca="false">CONCATENATE(B516,"_",C516, TEXT(E516, "000"))</f>
        <v>KNOB_M. laciniatus007</v>
      </c>
      <c r="G516" s="21" t="s">
        <v>716</v>
      </c>
      <c r="H516" s="18" t="n">
        <v>1</v>
      </c>
      <c r="I516" s="22" t="n">
        <v>44726</v>
      </c>
      <c r="J516" s="2" t="s">
        <v>981</v>
      </c>
      <c r="K516" s="61"/>
      <c r="L516" s="2" t="n">
        <v>1</v>
      </c>
      <c r="M516" s="2" t="n">
        <v>1</v>
      </c>
      <c r="N516" s="3" t="n">
        <v>45053</v>
      </c>
      <c r="O516" s="64" t="n">
        <v>4.15</v>
      </c>
      <c r="P516" s="64" t="n">
        <v>3</v>
      </c>
      <c r="Q516" s="62" t="str">
        <f aca="false">IF(ISBLANK(N516),"",IF(N516&lt;DATE(2023,5,1),"OLD","NEW"))</f>
        <v>NEW</v>
      </c>
      <c r="S516" s="33" t="n">
        <f aca="false">IF(COUNTIF('[1]Plate_1-2_LongFormat'!$A$2:$A$193,G516)&gt;0,1,0)</f>
        <v>0</v>
      </c>
      <c r="T516" s="33" t="n">
        <f aca="false">IF(COUNTIF([2]Attached_indexes!$C$2:$C$193,G516)&gt;0,1,0)</f>
        <v>0</v>
      </c>
      <c r="U516" s="59"/>
      <c r="V516" s="1" t="s">
        <v>982</v>
      </c>
    </row>
    <row r="517" customFormat="false" ht="15.75" hidden="false" customHeight="true" outlineLevel="0" collapsed="false">
      <c r="A517" s="18" t="s">
        <v>705</v>
      </c>
      <c r="B517" s="18" t="s">
        <v>705</v>
      </c>
      <c r="C517" s="18" t="s">
        <v>31</v>
      </c>
      <c r="E517" s="66" t="n">
        <v>7</v>
      </c>
      <c r="F517" s="21" t="str">
        <f aca="false">CONCATENATE(B517,"_",C517, TEXT(E517, "000"))</f>
        <v>KNOB_M. laciniatus007</v>
      </c>
      <c r="G517" s="21" t="s">
        <v>716</v>
      </c>
      <c r="H517" s="18" t="n">
        <v>1</v>
      </c>
      <c r="I517" s="22" t="n">
        <v>44726</v>
      </c>
      <c r="J517" s="2" t="s">
        <v>981</v>
      </c>
      <c r="K517" s="61"/>
      <c r="L517" s="2" t="n">
        <v>1</v>
      </c>
      <c r="M517" s="2" t="n">
        <v>1</v>
      </c>
      <c r="N517" s="3" t="n">
        <v>45053</v>
      </c>
      <c r="O517" s="64" t="n">
        <v>4.15</v>
      </c>
      <c r="P517" s="64" t="n">
        <v>3</v>
      </c>
      <c r="Q517" s="62" t="str">
        <f aca="false">IF(ISBLANK(N517),"",IF(N517&lt;DATE(2023,5,1),"OLD","NEW"))</f>
        <v>NEW</v>
      </c>
      <c r="S517" s="33" t="n">
        <f aca="false">IF(COUNTIF('[1]Plate_1-2_LongFormat'!$A$2:$A$193,G517)&gt;0,1,0)</f>
        <v>0</v>
      </c>
      <c r="T517" s="33" t="n">
        <f aca="false">IF(COUNTIF([2]Attached_indexes!$C$2:$C$193,G517)&gt;0,1,0)</f>
        <v>0</v>
      </c>
      <c r="U517" s="59"/>
      <c r="V517" s="1" t="s">
        <v>982</v>
      </c>
    </row>
    <row r="518" customFormat="false" ht="15.75" hidden="false" customHeight="true" outlineLevel="0" collapsed="false">
      <c r="A518" s="18" t="s">
        <v>705</v>
      </c>
      <c r="B518" s="18" t="s">
        <v>705</v>
      </c>
      <c r="C518" s="18" t="s">
        <v>31</v>
      </c>
      <c r="E518" s="66" t="n">
        <v>8</v>
      </c>
      <c r="F518" s="21" t="str">
        <f aca="false">CONCATENATE(B518,"_",C518, TEXT(E518, "000"))</f>
        <v>KNOB_M. laciniatus008</v>
      </c>
      <c r="G518" s="21" t="s">
        <v>718</v>
      </c>
      <c r="H518" s="18" t="n">
        <v>1</v>
      </c>
      <c r="I518" s="22" t="n">
        <v>44726</v>
      </c>
      <c r="J518" s="2" t="s">
        <v>981</v>
      </c>
      <c r="K518" s="67" t="s">
        <v>1031</v>
      </c>
      <c r="L518" s="2" t="n">
        <v>1</v>
      </c>
      <c r="M518" s="2" t="n">
        <v>1</v>
      </c>
      <c r="N518" s="3" t="n">
        <v>44945</v>
      </c>
      <c r="O518" s="2" t="n">
        <v>3.68</v>
      </c>
      <c r="P518" s="2" t="n">
        <v>2</v>
      </c>
      <c r="Q518" s="62" t="str">
        <f aca="false">IF(ISBLANK(N518),"",IF(N518&lt;DATE(2023,5,1),"OLD","NEW"))</f>
        <v>OLD</v>
      </c>
      <c r="S518" s="33" t="n">
        <f aca="false">IF(COUNTIF('[1]Plate_1-2_LongFormat'!$A$2:$A$193,G518)&gt;0,1,0)</f>
        <v>1</v>
      </c>
      <c r="T518" s="33" t="n">
        <f aca="false">IF(COUNTIF([2]Attached_indexes!$C$2:$C$193,G518)&gt;0,1,0)</f>
        <v>1</v>
      </c>
      <c r="U518" s="59"/>
      <c r="V518" s="1" t="s">
        <v>982</v>
      </c>
    </row>
    <row r="519" customFormat="false" ht="15.75" hidden="false" customHeight="true" outlineLevel="0" collapsed="false">
      <c r="A519" s="18" t="s">
        <v>705</v>
      </c>
      <c r="B519" s="18" t="s">
        <v>705</v>
      </c>
      <c r="C519" s="18" t="s">
        <v>31</v>
      </c>
      <c r="E519" s="66" t="n">
        <v>8</v>
      </c>
      <c r="F519" s="21" t="str">
        <f aca="false">CONCATENATE(B519,"_",C519, TEXT(E519, "000"))</f>
        <v>KNOB_M. laciniatus008</v>
      </c>
      <c r="G519" s="21" t="s">
        <v>718</v>
      </c>
      <c r="H519" s="18" t="n">
        <v>1</v>
      </c>
      <c r="I519" s="22" t="n">
        <v>44726</v>
      </c>
      <c r="J519" s="2" t="s">
        <v>981</v>
      </c>
      <c r="K519" s="67" t="s">
        <v>1031</v>
      </c>
      <c r="L519" s="2" t="n">
        <v>1</v>
      </c>
      <c r="M519" s="2" t="n">
        <v>1</v>
      </c>
      <c r="N519" s="3" t="n">
        <v>44945</v>
      </c>
      <c r="O519" s="2" t="n">
        <v>3.68</v>
      </c>
      <c r="P519" s="2" t="n">
        <v>2</v>
      </c>
      <c r="Q519" s="62" t="str">
        <f aca="false">IF(ISBLANK(N519),"",IF(N519&lt;DATE(2023,5,1),"OLD","NEW"))</f>
        <v>OLD</v>
      </c>
      <c r="S519" s="33" t="n">
        <f aca="false">IF(COUNTIF('[1]Plate_1-2_LongFormat'!$A$2:$A$193,G519)&gt;0,1,0)</f>
        <v>1</v>
      </c>
      <c r="T519" s="33" t="n">
        <f aca="false">IF(COUNTIF([2]Attached_indexes!$C$2:$C$193,G519)&gt;0,1,0)</f>
        <v>1</v>
      </c>
      <c r="U519" s="59"/>
      <c r="V519" s="1" t="s">
        <v>982</v>
      </c>
    </row>
    <row r="520" customFormat="false" ht="15.75" hidden="false" customHeight="true" outlineLevel="0" collapsed="false">
      <c r="A520" s="18" t="s">
        <v>705</v>
      </c>
      <c r="B520" s="18" t="s">
        <v>705</v>
      </c>
      <c r="C520" s="18" t="s">
        <v>31</v>
      </c>
      <c r="E520" s="66" t="n">
        <v>8</v>
      </c>
      <c r="F520" s="21" t="str">
        <f aca="false">CONCATENATE(B520,"_",C520, TEXT(E520, "000"))</f>
        <v>KNOB_M. laciniatus008</v>
      </c>
      <c r="G520" s="21" t="s">
        <v>718</v>
      </c>
      <c r="H520" s="18" t="n">
        <v>1</v>
      </c>
      <c r="I520" s="22" t="n">
        <v>44726</v>
      </c>
      <c r="J520" s="2" t="s">
        <v>981</v>
      </c>
      <c r="K520" s="67" t="s">
        <v>1031</v>
      </c>
      <c r="L520" s="2" t="n">
        <v>1</v>
      </c>
      <c r="M520" s="2" t="n">
        <v>1</v>
      </c>
      <c r="N520" s="3" t="n">
        <v>44945</v>
      </c>
      <c r="O520" s="2" t="n">
        <v>3.68</v>
      </c>
      <c r="P520" s="2" t="n">
        <v>2</v>
      </c>
      <c r="Q520" s="62" t="str">
        <f aca="false">IF(ISBLANK(N520),"",IF(N520&lt;DATE(2023,5,1),"OLD","NEW"))</f>
        <v>OLD</v>
      </c>
      <c r="S520" s="33" t="n">
        <f aca="false">IF(COUNTIF('[1]Plate_1-2_LongFormat'!$A$2:$A$193,G520)&gt;0,1,0)</f>
        <v>1</v>
      </c>
      <c r="T520" s="33" t="n">
        <f aca="false">IF(COUNTIF([2]Attached_indexes!$C$2:$C$193,G520)&gt;0,1,0)</f>
        <v>1</v>
      </c>
      <c r="U520" s="59"/>
      <c r="V520" s="1" t="s">
        <v>982</v>
      </c>
    </row>
    <row r="521" customFormat="false" ht="15.75" hidden="false" customHeight="true" outlineLevel="0" collapsed="false">
      <c r="A521" s="18" t="s">
        <v>705</v>
      </c>
      <c r="B521" s="18" t="s">
        <v>705</v>
      </c>
      <c r="C521" s="18" t="s">
        <v>31</v>
      </c>
      <c r="E521" s="66" t="n">
        <v>9</v>
      </c>
      <c r="F521" s="21" t="str">
        <f aca="false">CONCATENATE(B521,"_",C521, TEXT(E521, "000"))</f>
        <v>KNOB_M. laciniatus009</v>
      </c>
      <c r="G521" s="21" t="s">
        <v>719</v>
      </c>
      <c r="H521" s="18" t="n">
        <v>1</v>
      </c>
      <c r="I521" s="22" t="n">
        <v>44726</v>
      </c>
      <c r="J521" s="2" t="s">
        <v>981</v>
      </c>
      <c r="L521" s="2" t="n">
        <v>1</v>
      </c>
      <c r="M521" s="2" t="n">
        <v>1</v>
      </c>
      <c r="N521" s="3" t="n">
        <v>44799</v>
      </c>
      <c r="O521" s="64" t="n">
        <v>0.398</v>
      </c>
      <c r="P521" s="64" t="n">
        <v>1</v>
      </c>
      <c r="Q521" s="62" t="str">
        <f aca="false">IF(ISBLANK(N521),"",IF(N521&lt;DATE(2023,5,1),"OLD","NEW"))</f>
        <v>OLD</v>
      </c>
      <c r="R521" s="2" t="s">
        <v>1032</v>
      </c>
      <c r="S521" s="33" t="n">
        <f aca="false">IF(COUNTIF('[1]Plate_1-2_LongFormat'!$A$2:$A$193,G521)&gt;0,1,0)</f>
        <v>1</v>
      </c>
      <c r="T521" s="33" t="n">
        <f aca="false">IF(COUNTIF([2]Attached_indexes!$C$2:$C$193,G521)&gt;0,1,0)</f>
        <v>1</v>
      </c>
      <c r="U521" s="59"/>
      <c r="V521" s="1" t="s">
        <v>982</v>
      </c>
    </row>
    <row r="522" customFormat="false" ht="15.75" hidden="false" customHeight="true" outlineLevel="0" collapsed="false">
      <c r="A522" s="18" t="s">
        <v>705</v>
      </c>
      <c r="B522" s="18" t="s">
        <v>705</v>
      </c>
      <c r="C522" s="18" t="s">
        <v>31</v>
      </c>
      <c r="E522" s="66" t="n">
        <v>9</v>
      </c>
      <c r="F522" s="21" t="str">
        <f aca="false">CONCATENATE(B522,"_",C522, TEXT(E522, "000"))</f>
        <v>KNOB_M. laciniatus009</v>
      </c>
      <c r="G522" s="21" t="s">
        <v>719</v>
      </c>
      <c r="H522" s="18" t="n">
        <v>1</v>
      </c>
      <c r="I522" s="22" t="n">
        <v>44726</v>
      </c>
      <c r="J522" s="2" t="s">
        <v>981</v>
      </c>
      <c r="L522" s="2" t="n">
        <v>1</v>
      </c>
      <c r="M522" s="2" t="n">
        <v>1</v>
      </c>
      <c r="N522" s="3" t="n">
        <v>44799</v>
      </c>
      <c r="O522" s="64" t="n">
        <v>0.398</v>
      </c>
      <c r="P522" s="64" t="n">
        <v>1</v>
      </c>
      <c r="Q522" s="62" t="str">
        <f aca="false">IF(ISBLANK(N522),"",IF(N522&lt;DATE(2023,5,1),"OLD","NEW"))</f>
        <v>OLD</v>
      </c>
      <c r="R522" s="2" t="s">
        <v>1033</v>
      </c>
      <c r="S522" s="33" t="n">
        <f aca="false">IF(COUNTIF('[1]Plate_1-2_LongFormat'!$A$2:$A$193,G522)&gt;0,1,0)</f>
        <v>1</v>
      </c>
      <c r="T522" s="33" t="n">
        <f aca="false">IF(COUNTIF([2]Attached_indexes!$C$2:$C$193,G522)&gt;0,1,0)</f>
        <v>1</v>
      </c>
      <c r="U522" s="59"/>
      <c r="V522" s="1" t="s">
        <v>982</v>
      </c>
    </row>
    <row r="523" customFormat="false" ht="15.75" hidden="false" customHeight="true" outlineLevel="0" collapsed="false">
      <c r="A523" s="18" t="s">
        <v>705</v>
      </c>
      <c r="B523" s="18" t="s">
        <v>705</v>
      </c>
      <c r="C523" s="18" t="s">
        <v>31</v>
      </c>
      <c r="E523" s="66" t="n">
        <v>9</v>
      </c>
      <c r="F523" s="21" t="str">
        <f aca="false">CONCATENATE(B523,"_",C523, TEXT(E523, "000"))</f>
        <v>KNOB_M. laciniatus009</v>
      </c>
      <c r="G523" s="21" t="s">
        <v>719</v>
      </c>
      <c r="H523" s="18" t="n">
        <v>1</v>
      </c>
      <c r="I523" s="22" t="n">
        <v>44726</v>
      </c>
      <c r="J523" s="2" t="s">
        <v>981</v>
      </c>
      <c r="L523" s="2" t="n">
        <v>1</v>
      </c>
      <c r="M523" s="2" t="n">
        <v>1</v>
      </c>
      <c r="N523" s="3" t="n">
        <v>44799</v>
      </c>
      <c r="O523" s="64" t="n">
        <v>0.398</v>
      </c>
      <c r="P523" s="64" t="n">
        <v>1</v>
      </c>
      <c r="Q523" s="62" t="str">
        <f aca="false">IF(ISBLANK(N523),"",IF(N523&lt;DATE(2023,5,1),"OLD","NEW"))</f>
        <v>OLD</v>
      </c>
      <c r="R523" s="2" t="s">
        <v>1034</v>
      </c>
      <c r="S523" s="33" t="n">
        <f aca="false">IF(COUNTIF('[1]Plate_1-2_LongFormat'!$A$2:$A$193,G523)&gt;0,1,0)</f>
        <v>1</v>
      </c>
      <c r="T523" s="33" t="n">
        <f aca="false">IF(COUNTIF([2]Attached_indexes!$C$2:$C$193,G523)&gt;0,1,0)</f>
        <v>1</v>
      </c>
      <c r="U523" s="59"/>
      <c r="V523" s="1" t="s">
        <v>982</v>
      </c>
    </row>
    <row r="524" customFormat="false" ht="15.75" hidden="false" customHeight="true" outlineLevel="0" collapsed="false">
      <c r="A524" s="18" t="s">
        <v>705</v>
      </c>
      <c r="B524" s="18" t="s">
        <v>705</v>
      </c>
      <c r="C524" s="18" t="s">
        <v>31</v>
      </c>
      <c r="E524" s="66" t="n">
        <v>10</v>
      </c>
      <c r="F524" s="21" t="str">
        <f aca="false">CONCATENATE(B524,"_",C524, TEXT(E524, "000"))</f>
        <v>KNOB_M. laciniatus010</v>
      </c>
      <c r="G524" s="21" t="s">
        <v>720</v>
      </c>
      <c r="H524" s="18"/>
      <c r="I524" s="22"/>
      <c r="J524" s="2"/>
      <c r="L524" s="2"/>
      <c r="M524" s="2"/>
      <c r="N524" s="3"/>
      <c r="O524" s="64"/>
      <c r="P524" s="64"/>
      <c r="Q524" s="62"/>
      <c r="S524" s="33" t="n">
        <v>0</v>
      </c>
      <c r="T524" s="33" t="n">
        <v>0</v>
      </c>
      <c r="U524" s="59"/>
      <c r="V524" s="1" t="s">
        <v>982</v>
      </c>
    </row>
    <row r="525" customFormat="false" ht="15.75" hidden="false" customHeight="true" outlineLevel="0" collapsed="false">
      <c r="A525" s="18" t="s">
        <v>705</v>
      </c>
      <c r="B525" s="18" t="s">
        <v>705</v>
      </c>
      <c r="C525" s="18" t="s">
        <v>31</v>
      </c>
      <c r="E525" s="66" t="n">
        <v>10</v>
      </c>
      <c r="F525" s="21" t="str">
        <f aca="false">CONCATENATE(B525,"_",C525, TEXT(E525, "000"))</f>
        <v>KNOB_M. laciniatus010</v>
      </c>
      <c r="G525" s="21" t="s">
        <v>720</v>
      </c>
      <c r="H525" s="18"/>
      <c r="I525" s="22"/>
      <c r="J525" s="2"/>
      <c r="L525" s="2"/>
      <c r="M525" s="2"/>
      <c r="N525" s="3"/>
      <c r="O525" s="64"/>
      <c r="P525" s="64"/>
      <c r="Q525" s="62"/>
      <c r="S525" s="33" t="n">
        <v>0</v>
      </c>
      <c r="T525" s="33" t="n">
        <v>0</v>
      </c>
      <c r="U525" s="59"/>
      <c r="V525" s="1" t="s">
        <v>982</v>
      </c>
    </row>
    <row r="526" customFormat="false" ht="15.75" hidden="false" customHeight="true" outlineLevel="0" collapsed="false">
      <c r="A526" s="18" t="s">
        <v>705</v>
      </c>
      <c r="B526" s="18" t="s">
        <v>705</v>
      </c>
      <c r="C526" s="18" t="s">
        <v>31</v>
      </c>
      <c r="E526" s="66" t="n">
        <v>10</v>
      </c>
      <c r="F526" s="21" t="str">
        <f aca="false">CONCATENATE(B526,"_",C526, TEXT(E526, "000"))</f>
        <v>KNOB_M. laciniatus010</v>
      </c>
      <c r="G526" s="21" t="s">
        <v>720</v>
      </c>
      <c r="H526" s="18"/>
      <c r="I526" s="22"/>
      <c r="J526" s="2"/>
      <c r="L526" s="2"/>
      <c r="M526" s="2"/>
      <c r="N526" s="3"/>
      <c r="O526" s="64"/>
      <c r="P526" s="64"/>
      <c r="Q526" s="62"/>
      <c r="S526" s="33" t="n">
        <v>0</v>
      </c>
      <c r="T526" s="33" t="n">
        <v>0</v>
      </c>
      <c r="U526" s="59"/>
      <c r="V526" s="1" t="s">
        <v>982</v>
      </c>
    </row>
    <row r="527" customFormat="false" ht="15.75" hidden="false" customHeight="true" outlineLevel="0" collapsed="false">
      <c r="A527" s="18" t="s">
        <v>790</v>
      </c>
      <c r="B527" s="18" t="s">
        <v>790</v>
      </c>
      <c r="C527" s="18" t="s">
        <v>40</v>
      </c>
      <c r="E527" s="66" t="n">
        <v>1</v>
      </c>
      <c r="F527" s="21" t="str">
        <f aca="false">CONCATENATE(B527,"_",C527, TEXT(E527, "000"))</f>
        <v>LMZZ_M. guttatus001</v>
      </c>
      <c r="G527" s="21" t="s">
        <v>202</v>
      </c>
      <c r="H527" s="18" t="n">
        <v>1</v>
      </c>
      <c r="I527" s="22" t="n">
        <v>44371</v>
      </c>
      <c r="J527" s="2" t="s">
        <v>981</v>
      </c>
      <c r="L527" s="2" t="n">
        <v>1</v>
      </c>
      <c r="M527" s="2" t="n">
        <v>1</v>
      </c>
      <c r="N527" s="3" t="n">
        <v>45053</v>
      </c>
      <c r="O527" s="64" t="n">
        <v>28.4</v>
      </c>
      <c r="P527" s="64" t="n">
        <v>3</v>
      </c>
      <c r="Q527" s="62" t="str">
        <f aca="false">IF(ISBLANK(N527),"",IF(N527&lt;DATE(2023,5,1),"OLD","NEW"))</f>
        <v>NEW</v>
      </c>
      <c r="S527" s="33" t="n">
        <f aca="false">IF(COUNTIF('[1]Plate_1-2_LongFormat'!$A$2:$A$193,G527)&gt;0,1,0)</f>
        <v>0</v>
      </c>
      <c r="T527" s="33" t="n">
        <f aca="false">IF(COUNTIF([2]Attached_indexes!$C$2:$C$193,G527)&gt;0,1,0)</f>
        <v>0</v>
      </c>
      <c r="U527" s="59"/>
      <c r="V527" s="1" t="s">
        <v>982</v>
      </c>
    </row>
    <row r="528" customFormat="false" ht="15.75" hidden="false" customHeight="true" outlineLevel="0" collapsed="false">
      <c r="A528" s="18" t="s">
        <v>790</v>
      </c>
      <c r="B528" s="18" t="s">
        <v>790</v>
      </c>
      <c r="C528" s="18" t="s">
        <v>40</v>
      </c>
      <c r="E528" s="66" t="n">
        <v>1</v>
      </c>
      <c r="F528" s="21" t="str">
        <f aca="false">CONCATENATE(B528,"_",C528, TEXT(E528, "000"))</f>
        <v>LMZZ_M. guttatus001</v>
      </c>
      <c r="G528" s="21" t="s">
        <v>202</v>
      </c>
      <c r="H528" s="18" t="n">
        <v>1</v>
      </c>
      <c r="I528" s="22" t="n">
        <v>44371</v>
      </c>
      <c r="J528" s="2" t="s">
        <v>981</v>
      </c>
      <c r="L528" s="2" t="n">
        <v>1</v>
      </c>
      <c r="M528" s="2" t="n">
        <v>1</v>
      </c>
      <c r="N528" s="3" t="n">
        <v>45053</v>
      </c>
      <c r="O528" s="64" t="n">
        <v>28.4</v>
      </c>
      <c r="P528" s="64" t="n">
        <v>3</v>
      </c>
      <c r="Q528" s="62" t="str">
        <f aca="false">IF(ISBLANK(N528),"",IF(N528&lt;DATE(2023,5,1),"OLD","NEW"))</f>
        <v>NEW</v>
      </c>
      <c r="S528" s="33" t="n">
        <f aca="false">IF(COUNTIF('[1]Plate_1-2_LongFormat'!$A$2:$A$193,G528)&gt;0,1,0)</f>
        <v>0</v>
      </c>
      <c r="T528" s="33" t="n">
        <f aca="false">IF(COUNTIF([2]Attached_indexes!$C$2:$C$193,G528)&gt;0,1,0)</f>
        <v>0</v>
      </c>
      <c r="U528" s="59"/>
      <c r="V528" s="1" t="s">
        <v>982</v>
      </c>
    </row>
    <row r="529" customFormat="false" ht="15.75" hidden="false" customHeight="true" outlineLevel="0" collapsed="false">
      <c r="A529" s="18" t="s">
        <v>790</v>
      </c>
      <c r="B529" s="18" t="s">
        <v>790</v>
      </c>
      <c r="C529" s="18" t="s">
        <v>40</v>
      </c>
      <c r="E529" s="66" t="n">
        <v>1</v>
      </c>
      <c r="F529" s="21" t="str">
        <f aca="false">CONCATENATE(B529,"_",C529, TEXT(E529, "000"))</f>
        <v>LMZZ_M. guttatus001</v>
      </c>
      <c r="G529" s="21" t="s">
        <v>202</v>
      </c>
      <c r="H529" s="18" t="n">
        <v>1</v>
      </c>
      <c r="I529" s="22" t="n">
        <v>44371</v>
      </c>
      <c r="J529" s="2" t="s">
        <v>981</v>
      </c>
      <c r="L529" s="2" t="n">
        <v>1</v>
      </c>
      <c r="M529" s="2" t="n">
        <v>1</v>
      </c>
      <c r="N529" s="3" t="n">
        <v>45053</v>
      </c>
      <c r="O529" s="64" t="n">
        <v>28.4</v>
      </c>
      <c r="P529" s="64" t="n">
        <v>3</v>
      </c>
      <c r="Q529" s="62" t="str">
        <f aca="false">IF(ISBLANK(N529),"",IF(N529&lt;DATE(2023,5,1),"OLD","NEW"))</f>
        <v>NEW</v>
      </c>
      <c r="S529" s="33" t="n">
        <f aca="false">IF(COUNTIF('[1]Plate_1-2_LongFormat'!$A$2:$A$193,G529)&gt;0,1,0)</f>
        <v>0</v>
      </c>
      <c r="T529" s="33" t="n">
        <f aca="false">IF(COUNTIF([2]Attached_indexes!$C$2:$C$193,G529)&gt;0,1,0)</f>
        <v>0</v>
      </c>
      <c r="U529" s="59"/>
      <c r="V529" s="1" t="s">
        <v>982</v>
      </c>
    </row>
    <row r="530" customFormat="false" ht="15.75" hidden="false" customHeight="true" outlineLevel="0" collapsed="false">
      <c r="A530" s="18" t="s">
        <v>790</v>
      </c>
      <c r="B530" s="18" t="s">
        <v>790</v>
      </c>
      <c r="C530" s="18" t="s">
        <v>40</v>
      </c>
      <c r="E530" s="66" t="n">
        <v>10</v>
      </c>
      <c r="F530" s="21" t="str">
        <f aca="false">CONCATENATE(B530,"_",C530, TEXT(E530, "000"))</f>
        <v>LMZZ_M. guttatus010</v>
      </c>
      <c r="G530" s="21" t="s">
        <v>227</v>
      </c>
      <c r="H530" s="18" t="n">
        <v>1</v>
      </c>
      <c r="I530" s="22" t="n">
        <v>44371</v>
      </c>
      <c r="J530" s="2" t="s">
        <v>981</v>
      </c>
      <c r="L530" s="2" t="n">
        <v>1</v>
      </c>
      <c r="M530" s="2" t="n">
        <v>1</v>
      </c>
      <c r="N530" s="3" t="n">
        <v>45053</v>
      </c>
      <c r="O530" s="64" t="n">
        <v>24.7</v>
      </c>
      <c r="P530" s="64" t="n">
        <v>3</v>
      </c>
      <c r="Q530" s="62" t="str">
        <f aca="false">IF(ISBLANK(N530),"",IF(N530&lt;DATE(2023,5,1),"OLD","NEW"))</f>
        <v>NEW</v>
      </c>
      <c r="S530" s="33" t="n">
        <f aca="false">IF(COUNTIF('[1]Plate_1-2_LongFormat'!$A$2:$A$193,G530)&gt;0,1,0)</f>
        <v>0</v>
      </c>
      <c r="T530" s="33" t="n">
        <f aca="false">IF(COUNTIF([2]Attached_indexes!$C$2:$C$193,G530)&gt;0,1,0)</f>
        <v>0</v>
      </c>
      <c r="U530" s="59"/>
      <c r="V530" s="1" t="s">
        <v>982</v>
      </c>
    </row>
    <row r="531" customFormat="false" ht="15.75" hidden="false" customHeight="true" outlineLevel="0" collapsed="false">
      <c r="A531" s="18" t="s">
        <v>790</v>
      </c>
      <c r="B531" s="18" t="s">
        <v>790</v>
      </c>
      <c r="C531" s="18" t="s">
        <v>40</v>
      </c>
      <c r="E531" s="66" t="n">
        <v>10</v>
      </c>
      <c r="F531" s="21" t="str">
        <f aca="false">CONCATENATE(B531,"_",C531, TEXT(E531, "000"))</f>
        <v>LMZZ_M. guttatus010</v>
      </c>
      <c r="G531" s="21" t="s">
        <v>227</v>
      </c>
      <c r="H531" s="18" t="n">
        <v>1</v>
      </c>
      <c r="I531" s="22" t="n">
        <v>44371</v>
      </c>
      <c r="J531" s="2" t="s">
        <v>981</v>
      </c>
      <c r="L531" s="2" t="n">
        <v>1</v>
      </c>
      <c r="M531" s="2" t="n">
        <v>1</v>
      </c>
      <c r="N531" s="3" t="n">
        <v>45053</v>
      </c>
      <c r="O531" s="64" t="n">
        <v>24.7</v>
      </c>
      <c r="P531" s="64" t="n">
        <v>3</v>
      </c>
      <c r="Q531" s="62" t="str">
        <f aca="false">IF(ISBLANK(N531),"",IF(N531&lt;DATE(2023,5,1),"OLD","NEW"))</f>
        <v>NEW</v>
      </c>
      <c r="S531" s="33" t="n">
        <f aca="false">IF(COUNTIF('[1]Plate_1-2_LongFormat'!$A$2:$A$193,G531)&gt;0,1,0)</f>
        <v>0</v>
      </c>
      <c r="T531" s="33" t="n">
        <f aca="false">IF(COUNTIF([2]Attached_indexes!$C$2:$C$193,G531)&gt;0,1,0)</f>
        <v>0</v>
      </c>
      <c r="U531" s="59"/>
      <c r="V531" s="1" t="s">
        <v>982</v>
      </c>
    </row>
    <row r="532" customFormat="false" ht="15.75" hidden="false" customHeight="true" outlineLevel="0" collapsed="false">
      <c r="A532" s="18" t="s">
        <v>790</v>
      </c>
      <c r="B532" s="18" t="s">
        <v>790</v>
      </c>
      <c r="C532" s="18" t="s">
        <v>40</v>
      </c>
      <c r="E532" s="66" t="n">
        <v>10</v>
      </c>
      <c r="F532" s="21" t="str">
        <f aca="false">CONCATENATE(B532,"_",C532, TEXT(E532, "000"))</f>
        <v>LMZZ_M. guttatus010</v>
      </c>
      <c r="G532" s="21" t="s">
        <v>227</v>
      </c>
      <c r="H532" s="18" t="n">
        <v>1</v>
      </c>
      <c r="I532" s="22" t="n">
        <v>44371</v>
      </c>
      <c r="J532" s="2" t="s">
        <v>981</v>
      </c>
      <c r="L532" s="2" t="n">
        <v>1</v>
      </c>
      <c r="M532" s="2" t="n">
        <v>1</v>
      </c>
      <c r="N532" s="3" t="n">
        <v>45053</v>
      </c>
      <c r="O532" s="64" t="n">
        <v>24.7</v>
      </c>
      <c r="P532" s="64" t="n">
        <v>3</v>
      </c>
      <c r="Q532" s="62" t="str">
        <f aca="false">IF(ISBLANK(N532),"",IF(N532&lt;DATE(2023,5,1),"OLD","NEW"))</f>
        <v>NEW</v>
      </c>
      <c r="S532" s="33" t="n">
        <f aca="false">IF(COUNTIF('[1]Plate_1-2_LongFormat'!$A$2:$A$193,G532)&gt;0,1,0)</f>
        <v>0</v>
      </c>
      <c r="T532" s="33" t="n">
        <f aca="false">IF(COUNTIF([2]Attached_indexes!$C$2:$C$193,G532)&gt;0,1,0)</f>
        <v>0</v>
      </c>
      <c r="U532" s="59"/>
      <c r="V532" s="1" t="s">
        <v>982</v>
      </c>
    </row>
    <row r="533" customFormat="false" ht="15.75" hidden="false" customHeight="true" outlineLevel="0" collapsed="false">
      <c r="A533" s="18" t="s">
        <v>790</v>
      </c>
      <c r="B533" s="18" t="s">
        <v>790</v>
      </c>
      <c r="C533" s="18" t="s">
        <v>40</v>
      </c>
      <c r="E533" s="66" t="n">
        <v>2</v>
      </c>
      <c r="F533" s="21" t="str">
        <f aca="false">CONCATENATE(B533,"_",C533, TEXT(E533, "000"))</f>
        <v>LMZZ_M. guttatus002</v>
      </c>
      <c r="G533" s="21" t="s">
        <v>207</v>
      </c>
      <c r="H533" s="18" t="n">
        <v>1</v>
      </c>
      <c r="I533" s="22" t="n">
        <v>44371</v>
      </c>
      <c r="J533" s="2" t="s">
        <v>981</v>
      </c>
      <c r="L533" s="2" t="n">
        <v>1</v>
      </c>
      <c r="M533" s="2" t="n">
        <v>1</v>
      </c>
      <c r="N533" s="3" t="n">
        <v>44999</v>
      </c>
      <c r="O533" s="2" t="n">
        <v>7.07</v>
      </c>
      <c r="P533" s="2" t="n">
        <v>3</v>
      </c>
      <c r="Q533" s="62" t="str">
        <f aca="false">IF(ISBLANK(N533),"",IF(N533&lt;DATE(2023,5,1),"OLD","NEW"))</f>
        <v>OLD</v>
      </c>
      <c r="S533" s="33" t="n">
        <f aca="false">IF(COUNTIF('[1]Plate_1-2_LongFormat'!$A$2:$A$193,G533)&gt;0,1,0)</f>
        <v>1</v>
      </c>
      <c r="T533" s="33" t="n">
        <f aca="false">IF(COUNTIF([2]Attached_indexes!$C$2:$C$193,G533)&gt;0,1,0)</f>
        <v>1</v>
      </c>
      <c r="U533" s="59"/>
      <c r="V533" s="1" t="s">
        <v>982</v>
      </c>
    </row>
    <row r="534" customFormat="false" ht="15.75" hidden="false" customHeight="true" outlineLevel="0" collapsed="false">
      <c r="A534" s="18" t="s">
        <v>790</v>
      </c>
      <c r="B534" s="18" t="s">
        <v>790</v>
      </c>
      <c r="C534" s="18" t="s">
        <v>40</v>
      </c>
      <c r="E534" s="66" t="n">
        <v>2</v>
      </c>
      <c r="F534" s="21" t="str">
        <f aca="false">CONCATENATE(B534,"_",C534, TEXT(E534, "000"))</f>
        <v>LMZZ_M. guttatus002</v>
      </c>
      <c r="G534" s="21" t="s">
        <v>207</v>
      </c>
      <c r="H534" s="18" t="n">
        <v>1</v>
      </c>
      <c r="I534" s="22" t="n">
        <v>44371</v>
      </c>
      <c r="J534" s="2" t="s">
        <v>981</v>
      </c>
      <c r="K534" s="61"/>
      <c r="L534" s="2" t="n">
        <v>1</v>
      </c>
      <c r="M534" s="2" t="n">
        <v>1</v>
      </c>
      <c r="N534" s="3" t="n">
        <v>44999</v>
      </c>
      <c r="O534" s="2" t="n">
        <v>7.07</v>
      </c>
      <c r="P534" s="2" t="n">
        <v>3</v>
      </c>
      <c r="Q534" s="62" t="str">
        <f aca="false">IF(ISBLANK(N534),"",IF(N534&lt;DATE(2023,5,1),"OLD","NEW"))</f>
        <v>OLD</v>
      </c>
      <c r="S534" s="33" t="n">
        <f aca="false">IF(COUNTIF('[1]Plate_1-2_LongFormat'!$A$2:$A$193,G534)&gt;0,1,0)</f>
        <v>1</v>
      </c>
      <c r="T534" s="33" t="n">
        <f aca="false">IF(COUNTIF([2]Attached_indexes!$C$2:$C$193,G534)&gt;0,1,0)</f>
        <v>1</v>
      </c>
      <c r="U534" s="59"/>
      <c r="V534" s="1" t="s">
        <v>982</v>
      </c>
    </row>
    <row r="535" customFormat="false" ht="15.75" hidden="false" customHeight="true" outlineLevel="0" collapsed="false">
      <c r="A535" s="18" t="s">
        <v>790</v>
      </c>
      <c r="B535" s="18" t="s">
        <v>790</v>
      </c>
      <c r="C535" s="18" t="s">
        <v>40</v>
      </c>
      <c r="E535" s="66" t="n">
        <v>2</v>
      </c>
      <c r="F535" s="21" t="str">
        <f aca="false">CONCATENATE(B535,"_",C535, TEXT(E535, "000"))</f>
        <v>LMZZ_M. guttatus002</v>
      </c>
      <c r="G535" s="21" t="s">
        <v>207</v>
      </c>
      <c r="H535" s="18" t="n">
        <v>1</v>
      </c>
      <c r="I535" s="22" t="n">
        <v>44371</v>
      </c>
      <c r="J535" s="2" t="s">
        <v>981</v>
      </c>
      <c r="K535" s="61"/>
      <c r="L535" s="2" t="n">
        <v>1</v>
      </c>
      <c r="M535" s="2" t="n">
        <v>1</v>
      </c>
      <c r="N535" s="3" t="n">
        <v>44999</v>
      </c>
      <c r="O535" s="2" t="n">
        <v>7.07</v>
      </c>
      <c r="P535" s="2" t="n">
        <v>3</v>
      </c>
      <c r="Q535" s="62" t="str">
        <f aca="false">IF(ISBLANK(N535),"",IF(N535&lt;DATE(2023,5,1),"OLD","NEW"))</f>
        <v>OLD</v>
      </c>
      <c r="S535" s="33" t="n">
        <f aca="false">IF(COUNTIF('[1]Plate_1-2_LongFormat'!$A$2:$A$193,G535)&gt;0,1,0)</f>
        <v>1</v>
      </c>
      <c r="T535" s="33" t="n">
        <f aca="false">IF(COUNTIF([2]Attached_indexes!$C$2:$C$193,G535)&gt;0,1,0)</f>
        <v>1</v>
      </c>
      <c r="U535" s="59"/>
      <c r="V535" s="1" t="s">
        <v>982</v>
      </c>
    </row>
    <row r="536" customFormat="false" ht="15.75" hidden="false" customHeight="true" outlineLevel="0" collapsed="false">
      <c r="A536" s="18" t="s">
        <v>790</v>
      </c>
      <c r="B536" s="18" t="s">
        <v>790</v>
      </c>
      <c r="C536" s="18" t="s">
        <v>40</v>
      </c>
      <c r="E536" s="66" t="n">
        <v>3</v>
      </c>
      <c r="F536" s="21" t="str">
        <f aca="false">CONCATENATE(B536,"_",C536, TEXT(E536, "000"))</f>
        <v>LMZZ_M. guttatus003</v>
      </c>
      <c r="G536" s="21" t="s">
        <v>209</v>
      </c>
      <c r="H536" s="18" t="n">
        <v>1</v>
      </c>
      <c r="I536" s="22" t="n">
        <v>44371</v>
      </c>
      <c r="J536" s="2" t="s">
        <v>981</v>
      </c>
      <c r="K536" s="61"/>
      <c r="L536" s="2" t="n">
        <v>1</v>
      </c>
      <c r="M536" s="2" t="n">
        <v>1</v>
      </c>
      <c r="N536" s="3" t="n">
        <v>45056</v>
      </c>
      <c r="O536" s="2" t="n">
        <v>30.4</v>
      </c>
      <c r="P536" s="2" t="n">
        <v>3</v>
      </c>
      <c r="Q536" s="62" t="str">
        <f aca="false">IF(ISBLANK(N536),"",IF(N536&lt;DATE(2023,5,1),"OLD","NEW"))</f>
        <v>NEW</v>
      </c>
      <c r="S536" s="33" t="n">
        <f aca="false">IF(COUNTIF('[1]Plate_1-2_LongFormat'!$A$2:$A$193,G536)&gt;0,1,0)</f>
        <v>0</v>
      </c>
      <c r="T536" s="33" t="n">
        <f aca="false">IF(COUNTIF([2]Attached_indexes!$C$2:$C$193,G536)&gt;0,1,0)</f>
        <v>0</v>
      </c>
      <c r="U536" s="59"/>
      <c r="V536" s="1" t="s">
        <v>982</v>
      </c>
    </row>
    <row r="537" customFormat="false" ht="15.75" hidden="false" customHeight="true" outlineLevel="0" collapsed="false">
      <c r="A537" s="18" t="s">
        <v>790</v>
      </c>
      <c r="B537" s="18" t="s">
        <v>790</v>
      </c>
      <c r="C537" s="18" t="s">
        <v>40</v>
      </c>
      <c r="E537" s="66" t="n">
        <v>3</v>
      </c>
      <c r="F537" s="21" t="str">
        <f aca="false">CONCATENATE(B537,"_",C537, TEXT(E537, "000"))</f>
        <v>LMZZ_M. guttatus003</v>
      </c>
      <c r="G537" s="21" t="s">
        <v>209</v>
      </c>
      <c r="H537" s="18" t="n">
        <v>1</v>
      </c>
      <c r="I537" s="22" t="n">
        <v>44371</v>
      </c>
      <c r="J537" s="2" t="s">
        <v>981</v>
      </c>
      <c r="K537" s="61"/>
      <c r="L537" s="2" t="n">
        <v>1</v>
      </c>
      <c r="M537" s="2" t="n">
        <v>1</v>
      </c>
      <c r="N537" s="3" t="n">
        <v>45056</v>
      </c>
      <c r="O537" s="2" t="n">
        <v>30.4</v>
      </c>
      <c r="P537" s="2" t="n">
        <v>3</v>
      </c>
      <c r="Q537" s="62" t="str">
        <f aca="false">IF(ISBLANK(N537),"",IF(N537&lt;DATE(2023,5,1),"OLD","NEW"))</f>
        <v>NEW</v>
      </c>
      <c r="S537" s="33" t="n">
        <f aca="false">IF(COUNTIF('[1]Plate_1-2_LongFormat'!$A$2:$A$193,G537)&gt;0,1,0)</f>
        <v>0</v>
      </c>
      <c r="T537" s="33" t="n">
        <f aca="false">IF(COUNTIF([2]Attached_indexes!$C$2:$C$193,G537)&gt;0,1,0)</f>
        <v>0</v>
      </c>
      <c r="U537" s="59"/>
      <c r="V537" s="1" t="s">
        <v>982</v>
      </c>
    </row>
    <row r="538" customFormat="false" ht="15.75" hidden="false" customHeight="true" outlineLevel="0" collapsed="false">
      <c r="A538" s="18" t="s">
        <v>790</v>
      </c>
      <c r="B538" s="18" t="s">
        <v>790</v>
      </c>
      <c r="C538" s="18" t="s">
        <v>40</v>
      </c>
      <c r="E538" s="66" t="n">
        <v>3</v>
      </c>
      <c r="F538" s="21" t="str">
        <f aca="false">CONCATENATE(B538,"_",C538, TEXT(E538, "000"))</f>
        <v>LMZZ_M. guttatus003</v>
      </c>
      <c r="G538" s="21" t="s">
        <v>209</v>
      </c>
      <c r="H538" s="18" t="n">
        <v>1</v>
      </c>
      <c r="I538" s="22" t="n">
        <v>44371</v>
      </c>
      <c r="J538" s="2" t="s">
        <v>981</v>
      </c>
      <c r="K538" s="61"/>
      <c r="L538" s="2" t="n">
        <v>1</v>
      </c>
      <c r="M538" s="2" t="n">
        <v>1</v>
      </c>
      <c r="N538" s="3" t="n">
        <v>45056</v>
      </c>
      <c r="O538" s="2" t="n">
        <v>30.4</v>
      </c>
      <c r="P538" s="2" t="n">
        <v>3</v>
      </c>
      <c r="Q538" s="62" t="str">
        <f aca="false">IF(ISBLANK(N538),"",IF(N538&lt;DATE(2023,5,1),"OLD","NEW"))</f>
        <v>NEW</v>
      </c>
      <c r="S538" s="33" t="n">
        <f aca="false">IF(COUNTIF('[1]Plate_1-2_LongFormat'!$A$2:$A$193,G538)&gt;0,1,0)</f>
        <v>0</v>
      </c>
      <c r="T538" s="33" t="n">
        <f aca="false">IF(COUNTIF([2]Attached_indexes!$C$2:$C$193,G538)&gt;0,1,0)</f>
        <v>0</v>
      </c>
      <c r="U538" s="59"/>
      <c r="V538" s="1" t="s">
        <v>982</v>
      </c>
    </row>
    <row r="539" customFormat="false" ht="15.75" hidden="false" customHeight="true" outlineLevel="0" collapsed="false">
      <c r="A539" s="18" t="s">
        <v>790</v>
      </c>
      <c r="B539" s="18" t="s">
        <v>790</v>
      </c>
      <c r="C539" s="18" t="s">
        <v>40</v>
      </c>
      <c r="E539" s="66" t="n">
        <v>4</v>
      </c>
      <c r="F539" s="21" t="str">
        <f aca="false">CONCATENATE(B539,"_",C539, TEXT(E539, "000"))</f>
        <v>LMZZ_M. guttatus004</v>
      </c>
      <c r="G539" s="21" t="s">
        <v>212</v>
      </c>
      <c r="H539" s="18" t="n">
        <v>1</v>
      </c>
      <c r="I539" s="22" t="n">
        <v>44371</v>
      </c>
      <c r="J539" s="2" t="s">
        <v>981</v>
      </c>
      <c r="K539" s="61"/>
      <c r="L539" s="2" t="n">
        <v>1</v>
      </c>
      <c r="M539" s="2" t="n">
        <v>1</v>
      </c>
      <c r="N539" s="3" t="n">
        <v>44945</v>
      </c>
      <c r="O539" s="2" t="n">
        <v>6.18</v>
      </c>
      <c r="P539" s="2" t="n">
        <v>2</v>
      </c>
      <c r="Q539" s="62" t="str">
        <f aca="false">IF(ISBLANK(N539),"",IF(N539&lt;DATE(2023,5,1),"OLD","NEW"))</f>
        <v>OLD</v>
      </c>
      <c r="S539" s="33" t="n">
        <f aca="false">IF(COUNTIF('[1]Plate_1-2_LongFormat'!$A$2:$A$193,G539)&gt;0,1,0)</f>
        <v>1</v>
      </c>
      <c r="T539" s="33" t="n">
        <f aca="false">IF(COUNTIF([2]Attached_indexes!$C$2:$C$193,G539)&gt;0,1,0)</f>
        <v>1</v>
      </c>
      <c r="U539" s="59"/>
      <c r="V539" s="1" t="s">
        <v>982</v>
      </c>
    </row>
    <row r="540" customFormat="false" ht="15.75" hidden="false" customHeight="true" outlineLevel="0" collapsed="false">
      <c r="A540" s="18" t="s">
        <v>790</v>
      </c>
      <c r="B540" s="18" t="s">
        <v>790</v>
      </c>
      <c r="C540" s="18" t="s">
        <v>40</v>
      </c>
      <c r="E540" s="66" t="n">
        <v>4</v>
      </c>
      <c r="F540" s="21" t="str">
        <f aca="false">CONCATENATE(B540,"_",C540, TEXT(E540, "000"))</f>
        <v>LMZZ_M. guttatus004</v>
      </c>
      <c r="G540" s="21" t="s">
        <v>212</v>
      </c>
      <c r="H540" s="18" t="n">
        <v>1</v>
      </c>
      <c r="I540" s="22" t="n">
        <v>44371</v>
      </c>
      <c r="J540" s="2" t="s">
        <v>981</v>
      </c>
      <c r="K540" s="61"/>
      <c r="L540" s="2" t="n">
        <v>1</v>
      </c>
      <c r="M540" s="2" t="n">
        <v>1</v>
      </c>
      <c r="N540" s="3" t="n">
        <v>44945</v>
      </c>
      <c r="O540" s="2" t="n">
        <v>6.18</v>
      </c>
      <c r="P540" s="2" t="n">
        <v>2</v>
      </c>
      <c r="Q540" s="62" t="str">
        <f aca="false">IF(ISBLANK(N540),"",IF(N540&lt;DATE(2023,5,1),"OLD","NEW"))</f>
        <v>OLD</v>
      </c>
      <c r="S540" s="33" t="n">
        <f aca="false">IF(COUNTIF('[1]Plate_1-2_LongFormat'!$A$2:$A$193,G540)&gt;0,1,0)</f>
        <v>1</v>
      </c>
      <c r="T540" s="33" t="n">
        <f aca="false">IF(COUNTIF([2]Attached_indexes!$C$2:$C$193,G540)&gt;0,1,0)</f>
        <v>1</v>
      </c>
      <c r="U540" s="59"/>
      <c r="V540" s="1" t="s">
        <v>982</v>
      </c>
    </row>
    <row r="541" customFormat="false" ht="15.75" hidden="false" customHeight="true" outlineLevel="0" collapsed="false">
      <c r="A541" s="18" t="s">
        <v>790</v>
      </c>
      <c r="B541" s="18" t="s">
        <v>790</v>
      </c>
      <c r="C541" s="18" t="s">
        <v>40</v>
      </c>
      <c r="E541" s="66" t="n">
        <v>4</v>
      </c>
      <c r="F541" s="21" t="str">
        <f aca="false">CONCATENATE(B541,"_",C541, TEXT(E541, "000"))</f>
        <v>LMZZ_M. guttatus004</v>
      </c>
      <c r="G541" s="21" t="s">
        <v>212</v>
      </c>
      <c r="H541" s="18" t="n">
        <v>1</v>
      </c>
      <c r="I541" s="22" t="n">
        <v>44371</v>
      </c>
      <c r="J541" s="2" t="s">
        <v>981</v>
      </c>
      <c r="K541" s="61"/>
      <c r="L541" s="2" t="n">
        <v>1</v>
      </c>
      <c r="M541" s="2" t="n">
        <v>1</v>
      </c>
      <c r="N541" s="3" t="n">
        <v>44945</v>
      </c>
      <c r="O541" s="2" t="n">
        <v>6.18</v>
      </c>
      <c r="P541" s="2" t="n">
        <v>2</v>
      </c>
      <c r="Q541" s="62" t="str">
        <f aca="false">IF(ISBLANK(N541),"",IF(N541&lt;DATE(2023,5,1),"OLD","NEW"))</f>
        <v>OLD</v>
      </c>
      <c r="S541" s="33" t="n">
        <f aca="false">IF(COUNTIF('[1]Plate_1-2_LongFormat'!$A$2:$A$193,G541)&gt;0,1,0)</f>
        <v>1</v>
      </c>
      <c r="T541" s="33" t="n">
        <f aca="false">IF(COUNTIF([2]Attached_indexes!$C$2:$C$193,G541)&gt;0,1,0)</f>
        <v>1</v>
      </c>
      <c r="U541" s="59"/>
      <c r="V541" s="1" t="s">
        <v>982</v>
      </c>
    </row>
    <row r="542" customFormat="false" ht="15.75" hidden="false" customHeight="true" outlineLevel="0" collapsed="false">
      <c r="A542" s="18" t="s">
        <v>790</v>
      </c>
      <c r="B542" s="18" t="s">
        <v>790</v>
      </c>
      <c r="C542" s="18" t="s">
        <v>40</v>
      </c>
      <c r="E542" s="66" t="n">
        <v>5</v>
      </c>
      <c r="F542" s="21" t="str">
        <f aca="false">CONCATENATE(B542,"_",C542, TEXT(E542, "000"))</f>
        <v>LMZZ_M. guttatus005</v>
      </c>
      <c r="G542" s="21" t="s">
        <v>214</v>
      </c>
      <c r="H542" s="18" t="n">
        <v>1</v>
      </c>
      <c r="I542" s="22" t="n">
        <v>44371</v>
      </c>
      <c r="J542" s="2" t="s">
        <v>981</v>
      </c>
      <c r="K542" s="68" t="s">
        <v>1035</v>
      </c>
      <c r="L542" s="2" t="n">
        <v>1</v>
      </c>
      <c r="M542" s="2" t="n">
        <v>1</v>
      </c>
      <c r="N542" s="3" t="n">
        <v>45076</v>
      </c>
      <c r="O542" s="2" t="n">
        <v>0.996</v>
      </c>
      <c r="P542" s="2" t="n">
        <v>4</v>
      </c>
      <c r="Q542" s="62" t="str">
        <f aca="false">IF(ISBLANK(N542),"",IF(N542&lt;DATE(2023,5,1),"OLD","NEW"))</f>
        <v>NEW</v>
      </c>
      <c r="S542" s="33" t="n">
        <f aca="false">IF(COUNTIF('[1]Plate_1-2_LongFormat'!$A$2:$A$193,G542)&gt;0,1,0)</f>
        <v>0</v>
      </c>
      <c r="T542" s="33" t="n">
        <f aca="false">IF(COUNTIF([2]Attached_indexes!$C$2:$C$193,G542)&gt;0,1,0)</f>
        <v>0</v>
      </c>
      <c r="U542" s="59"/>
      <c r="V542" s="1" t="s">
        <v>982</v>
      </c>
    </row>
    <row r="543" customFormat="false" ht="15.75" hidden="false" customHeight="true" outlineLevel="0" collapsed="false">
      <c r="A543" s="18" t="s">
        <v>790</v>
      </c>
      <c r="B543" s="18" t="s">
        <v>790</v>
      </c>
      <c r="C543" s="18" t="s">
        <v>40</v>
      </c>
      <c r="E543" s="66" t="n">
        <v>5</v>
      </c>
      <c r="F543" s="21" t="str">
        <f aca="false">CONCATENATE(B543,"_",C543, TEXT(E543, "000"))</f>
        <v>LMZZ_M. guttatus005</v>
      </c>
      <c r="G543" s="21" t="s">
        <v>214</v>
      </c>
      <c r="H543" s="18" t="n">
        <v>1</v>
      </c>
      <c r="I543" s="22" t="n">
        <v>44371</v>
      </c>
      <c r="J543" s="2" t="s">
        <v>981</v>
      </c>
      <c r="K543" s="68" t="s">
        <v>1035</v>
      </c>
      <c r="L543" s="2" t="n">
        <v>1</v>
      </c>
      <c r="M543" s="2" t="n">
        <v>1</v>
      </c>
      <c r="N543" s="3" t="n">
        <v>45076</v>
      </c>
      <c r="O543" s="2" t="n">
        <v>0.996</v>
      </c>
      <c r="P543" s="2" t="n">
        <v>4</v>
      </c>
      <c r="Q543" s="62" t="str">
        <f aca="false">IF(ISBLANK(N543),"",IF(N543&lt;DATE(2023,5,1),"OLD","NEW"))</f>
        <v>NEW</v>
      </c>
      <c r="S543" s="33" t="n">
        <f aca="false">IF(COUNTIF('[1]Plate_1-2_LongFormat'!$A$2:$A$193,G543)&gt;0,1,0)</f>
        <v>0</v>
      </c>
      <c r="T543" s="33" t="n">
        <f aca="false">IF(COUNTIF([2]Attached_indexes!$C$2:$C$193,G543)&gt;0,1,0)</f>
        <v>0</v>
      </c>
      <c r="U543" s="59"/>
      <c r="V543" s="1" t="s">
        <v>982</v>
      </c>
    </row>
    <row r="544" customFormat="false" ht="15.75" hidden="false" customHeight="true" outlineLevel="0" collapsed="false">
      <c r="A544" s="18" t="s">
        <v>790</v>
      </c>
      <c r="B544" s="18" t="s">
        <v>790</v>
      </c>
      <c r="C544" s="18" t="s">
        <v>40</v>
      </c>
      <c r="E544" s="66" t="n">
        <v>5</v>
      </c>
      <c r="F544" s="21" t="str">
        <f aca="false">CONCATENATE(B544,"_",C544, TEXT(E544, "000"))</f>
        <v>LMZZ_M. guttatus005</v>
      </c>
      <c r="G544" s="21" t="s">
        <v>214</v>
      </c>
      <c r="H544" s="18" t="n">
        <v>1</v>
      </c>
      <c r="I544" s="22" t="n">
        <v>44371</v>
      </c>
      <c r="J544" s="2" t="s">
        <v>981</v>
      </c>
      <c r="K544" s="68" t="s">
        <v>1035</v>
      </c>
      <c r="L544" s="2" t="n">
        <v>1</v>
      </c>
      <c r="M544" s="2" t="n">
        <v>1</v>
      </c>
      <c r="N544" s="3" t="n">
        <v>45076</v>
      </c>
      <c r="O544" s="2" t="n">
        <v>0.996</v>
      </c>
      <c r="P544" s="2" t="n">
        <v>4</v>
      </c>
      <c r="Q544" s="62" t="str">
        <f aca="false">IF(ISBLANK(N544),"",IF(N544&lt;DATE(2023,5,1),"OLD","NEW"))</f>
        <v>NEW</v>
      </c>
      <c r="S544" s="33" t="n">
        <f aca="false">IF(COUNTIF('[1]Plate_1-2_LongFormat'!$A$2:$A$193,G544)&gt;0,1,0)</f>
        <v>0</v>
      </c>
      <c r="T544" s="33" t="n">
        <f aca="false">IF(COUNTIF([2]Attached_indexes!$C$2:$C$193,G544)&gt;0,1,0)</f>
        <v>0</v>
      </c>
      <c r="U544" s="59"/>
      <c r="V544" s="1" t="s">
        <v>982</v>
      </c>
    </row>
    <row r="545" customFormat="false" ht="15.75" hidden="false" customHeight="true" outlineLevel="0" collapsed="false">
      <c r="A545" s="18" t="s">
        <v>790</v>
      </c>
      <c r="B545" s="18" t="s">
        <v>790</v>
      </c>
      <c r="C545" s="18" t="s">
        <v>40</v>
      </c>
      <c r="E545" s="66" t="n">
        <v>6</v>
      </c>
      <c r="F545" s="21" t="str">
        <f aca="false">CONCATENATE(B545,"_",C545, TEXT(E545, "000"))</f>
        <v>LMZZ_M. guttatus006</v>
      </c>
      <c r="G545" s="21" t="s">
        <v>217</v>
      </c>
      <c r="H545" s="18" t="n">
        <v>1</v>
      </c>
      <c r="I545" s="22" t="n">
        <v>44371</v>
      </c>
      <c r="J545" s="2" t="s">
        <v>981</v>
      </c>
      <c r="L545" s="2" t="n">
        <v>1</v>
      </c>
      <c r="M545" s="2" t="n">
        <v>1</v>
      </c>
      <c r="N545" s="3" t="n">
        <v>44981</v>
      </c>
      <c r="O545" s="2" t="n">
        <v>5</v>
      </c>
      <c r="P545" s="2" t="n">
        <v>3</v>
      </c>
      <c r="Q545" s="62" t="str">
        <f aca="false">IF(ISBLANK(N545),"",IF(N545&lt;DATE(2023,5,1),"OLD","NEW"))</f>
        <v>OLD</v>
      </c>
      <c r="S545" s="33" t="n">
        <f aca="false">IF(COUNTIF('[1]Plate_1-2_LongFormat'!$A$2:$A$193,G545)&gt;0,1,0)</f>
        <v>1</v>
      </c>
      <c r="T545" s="33" t="n">
        <f aca="false">IF(COUNTIF([2]Attached_indexes!$C$2:$C$193,G545)&gt;0,1,0)</f>
        <v>1</v>
      </c>
      <c r="U545" s="59"/>
      <c r="V545" s="1" t="s">
        <v>982</v>
      </c>
    </row>
    <row r="546" customFormat="false" ht="15.75" hidden="false" customHeight="true" outlineLevel="0" collapsed="false">
      <c r="A546" s="18" t="s">
        <v>790</v>
      </c>
      <c r="B546" s="18" t="s">
        <v>790</v>
      </c>
      <c r="C546" s="18" t="s">
        <v>40</v>
      </c>
      <c r="E546" s="66" t="n">
        <v>6</v>
      </c>
      <c r="F546" s="21" t="str">
        <f aca="false">CONCATENATE(B546,"_",C546, TEXT(E546, "000"))</f>
        <v>LMZZ_M. guttatus006</v>
      </c>
      <c r="G546" s="21" t="s">
        <v>217</v>
      </c>
      <c r="H546" s="18" t="n">
        <v>1</v>
      </c>
      <c r="I546" s="22" t="n">
        <v>44371</v>
      </c>
      <c r="J546" s="2" t="s">
        <v>981</v>
      </c>
      <c r="L546" s="2" t="n">
        <v>1</v>
      </c>
      <c r="M546" s="2" t="n">
        <v>1</v>
      </c>
      <c r="N546" s="3" t="n">
        <v>44981</v>
      </c>
      <c r="O546" s="2" t="n">
        <v>5</v>
      </c>
      <c r="P546" s="2" t="n">
        <v>3</v>
      </c>
      <c r="Q546" s="62" t="str">
        <f aca="false">IF(ISBLANK(N546),"",IF(N546&lt;DATE(2023,5,1),"OLD","NEW"))</f>
        <v>OLD</v>
      </c>
      <c r="S546" s="33" t="n">
        <f aca="false">IF(COUNTIF('[1]Plate_1-2_LongFormat'!$A$2:$A$193,G546)&gt;0,1,0)</f>
        <v>1</v>
      </c>
      <c r="T546" s="33" t="n">
        <f aca="false">IF(COUNTIF([2]Attached_indexes!$C$2:$C$193,G546)&gt;0,1,0)</f>
        <v>1</v>
      </c>
      <c r="U546" s="59"/>
      <c r="V546" s="1" t="s">
        <v>982</v>
      </c>
    </row>
    <row r="547" customFormat="false" ht="15.75" hidden="false" customHeight="true" outlineLevel="0" collapsed="false">
      <c r="A547" s="18" t="s">
        <v>790</v>
      </c>
      <c r="B547" s="18" t="s">
        <v>790</v>
      </c>
      <c r="C547" s="18" t="s">
        <v>40</v>
      </c>
      <c r="E547" s="66" t="n">
        <v>6</v>
      </c>
      <c r="F547" s="21" t="str">
        <f aca="false">CONCATENATE(B547,"_",C547, TEXT(E547, "000"))</f>
        <v>LMZZ_M. guttatus006</v>
      </c>
      <c r="G547" s="21" t="s">
        <v>217</v>
      </c>
      <c r="H547" s="18" t="n">
        <v>1</v>
      </c>
      <c r="I547" s="22" t="n">
        <v>44371</v>
      </c>
      <c r="J547" s="2" t="s">
        <v>981</v>
      </c>
      <c r="K547" s="68"/>
      <c r="L547" s="2" t="n">
        <v>1</v>
      </c>
      <c r="M547" s="2" t="n">
        <v>1</v>
      </c>
      <c r="N547" s="3" t="n">
        <v>44981</v>
      </c>
      <c r="O547" s="2" t="n">
        <v>5</v>
      </c>
      <c r="P547" s="2" t="n">
        <v>3</v>
      </c>
      <c r="Q547" s="62" t="str">
        <f aca="false">IF(ISBLANK(N547),"",IF(N547&lt;DATE(2023,5,1),"OLD","NEW"))</f>
        <v>OLD</v>
      </c>
      <c r="S547" s="33" t="n">
        <f aca="false">IF(COUNTIF('[1]Plate_1-2_LongFormat'!$A$2:$A$193,G547)&gt;0,1,0)</f>
        <v>1</v>
      </c>
      <c r="T547" s="33" t="n">
        <f aca="false">IF(COUNTIF([2]Attached_indexes!$C$2:$C$193,G547)&gt;0,1,0)</f>
        <v>1</v>
      </c>
      <c r="U547" s="59"/>
      <c r="V547" s="1" t="s">
        <v>982</v>
      </c>
    </row>
    <row r="548" customFormat="false" ht="15.75" hidden="false" customHeight="true" outlineLevel="0" collapsed="false">
      <c r="A548" s="18" t="s">
        <v>790</v>
      </c>
      <c r="B548" s="18" t="s">
        <v>790</v>
      </c>
      <c r="C548" s="18" t="s">
        <v>40</v>
      </c>
      <c r="E548" s="66" t="n">
        <v>7</v>
      </c>
      <c r="F548" s="21" t="str">
        <f aca="false">CONCATENATE(B548,"_",C548, TEXT(E548, "000"))</f>
        <v>LMZZ_M. guttatus007</v>
      </c>
      <c r="G548" s="21" t="s">
        <v>219</v>
      </c>
      <c r="H548" s="18" t="n">
        <v>1</v>
      </c>
      <c r="I548" s="22" t="n">
        <v>44371</v>
      </c>
      <c r="J548" s="2" t="s">
        <v>981</v>
      </c>
      <c r="L548" s="2" t="n">
        <v>1</v>
      </c>
      <c r="M548" s="2" t="n">
        <v>1</v>
      </c>
      <c r="N548" s="3" t="n">
        <v>45053</v>
      </c>
      <c r="O548" s="2" t="n">
        <v>20.1</v>
      </c>
      <c r="P548" s="2" t="n">
        <v>3</v>
      </c>
      <c r="Q548" s="62" t="str">
        <f aca="false">IF(ISBLANK(N548),"",IF(N548&lt;DATE(2023,5,1),"OLD","NEW"))</f>
        <v>NEW</v>
      </c>
      <c r="S548" s="33" t="n">
        <f aca="false">IF(COUNTIF('[1]Plate_1-2_LongFormat'!$A$2:$A$193,G548)&gt;0,1,0)</f>
        <v>0</v>
      </c>
      <c r="T548" s="33" t="n">
        <f aca="false">IF(COUNTIF([2]Attached_indexes!$C$2:$C$193,G548)&gt;0,1,0)</f>
        <v>0</v>
      </c>
      <c r="U548" s="59"/>
      <c r="V548" s="1" t="s">
        <v>982</v>
      </c>
    </row>
    <row r="549" customFormat="false" ht="15.75" hidden="false" customHeight="true" outlineLevel="0" collapsed="false">
      <c r="A549" s="18" t="s">
        <v>790</v>
      </c>
      <c r="B549" s="18" t="s">
        <v>790</v>
      </c>
      <c r="C549" s="18" t="s">
        <v>40</v>
      </c>
      <c r="E549" s="66" t="n">
        <v>7</v>
      </c>
      <c r="F549" s="21" t="str">
        <f aca="false">CONCATENATE(B549,"_",C549, TEXT(E549, "000"))</f>
        <v>LMZZ_M. guttatus007</v>
      </c>
      <c r="G549" s="21" t="s">
        <v>219</v>
      </c>
      <c r="H549" s="18" t="n">
        <v>1</v>
      </c>
      <c r="I549" s="22" t="n">
        <v>44371</v>
      </c>
      <c r="J549" s="2" t="s">
        <v>981</v>
      </c>
      <c r="L549" s="2" t="n">
        <v>1</v>
      </c>
      <c r="M549" s="2" t="n">
        <v>1</v>
      </c>
      <c r="N549" s="3" t="n">
        <v>45053</v>
      </c>
      <c r="O549" s="2" t="n">
        <v>20.1</v>
      </c>
      <c r="P549" s="2" t="n">
        <v>3</v>
      </c>
      <c r="Q549" s="62" t="str">
        <f aca="false">IF(ISBLANK(N549),"",IF(N549&lt;DATE(2023,5,1),"OLD","NEW"))</f>
        <v>NEW</v>
      </c>
      <c r="S549" s="33" t="n">
        <f aca="false">IF(COUNTIF('[1]Plate_1-2_LongFormat'!$A$2:$A$193,G549)&gt;0,1,0)</f>
        <v>0</v>
      </c>
      <c r="T549" s="33" t="n">
        <f aca="false">IF(COUNTIF([2]Attached_indexes!$C$2:$C$193,G549)&gt;0,1,0)</f>
        <v>0</v>
      </c>
      <c r="U549" s="59"/>
      <c r="V549" s="1" t="s">
        <v>982</v>
      </c>
    </row>
    <row r="550" customFormat="false" ht="15.75" hidden="false" customHeight="true" outlineLevel="0" collapsed="false">
      <c r="A550" s="18" t="s">
        <v>790</v>
      </c>
      <c r="B550" s="18" t="s">
        <v>790</v>
      </c>
      <c r="C550" s="18" t="s">
        <v>40</v>
      </c>
      <c r="E550" s="66" t="n">
        <v>7</v>
      </c>
      <c r="F550" s="21" t="str">
        <f aca="false">CONCATENATE(B550,"_",C550, TEXT(E550, "000"))</f>
        <v>LMZZ_M. guttatus007</v>
      </c>
      <c r="G550" s="21" t="s">
        <v>219</v>
      </c>
      <c r="H550" s="18" t="n">
        <v>1</v>
      </c>
      <c r="I550" s="22" t="n">
        <v>44371</v>
      </c>
      <c r="J550" s="2" t="s">
        <v>981</v>
      </c>
      <c r="L550" s="2" t="n">
        <v>1</v>
      </c>
      <c r="M550" s="2" t="n">
        <v>1</v>
      </c>
      <c r="N550" s="3" t="n">
        <v>45053</v>
      </c>
      <c r="O550" s="2" t="n">
        <v>20.1</v>
      </c>
      <c r="P550" s="2" t="n">
        <v>3</v>
      </c>
      <c r="Q550" s="62" t="str">
        <f aca="false">IF(ISBLANK(N550),"",IF(N550&lt;DATE(2023,5,1),"OLD","NEW"))</f>
        <v>NEW</v>
      </c>
      <c r="S550" s="33" t="n">
        <f aca="false">IF(COUNTIF('[1]Plate_1-2_LongFormat'!$A$2:$A$193,G550)&gt;0,1,0)</f>
        <v>0</v>
      </c>
      <c r="T550" s="33" t="n">
        <f aca="false">IF(COUNTIF([2]Attached_indexes!$C$2:$C$193,G550)&gt;0,1,0)</f>
        <v>0</v>
      </c>
      <c r="U550" s="59"/>
      <c r="V550" s="1" t="s">
        <v>982</v>
      </c>
    </row>
    <row r="551" customFormat="false" ht="15.75" hidden="false" customHeight="true" outlineLevel="0" collapsed="false">
      <c r="A551" s="18" t="s">
        <v>790</v>
      </c>
      <c r="B551" s="18" t="s">
        <v>790</v>
      </c>
      <c r="C551" s="18" t="s">
        <v>40</v>
      </c>
      <c r="E551" s="66" t="n">
        <v>8</v>
      </c>
      <c r="F551" s="21" t="str">
        <f aca="false">CONCATENATE(B551,"_",C551, TEXT(E551, "000"))</f>
        <v>LMZZ_M. guttatus008</v>
      </c>
      <c r="G551" s="21" t="s">
        <v>222</v>
      </c>
      <c r="H551" s="18" t="n">
        <v>1</v>
      </c>
      <c r="I551" s="22" t="n">
        <v>44371</v>
      </c>
      <c r="J551" s="2" t="s">
        <v>981</v>
      </c>
      <c r="K551" s="61"/>
      <c r="L551" s="2" t="n">
        <v>1</v>
      </c>
      <c r="M551" s="2" t="n">
        <v>1</v>
      </c>
      <c r="N551" s="3" t="n">
        <v>44999</v>
      </c>
      <c r="O551" s="2" t="n">
        <v>10.1</v>
      </c>
      <c r="P551" s="2" t="n">
        <v>3</v>
      </c>
      <c r="Q551" s="62" t="str">
        <f aca="false">IF(ISBLANK(N551),"",IF(N551&lt;DATE(2023,5,1),"OLD","NEW"))</f>
        <v>OLD</v>
      </c>
      <c r="S551" s="33" t="n">
        <f aca="false">IF(COUNTIF('[1]Plate_1-2_LongFormat'!$A$2:$A$193,G551)&gt;0,1,0)</f>
        <v>1</v>
      </c>
      <c r="T551" s="33" t="n">
        <f aca="false">IF(COUNTIF([2]Attached_indexes!$C$2:$C$193,G551)&gt;0,1,0)</f>
        <v>1</v>
      </c>
      <c r="U551" s="59"/>
      <c r="V551" s="1" t="s">
        <v>982</v>
      </c>
    </row>
    <row r="552" customFormat="false" ht="15.75" hidden="false" customHeight="true" outlineLevel="0" collapsed="false">
      <c r="A552" s="18" t="s">
        <v>790</v>
      </c>
      <c r="B552" s="18" t="s">
        <v>790</v>
      </c>
      <c r="C552" s="18" t="s">
        <v>40</v>
      </c>
      <c r="E552" s="66" t="n">
        <v>8</v>
      </c>
      <c r="F552" s="21" t="str">
        <f aca="false">CONCATENATE(B552,"_",C552, TEXT(E552, "000"))</f>
        <v>LMZZ_M. guttatus008</v>
      </c>
      <c r="G552" s="21" t="s">
        <v>222</v>
      </c>
      <c r="H552" s="18" t="n">
        <v>1</v>
      </c>
      <c r="I552" s="22" t="n">
        <v>44371</v>
      </c>
      <c r="J552" s="2" t="s">
        <v>981</v>
      </c>
      <c r="K552" s="61"/>
      <c r="L552" s="2" t="n">
        <v>1</v>
      </c>
      <c r="M552" s="2" t="n">
        <v>1</v>
      </c>
      <c r="N552" s="3" t="n">
        <v>44999</v>
      </c>
      <c r="O552" s="2" t="n">
        <v>10.1</v>
      </c>
      <c r="P552" s="2" t="n">
        <v>3</v>
      </c>
      <c r="Q552" s="62" t="str">
        <f aca="false">IF(ISBLANK(N552),"",IF(N552&lt;DATE(2023,5,1),"OLD","NEW"))</f>
        <v>OLD</v>
      </c>
      <c r="S552" s="33" t="n">
        <f aca="false">IF(COUNTIF('[1]Plate_1-2_LongFormat'!$A$2:$A$193,G552)&gt;0,1,0)</f>
        <v>1</v>
      </c>
      <c r="T552" s="33" t="n">
        <f aca="false">IF(COUNTIF([2]Attached_indexes!$C$2:$C$193,G552)&gt;0,1,0)</f>
        <v>1</v>
      </c>
      <c r="U552" s="59"/>
      <c r="V552" s="1" t="s">
        <v>982</v>
      </c>
    </row>
    <row r="553" customFormat="false" ht="15.75" hidden="false" customHeight="true" outlineLevel="0" collapsed="false">
      <c r="A553" s="18" t="s">
        <v>790</v>
      </c>
      <c r="B553" s="18" t="s">
        <v>790</v>
      </c>
      <c r="C553" s="18" t="s">
        <v>40</v>
      </c>
      <c r="E553" s="66" t="n">
        <v>8</v>
      </c>
      <c r="F553" s="21" t="str">
        <f aca="false">CONCATENATE(B553,"_",C553, TEXT(E553, "000"))</f>
        <v>LMZZ_M. guttatus008</v>
      </c>
      <c r="G553" s="21" t="s">
        <v>222</v>
      </c>
      <c r="H553" s="18" t="n">
        <v>1</v>
      </c>
      <c r="I553" s="22" t="n">
        <v>44371</v>
      </c>
      <c r="J553" s="2" t="s">
        <v>981</v>
      </c>
      <c r="K553" s="61"/>
      <c r="L553" s="2" t="n">
        <v>1</v>
      </c>
      <c r="M553" s="2" t="n">
        <v>1</v>
      </c>
      <c r="N553" s="3" t="n">
        <v>44999</v>
      </c>
      <c r="O553" s="2" t="n">
        <v>10.1</v>
      </c>
      <c r="P553" s="2" t="n">
        <v>3</v>
      </c>
      <c r="Q553" s="62" t="str">
        <f aca="false">IF(ISBLANK(N553),"",IF(N553&lt;DATE(2023,5,1),"OLD","NEW"))</f>
        <v>OLD</v>
      </c>
      <c r="S553" s="33" t="n">
        <f aca="false">IF(COUNTIF('[1]Plate_1-2_LongFormat'!$A$2:$A$193,G553)&gt;0,1,0)</f>
        <v>1</v>
      </c>
      <c r="T553" s="33" t="n">
        <f aca="false">IF(COUNTIF([2]Attached_indexes!$C$2:$C$193,G553)&gt;0,1,0)</f>
        <v>1</v>
      </c>
      <c r="U553" s="59"/>
      <c r="V553" s="1" t="s">
        <v>982</v>
      </c>
    </row>
    <row r="554" customFormat="false" ht="15.75" hidden="false" customHeight="true" outlineLevel="0" collapsed="false">
      <c r="A554" s="18" t="s">
        <v>790</v>
      </c>
      <c r="B554" s="18" t="s">
        <v>790</v>
      </c>
      <c r="C554" s="18" t="s">
        <v>40</v>
      </c>
      <c r="E554" s="66" t="n">
        <v>9</v>
      </c>
      <c r="F554" s="21" t="str">
        <f aca="false">CONCATENATE(B554,"_",C554, TEXT(E554, "000"))</f>
        <v>LMZZ_M. guttatus009</v>
      </c>
      <c r="G554" s="21" t="s">
        <v>224</v>
      </c>
      <c r="H554" s="18" t="n">
        <v>1</v>
      </c>
      <c r="I554" s="22" t="n">
        <v>44371</v>
      </c>
      <c r="J554" s="2" t="s">
        <v>981</v>
      </c>
      <c r="K554" s="61"/>
      <c r="L554" s="2" t="n">
        <v>1</v>
      </c>
      <c r="M554" s="2" t="n">
        <v>1</v>
      </c>
      <c r="N554" s="3" t="n">
        <v>45053</v>
      </c>
      <c r="O554" s="2" t="n">
        <v>19.7</v>
      </c>
      <c r="P554" s="2" t="n">
        <v>3</v>
      </c>
      <c r="Q554" s="62" t="str">
        <f aca="false">IF(ISBLANK(N554),"",IF(N554&lt;DATE(2023,5,1),"OLD","NEW"))</f>
        <v>NEW</v>
      </c>
      <c r="S554" s="33" t="n">
        <f aca="false">IF(COUNTIF('[1]Plate_1-2_LongFormat'!$A$2:$A$193,G554)&gt;0,1,0)</f>
        <v>0</v>
      </c>
      <c r="T554" s="33" t="n">
        <f aca="false">IF(COUNTIF([2]Attached_indexes!$C$2:$C$193,G554)&gt;0,1,0)</f>
        <v>0</v>
      </c>
      <c r="U554" s="59"/>
      <c r="V554" s="1" t="s">
        <v>982</v>
      </c>
    </row>
    <row r="555" customFormat="false" ht="15.75" hidden="false" customHeight="true" outlineLevel="0" collapsed="false">
      <c r="A555" s="18" t="s">
        <v>790</v>
      </c>
      <c r="B555" s="18" t="s">
        <v>790</v>
      </c>
      <c r="C555" s="18" t="s">
        <v>40</v>
      </c>
      <c r="E555" s="66" t="n">
        <v>9</v>
      </c>
      <c r="F555" s="21" t="str">
        <f aca="false">CONCATENATE(B555,"_",C555, TEXT(E555, "000"))</f>
        <v>LMZZ_M. guttatus009</v>
      </c>
      <c r="G555" s="21" t="s">
        <v>224</v>
      </c>
      <c r="H555" s="18" t="n">
        <v>1</v>
      </c>
      <c r="I555" s="22" t="n">
        <v>44371</v>
      </c>
      <c r="J555" s="2" t="s">
        <v>981</v>
      </c>
      <c r="K555" s="61"/>
      <c r="L555" s="2" t="n">
        <v>1</v>
      </c>
      <c r="M555" s="2" t="n">
        <v>1</v>
      </c>
      <c r="N555" s="3" t="n">
        <v>45053</v>
      </c>
      <c r="O555" s="2" t="n">
        <v>19.7</v>
      </c>
      <c r="P555" s="2" t="n">
        <v>3</v>
      </c>
      <c r="Q555" s="62" t="str">
        <f aca="false">IF(ISBLANK(N555),"",IF(N555&lt;DATE(2023,5,1),"OLD","NEW"))</f>
        <v>NEW</v>
      </c>
      <c r="S555" s="33" t="n">
        <f aca="false">IF(COUNTIF('[1]Plate_1-2_LongFormat'!$A$2:$A$193,G555)&gt;0,1,0)</f>
        <v>0</v>
      </c>
      <c r="T555" s="33" t="n">
        <f aca="false">IF(COUNTIF([2]Attached_indexes!$C$2:$C$193,G555)&gt;0,1,0)</f>
        <v>0</v>
      </c>
      <c r="U555" s="59"/>
      <c r="V555" s="1" t="s">
        <v>982</v>
      </c>
    </row>
    <row r="556" customFormat="false" ht="15.75" hidden="false" customHeight="true" outlineLevel="0" collapsed="false">
      <c r="A556" s="18" t="s">
        <v>790</v>
      </c>
      <c r="B556" s="18" t="s">
        <v>790</v>
      </c>
      <c r="C556" s="18" t="s">
        <v>40</v>
      </c>
      <c r="E556" s="66" t="n">
        <v>9</v>
      </c>
      <c r="F556" s="21" t="str">
        <f aca="false">CONCATENATE(B556,"_",C556, TEXT(E556, "000"))</f>
        <v>LMZZ_M. guttatus009</v>
      </c>
      <c r="G556" s="21" t="s">
        <v>224</v>
      </c>
      <c r="H556" s="18" t="n">
        <v>1</v>
      </c>
      <c r="I556" s="22" t="n">
        <v>44371</v>
      </c>
      <c r="J556" s="2" t="s">
        <v>981</v>
      </c>
      <c r="K556" s="61"/>
      <c r="L556" s="2" t="n">
        <v>1</v>
      </c>
      <c r="M556" s="2" t="n">
        <v>1</v>
      </c>
      <c r="N556" s="3" t="n">
        <v>45053</v>
      </c>
      <c r="O556" s="2" t="n">
        <v>19.7</v>
      </c>
      <c r="P556" s="2" t="n">
        <v>3</v>
      </c>
      <c r="Q556" s="62" t="str">
        <f aca="false">IF(ISBLANK(N556),"",IF(N556&lt;DATE(2023,5,1),"OLD","NEW"))</f>
        <v>NEW</v>
      </c>
      <c r="S556" s="33" t="n">
        <f aca="false">IF(COUNTIF('[1]Plate_1-2_LongFormat'!$A$2:$A$193,G556)&gt;0,1,0)</f>
        <v>0</v>
      </c>
      <c r="T556" s="33" t="n">
        <f aca="false">IF(COUNTIF([2]Attached_indexes!$C$2:$C$193,G556)&gt;0,1,0)</f>
        <v>0</v>
      </c>
      <c r="U556" s="59"/>
      <c r="V556" s="1" t="s">
        <v>982</v>
      </c>
    </row>
    <row r="557" customFormat="false" ht="15.75" hidden="false" customHeight="true" outlineLevel="0" collapsed="false">
      <c r="A557" s="18" t="s">
        <v>133</v>
      </c>
      <c r="B557" s="18" t="s">
        <v>133</v>
      </c>
      <c r="C557" s="18" t="s">
        <v>40</v>
      </c>
      <c r="E557" s="66" t="n">
        <v>1</v>
      </c>
      <c r="F557" s="21" t="str">
        <f aca="false">CONCATENATE(B557,"_",C557, TEXT(E557, "000"))</f>
        <v>LYFB_M. guttatus001</v>
      </c>
      <c r="G557" s="21" t="s">
        <v>135</v>
      </c>
      <c r="H557" s="18" t="n">
        <v>1</v>
      </c>
      <c r="I557" s="22" t="n">
        <v>44323</v>
      </c>
      <c r="J557" s="2" t="s">
        <v>981</v>
      </c>
      <c r="K557" s="75" t="s">
        <v>1025</v>
      </c>
      <c r="L557" s="2" t="n">
        <v>1</v>
      </c>
      <c r="M557" s="2" t="n">
        <v>1</v>
      </c>
      <c r="N557" s="3" t="n">
        <v>45076</v>
      </c>
      <c r="O557" s="2" t="n">
        <v>34.1</v>
      </c>
      <c r="P557" s="2" t="n">
        <v>4</v>
      </c>
      <c r="Q557" s="62" t="str">
        <f aca="false">IF(ISBLANK(N557),"",IF(N557&lt;DATE(2023,5,1),"OLD","NEW"))</f>
        <v>NEW</v>
      </c>
      <c r="S557" s="33" t="n">
        <f aca="false">IF(COUNTIF('[1]Plate_1-2_LongFormat'!$A$2:$A$193,G557)&gt;0,1,0)</f>
        <v>0</v>
      </c>
      <c r="T557" s="33" t="n">
        <f aca="false">IF(COUNTIF([2]Attached_indexes!$C$2:$C$193,G557)&gt;0,1,0)</f>
        <v>0</v>
      </c>
      <c r="U557" s="59"/>
      <c r="V557" s="1" t="s">
        <v>982</v>
      </c>
    </row>
    <row r="558" customFormat="false" ht="15.75" hidden="false" customHeight="true" outlineLevel="0" collapsed="false">
      <c r="A558" s="18" t="s">
        <v>133</v>
      </c>
      <c r="B558" s="18" t="s">
        <v>133</v>
      </c>
      <c r="C558" s="18" t="s">
        <v>40</v>
      </c>
      <c r="E558" s="66" t="n">
        <v>1</v>
      </c>
      <c r="F558" s="21" t="str">
        <f aca="false">CONCATENATE(B558,"_",C558, TEXT(E558, "000"))</f>
        <v>LYFB_M. guttatus001</v>
      </c>
      <c r="G558" s="21" t="s">
        <v>135</v>
      </c>
      <c r="H558" s="18" t="n">
        <v>1</v>
      </c>
      <c r="I558" s="22" t="n">
        <v>44323</v>
      </c>
      <c r="J558" s="2" t="s">
        <v>981</v>
      </c>
      <c r="K558" s="75" t="s">
        <v>1025</v>
      </c>
      <c r="L558" s="2" t="n">
        <v>1</v>
      </c>
      <c r="M558" s="2" t="n">
        <v>1</v>
      </c>
      <c r="N558" s="3" t="n">
        <v>45076</v>
      </c>
      <c r="O558" s="2" t="n">
        <v>34.1</v>
      </c>
      <c r="P558" s="2" t="n">
        <v>4</v>
      </c>
      <c r="Q558" s="62" t="str">
        <f aca="false">IF(ISBLANK(N558),"",IF(N558&lt;DATE(2023,5,1),"OLD","NEW"))</f>
        <v>NEW</v>
      </c>
      <c r="S558" s="33" t="n">
        <f aca="false">IF(COUNTIF('[1]Plate_1-2_LongFormat'!$A$2:$A$193,G558)&gt;0,1,0)</f>
        <v>0</v>
      </c>
      <c r="T558" s="33" t="n">
        <f aca="false">IF(COUNTIF([2]Attached_indexes!$C$2:$C$193,G558)&gt;0,1,0)</f>
        <v>0</v>
      </c>
      <c r="U558" s="59"/>
      <c r="V558" s="1" t="s">
        <v>982</v>
      </c>
    </row>
    <row r="559" customFormat="false" ht="15.75" hidden="false" customHeight="true" outlineLevel="0" collapsed="false">
      <c r="A559" s="18" t="s">
        <v>133</v>
      </c>
      <c r="B559" s="18" t="s">
        <v>133</v>
      </c>
      <c r="C559" s="18" t="s">
        <v>40</v>
      </c>
      <c r="E559" s="66" t="n">
        <v>1</v>
      </c>
      <c r="F559" s="21" t="str">
        <f aca="false">CONCATENATE(B559,"_",C559, TEXT(E559, "000"))</f>
        <v>LYFB_M. guttatus001</v>
      </c>
      <c r="G559" s="21" t="s">
        <v>135</v>
      </c>
      <c r="H559" s="18" t="n">
        <v>1</v>
      </c>
      <c r="I559" s="22" t="n">
        <v>44323</v>
      </c>
      <c r="J559" s="2" t="s">
        <v>981</v>
      </c>
      <c r="K559" s="75" t="s">
        <v>1025</v>
      </c>
      <c r="L559" s="2" t="n">
        <v>1</v>
      </c>
      <c r="M559" s="2" t="n">
        <v>1</v>
      </c>
      <c r="N559" s="3" t="n">
        <v>45076</v>
      </c>
      <c r="O559" s="2" t="n">
        <v>34.1</v>
      </c>
      <c r="P559" s="2" t="n">
        <v>4</v>
      </c>
      <c r="Q559" s="62" t="str">
        <f aca="false">IF(ISBLANK(N559),"",IF(N559&lt;DATE(2023,5,1),"OLD","NEW"))</f>
        <v>NEW</v>
      </c>
      <c r="S559" s="33" t="n">
        <f aca="false">IF(COUNTIF('[1]Plate_1-2_LongFormat'!$A$2:$A$193,G559)&gt;0,1,0)</f>
        <v>0</v>
      </c>
      <c r="T559" s="33" t="n">
        <f aca="false">IF(COUNTIF([2]Attached_indexes!$C$2:$C$193,G559)&gt;0,1,0)</f>
        <v>0</v>
      </c>
      <c r="U559" s="59"/>
      <c r="V559" s="1" t="s">
        <v>982</v>
      </c>
    </row>
    <row r="560" customFormat="false" ht="15.75" hidden="false" customHeight="true" outlineLevel="0" collapsed="false">
      <c r="A560" s="18" t="s">
        <v>133</v>
      </c>
      <c r="B560" s="18" t="s">
        <v>133</v>
      </c>
      <c r="C560" s="18" t="s">
        <v>40</v>
      </c>
      <c r="E560" s="66" t="n">
        <v>2</v>
      </c>
      <c r="F560" s="21" t="str">
        <f aca="false">CONCATENATE(B560,"_",C560, TEXT(E560, "000"))</f>
        <v>LYFB_M. guttatus002</v>
      </c>
      <c r="G560" s="21" t="s">
        <v>139</v>
      </c>
      <c r="H560" s="18" t="n">
        <v>1</v>
      </c>
      <c r="I560" s="22" t="n">
        <v>44323</v>
      </c>
      <c r="J560" s="2" t="s">
        <v>981</v>
      </c>
      <c r="K560" s="75" t="s">
        <v>1025</v>
      </c>
      <c r="L560" s="2" t="n">
        <v>1</v>
      </c>
      <c r="M560" s="2" t="n">
        <v>1</v>
      </c>
      <c r="N560" s="3" t="n">
        <v>45076</v>
      </c>
      <c r="O560" s="2" t="n">
        <v>1.78</v>
      </c>
      <c r="P560" s="2" t="n">
        <v>4</v>
      </c>
      <c r="Q560" s="62" t="str">
        <f aca="false">IF(ISBLANK(N560),"",IF(N560&lt;DATE(2023,5,1),"OLD","NEW"))</f>
        <v>NEW</v>
      </c>
      <c r="S560" s="33" t="n">
        <f aca="false">IF(COUNTIF('[1]Plate_1-2_LongFormat'!$A$2:$A$193,G560)&gt;0,1,0)</f>
        <v>0</v>
      </c>
      <c r="T560" s="33" t="n">
        <f aca="false">IF(COUNTIF([2]Attached_indexes!$C$2:$C$193,G560)&gt;0,1,0)</f>
        <v>0</v>
      </c>
      <c r="U560" s="59"/>
      <c r="V560" s="1" t="s">
        <v>982</v>
      </c>
    </row>
    <row r="561" customFormat="false" ht="15.75" hidden="false" customHeight="true" outlineLevel="0" collapsed="false">
      <c r="A561" s="18" t="s">
        <v>133</v>
      </c>
      <c r="B561" s="18" t="s">
        <v>133</v>
      </c>
      <c r="C561" s="18" t="s">
        <v>40</v>
      </c>
      <c r="E561" s="66" t="n">
        <v>2</v>
      </c>
      <c r="F561" s="21" t="str">
        <f aca="false">CONCATENATE(B561,"_",C561, TEXT(E561, "000"))</f>
        <v>LYFB_M. guttatus002</v>
      </c>
      <c r="G561" s="21" t="s">
        <v>139</v>
      </c>
      <c r="H561" s="18" t="n">
        <v>1</v>
      </c>
      <c r="I561" s="22" t="n">
        <v>44323</v>
      </c>
      <c r="J561" s="2" t="s">
        <v>981</v>
      </c>
      <c r="K561" s="72" t="s">
        <v>1025</v>
      </c>
      <c r="L561" s="2" t="n">
        <v>1</v>
      </c>
      <c r="M561" s="2" t="n">
        <v>1</v>
      </c>
      <c r="N561" s="3" t="n">
        <v>45076</v>
      </c>
      <c r="O561" s="2" t="n">
        <v>1.78</v>
      </c>
      <c r="P561" s="2" t="n">
        <v>4</v>
      </c>
      <c r="Q561" s="62" t="str">
        <f aca="false">IF(ISBLANK(N561),"",IF(N561&lt;DATE(2023,5,1),"OLD","NEW"))</f>
        <v>NEW</v>
      </c>
      <c r="S561" s="33" t="n">
        <f aca="false">IF(COUNTIF('[1]Plate_1-2_LongFormat'!$A$2:$A$193,G561)&gt;0,1,0)</f>
        <v>0</v>
      </c>
      <c r="T561" s="33" t="n">
        <f aca="false">IF(COUNTIF([2]Attached_indexes!$C$2:$C$193,G561)&gt;0,1,0)</f>
        <v>0</v>
      </c>
      <c r="U561" s="59"/>
      <c r="V561" s="1" t="s">
        <v>982</v>
      </c>
    </row>
    <row r="562" customFormat="false" ht="15.75" hidden="false" customHeight="true" outlineLevel="0" collapsed="false">
      <c r="A562" s="18" t="s">
        <v>133</v>
      </c>
      <c r="B562" s="18" t="s">
        <v>133</v>
      </c>
      <c r="C562" s="18" t="s">
        <v>40</v>
      </c>
      <c r="E562" s="66" t="n">
        <v>2</v>
      </c>
      <c r="F562" s="21" t="str">
        <f aca="false">CONCATENATE(B562,"_",C562, TEXT(E562, "000"))</f>
        <v>LYFB_M. guttatus002</v>
      </c>
      <c r="G562" s="21" t="s">
        <v>139</v>
      </c>
      <c r="H562" s="18" t="n">
        <v>1</v>
      </c>
      <c r="I562" s="22" t="n">
        <v>44323</v>
      </c>
      <c r="J562" s="2" t="s">
        <v>981</v>
      </c>
      <c r="K562" s="72" t="s">
        <v>1025</v>
      </c>
      <c r="L562" s="2" t="n">
        <v>1</v>
      </c>
      <c r="M562" s="2" t="n">
        <v>1</v>
      </c>
      <c r="N562" s="3" t="n">
        <v>45076</v>
      </c>
      <c r="O562" s="2" t="n">
        <v>1.78</v>
      </c>
      <c r="P562" s="2" t="n">
        <v>4</v>
      </c>
      <c r="Q562" s="62" t="str">
        <f aca="false">IF(ISBLANK(N562),"",IF(N562&lt;DATE(2023,5,1),"OLD","NEW"))</f>
        <v>NEW</v>
      </c>
      <c r="S562" s="33" t="n">
        <f aca="false">IF(COUNTIF('[1]Plate_1-2_LongFormat'!$A$2:$A$193,G562)&gt;0,1,0)</f>
        <v>0</v>
      </c>
      <c r="T562" s="33" t="n">
        <f aca="false">IF(COUNTIF([2]Attached_indexes!$C$2:$C$193,G562)&gt;0,1,0)</f>
        <v>0</v>
      </c>
      <c r="U562" s="59"/>
      <c r="V562" s="1" t="s">
        <v>982</v>
      </c>
    </row>
    <row r="563" customFormat="false" ht="15.75" hidden="false" customHeight="true" outlineLevel="0" collapsed="false">
      <c r="A563" s="18" t="s">
        <v>133</v>
      </c>
      <c r="B563" s="18" t="s">
        <v>133</v>
      </c>
      <c r="C563" s="18" t="s">
        <v>40</v>
      </c>
      <c r="E563" s="66" t="n">
        <v>3</v>
      </c>
      <c r="F563" s="21" t="str">
        <f aca="false">CONCATENATE(B563,"_",C563, TEXT(E563, "000"))</f>
        <v>LYFB_M. guttatus003</v>
      </c>
      <c r="G563" s="21" t="s">
        <v>141</v>
      </c>
      <c r="H563" s="18" t="n">
        <v>1</v>
      </c>
      <c r="I563" s="22" t="n">
        <v>44323</v>
      </c>
      <c r="J563" s="2" t="s">
        <v>981</v>
      </c>
      <c r="K563" s="72" t="s">
        <v>1025</v>
      </c>
      <c r="L563" s="2" t="n">
        <v>1</v>
      </c>
      <c r="M563" s="2" t="n">
        <v>1</v>
      </c>
      <c r="N563" s="3" t="n">
        <v>45077</v>
      </c>
      <c r="O563" s="2" t="n">
        <v>4.91</v>
      </c>
      <c r="P563" s="2" t="n">
        <v>4</v>
      </c>
      <c r="Q563" s="62" t="str">
        <f aca="false">IF(ISBLANK(N563),"",IF(N563&lt;DATE(2023,5,1),"OLD","NEW"))</f>
        <v>NEW</v>
      </c>
      <c r="S563" s="33" t="n">
        <f aca="false">IF(COUNTIF('[1]Plate_1-2_LongFormat'!$A$2:$A$193,G563)&gt;0,1,0)</f>
        <v>0</v>
      </c>
      <c r="T563" s="33" t="n">
        <f aca="false">IF(COUNTIF([2]Attached_indexes!$C$2:$C$193,G563)&gt;0,1,0)</f>
        <v>0</v>
      </c>
      <c r="U563" s="59"/>
      <c r="V563" s="1" t="s">
        <v>982</v>
      </c>
    </row>
    <row r="564" customFormat="false" ht="15.75" hidden="false" customHeight="true" outlineLevel="0" collapsed="false">
      <c r="A564" s="18" t="s">
        <v>133</v>
      </c>
      <c r="B564" s="18" t="s">
        <v>133</v>
      </c>
      <c r="C564" s="18" t="s">
        <v>40</v>
      </c>
      <c r="E564" s="66" t="n">
        <v>3</v>
      </c>
      <c r="F564" s="21" t="str">
        <f aca="false">CONCATENATE(B564,"_",C564, TEXT(E564, "000"))</f>
        <v>LYFB_M. guttatus003</v>
      </c>
      <c r="G564" s="21" t="s">
        <v>141</v>
      </c>
      <c r="H564" s="18" t="n">
        <v>1</v>
      </c>
      <c r="I564" s="22" t="n">
        <v>44323</v>
      </c>
      <c r="J564" s="2" t="s">
        <v>981</v>
      </c>
      <c r="K564" s="72" t="s">
        <v>1025</v>
      </c>
      <c r="L564" s="2" t="n">
        <v>1</v>
      </c>
      <c r="M564" s="2" t="n">
        <v>1</v>
      </c>
      <c r="N564" s="3" t="n">
        <v>45077</v>
      </c>
      <c r="O564" s="2" t="n">
        <v>4.91</v>
      </c>
      <c r="P564" s="2" t="n">
        <v>4</v>
      </c>
      <c r="Q564" s="62" t="str">
        <f aca="false">IF(ISBLANK(N564),"",IF(N564&lt;DATE(2023,5,1),"OLD","NEW"))</f>
        <v>NEW</v>
      </c>
      <c r="S564" s="33" t="n">
        <f aca="false">IF(COUNTIF('[1]Plate_1-2_LongFormat'!$A$2:$A$193,G564)&gt;0,1,0)</f>
        <v>0</v>
      </c>
      <c r="T564" s="33" t="n">
        <f aca="false">IF(COUNTIF([2]Attached_indexes!$C$2:$C$193,G564)&gt;0,1,0)</f>
        <v>0</v>
      </c>
      <c r="U564" s="59"/>
      <c r="V564" s="1" t="s">
        <v>982</v>
      </c>
    </row>
    <row r="565" customFormat="false" ht="15.75" hidden="false" customHeight="true" outlineLevel="0" collapsed="false">
      <c r="A565" s="18" t="s">
        <v>133</v>
      </c>
      <c r="B565" s="18" t="s">
        <v>133</v>
      </c>
      <c r="C565" s="18" t="s">
        <v>40</v>
      </c>
      <c r="E565" s="66" t="n">
        <v>3</v>
      </c>
      <c r="F565" s="21" t="str">
        <f aca="false">CONCATENATE(B565,"_",C565, TEXT(E565, "000"))</f>
        <v>LYFB_M. guttatus003</v>
      </c>
      <c r="G565" s="21" t="s">
        <v>141</v>
      </c>
      <c r="H565" s="18" t="n">
        <v>1</v>
      </c>
      <c r="I565" s="22" t="n">
        <v>44323</v>
      </c>
      <c r="J565" s="2" t="s">
        <v>981</v>
      </c>
      <c r="K565" s="72" t="s">
        <v>1025</v>
      </c>
      <c r="L565" s="2" t="n">
        <v>1</v>
      </c>
      <c r="M565" s="2" t="n">
        <v>1</v>
      </c>
      <c r="N565" s="3" t="n">
        <v>45077</v>
      </c>
      <c r="O565" s="2" t="n">
        <v>4.91</v>
      </c>
      <c r="P565" s="2" t="n">
        <v>4</v>
      </c>
      <c r="Q565" s="62" t="str">
        <f aca="false">IF(ISBLANK(N565),"",IF(N565&lt;DATE(2023,5,1),"OLD","NEW"))</f>
        <v>NEW</v>
      </c>
      <c r="S565" s="33" t="n">
        <f aca="false">IF(COUNTIF('[1]Plate_1-2_LongFormat'!$A$2:$A$193,G565)&gt;0,1,0)</f>
        <v>0</v>
      </c>
      <c r="T565" s="33" t="n">
        <f aca="false">IF(COUNTIF([2]Attached_indexes!$C$2:$C$193,G565)&gt;0,1,0)</f>
        <v>0</v>
      </c>
      <c r="U565" s="59"/>
      <c r="V565" s="1" t="s">
        <v>982</v>
      </c>
    </row>
    <row r="566" customFormat="false" ht="15.75" hidden="false" customHeight="true" outlineLevel="0" collapsed="false">
      <c r="A566" s="18" t="s">
        <v>133</v>
      </c>
      <c r="B566" s="18" t="s">
        <v>133</v>
      </c>
      <c r="C566" s="18" t="s">
        <v>40</v>
      </c>
      <c r="E566" s="66" t="n">
        <v>4</v>
      </c>
      <c r="F566" s="21" t="str">
        <f aca="false">CONCATENATE(B566,"_",C566, TEXT(E566, "000"))</f>
        <v>LYFB_M. guttatus004</v>
      </c>
      <c r="G566" s="21" t="s">
        <v>143</v>
      </c>
      <c r="H566" s="18" t="n">
        <v>1</v>
      </c>
      <c r="I566" s="22" t="n">
        <v>44323</v>
      </c>
      <c r="J566" s="2" t="s">
        <v>981</v>
      </c>
      <c r="K566" s="72" t="s">
        <v>1025</v>
      </c>
      <c r="L566" s="2" t="n">
        <v>1</v>
      </c>
      <c r="M566" s="2" t="n">
        <v>1</v>
      </c>
      <c r="N566" s="3" t="n">
        <v>45077</v>
      </c>
      <c r="O566" s="2" t="n">
        <v>16</v>
      </c>
      <c r="P566" s="2" t="n">
        <v>4</v>
      </c>
      <c r="Q566" s="62" t="str">
        <f aca="false">IF(ISBLANK(N566),"",IF(N566&lt;DATE(2023,5,1),"OLD","NEW"))</f>
        <v>NEW</v>
      </c>
      <c r="S566" s="33" t="n">
        <f aca="false">IF(COUNTIF('[1]Plate_1-2_LongFormat'!$A$2:$A$193,G566)&gt;0,1,0)</f>
        <v>0</v>
      </c>
      <c r="T566" s="33" t="n">
        <f aca="false">IF(COUNTIF([2]Attached_indexes!$C$2:$C$193,G566)&gt;0,1,0)</f>
        <v>0</v>
      </c>
      <c r="U566" s="59"/>
      <c r="V566" s="1" t="s">
        <v>982</v>
      </c>
    </row>
    <row r="567" customFormat="false" ht="15.75" hidden="false" customHeight="true" outlineLevel="0" collapsed="false">
      <c r="A567" s="18" t="s">
        <v>133</v>
      </c>
      <c r="B567" s="18" t="s">
        <v>133</v>
      </c>
      <c r="C567" s="18" t="s">
        <v>40</v>
      </c>
      <c r="E567" s="66" t="n">
        <v>4</v>
      </c>
      <c r="F567" s="21" t="str">
        <f aca="false">CONCATENATE(B567,"_",C567, TEXT(E567, "000"))</f>
        <v>LYFB_M. guttatus004</v>
      </c>
      <c r="G567" s="21" t="s">
        <v>143</v>
      </c>
      <c r="H567" s="18" t="n">
        <v>1</v>
      </c>
      <c r="I567" s="22" t="n">
        <v>44323</v>
      </c>
      <c r="J567" s="2" t="s">
        <v>981</v>
      </c>
      <c r="K567" s="72" t="s">
        <v>1025</v>
      </c>
      <c r="L567" s="2" t="n">
        <v>1</v>
      </c>
      <c r="M567" s="2" t="n">
        <v>1</v>
      </c>
      <c r="N567" s="3" t="n">
        <v>45077</v>
      </c>
      <c r="O567" s="2" t="n">
        <v>16</v>
      </c>
      <c r="P567" s="2" t="n">
        <v>4</v>
      </c>
      <c r="Q567" s="62" t="str">
        <f aca="false">IF(ISBLANK(N567),"",IF(N567&lt;DATE(2023,5,1),"OLD","NEW"))</f>
        <v>NEW</v>
      </c>
      <c r="S567" s="33" t="n">
        <f aca="false">IF(COUNTIF('[1]Plate_1-2_LongFormat'!$A$2:$A$193,G567)&gt;0,1,0)</f>
        <v>0</v>
      </c>
      <c r="T567" s="33" t="n">
        <f aca="false">IF(COUNTIF([2]Attached_indexes!$C$2:$C$193,G567)&gt;0,1,0)</f>
        <v>0</v>
      </c>
      <c r="U567" s="59"/>
      <c r="V567" s="1" t="s">
        <v>982</v>
      </c>
    </row>
    <row r="568" customFormat="false" ht="15.75" hidden="false" customHeight="true" outlineLevel="0" collapsed="false">
      <c r="A568" s="18" t="s">
        <v>133</v>
      </c>
      <c r="B568" s="18" t="s">
        <v>133</v>
      </c>
      <c r="C568" s="18" t="s">
        <v>40</v>
      </c>
      <c r="E568" s="66" t="n">
        <v>4</v>
      </c>
      <c r="F568" s="21" t="str">
        <f aca="false">CONCATENATE(B568,"_",C568, TEXT(E568, "000"))</f>
        <v>LYFB_M. guttatus004</v>
      </c>
      <c r="G568" s="21" t="s">
        <v>143</v>
      </c>
      <c r="H568" s="18" t="n">
        <v>1</v>
      </c>
      <c r="I568" s="22" t="n">
        <v>44323</v>
      </c>
      <c r="J568" s="2" t="s">
        <v>981</v>
      </c>
      <c r="K568" s="72" t="s">
        <v>1025</v>
      </c>
      <c r="L568" s="2" t="n">
        <v>1</v>
      </c>
      <c r="M568" s="2" t="n">
        <v>1</v>
      </c>
      <c r="N568" s="3" t="n">
        <v>45077</v>
      </c>
      <c r="O568" s="2" t="n">
        <v>16</v>
      </c>
      <c r="P568" s="2" t="n">
        <v>4</v>
      </c>
      <c r="Q568" s="62" t="str">
        <f aca="false">IF(ISBLANK(N568),"",IF(N568&lt;DATE(2023,5,1),"OLD","NEW"))</f>
        <v>NEW</v>
      </c>
      <c r="S568" s="33" t="n">
        <f aca="false">IF(COUNTIF('[1]Plate_1-2_LongFormat'!$A$2:$A$193,G568)&gt;0,1,0)</f>
        <v>0</v>
      </c>
      <c r="T568" s="33" t="n">
        <f aca="false">IF(COUNTIF([2]Attached_indexes!$C$2:$C$193,G568)&gt;0,1,0)</f>
        <v>0</v>
      </c>
      <c r="U568" s="59"/>
      <c r="V568" s="1" t="s">
        <v>982</v>
      </c>
    </row>
    <row r="569" customFormat="false" ht="15.75" hidden="false" customHeight="true" outlineLevel="0" collapsed="false">
      <c r="A569" s="18" t="s">
        <v>133</v>
      </c>
      <c r="B569" s="18" t="s">
        <v>133</v>
      </c>
      <c r="C569" s="18" t="s">
        <v>40</v>
      </c>
      <c r="E569" s="66" t="n">
        <v>5</v>
      </c>
      <c r="F569" s="21" t="str">
        <f aca="false">CONCATENATE(B569,"_",C569, TEXT(E569, "000"))</f>
        <v>LYFB_M. guttatus005</v>
      </c>
      <c r="G569" s="21" t="s">
        <v>146</v>
      </c>
      <c r="H569" s="18" t="n">
        <v>1</v>
      </c>
      <c r="I569" s="22" t="n">
        <v>44323</v>
      </c>
      <c r="J569" s="2" t="s">
        <v>981</v>
      </c>
      <c r="K569" s="72" t="s">
        <v>1025</v>
      </c>
      <c r="L569" s="2" t="n">
        <v>1</v>
      </c>
      <c r="M569" s="2" t="n">
        <v>1</v>
      </c>
      <c r="N569" s="3" t="n">
        <v>45076</v>
      </c>
      <c r="O569" s="2" t="n">
        <v>5.96</v>
      </c>
      <c r="P569" s="2" t="n">
        <v>4</v>
      </c>
      <c r="Q569" s="62" t="str">
        <f aca="false">IF(ISBLANK(N569),"",IF(N569&lt;DATE(2023,5,1),"OLD","NEW"))</f>
        <v>NEW</v>
      </c>
      <c r="S569" s="33" t="n">
        <f aca="false">IF(COUNTIF('[1]Plate_1-2_LongFormat'!$A$2:$A$193,G569)&gt;0,1,0)</f>
        <v>0</v>
      </c>
      <c r="T569" s="33" t="n">
        <f aca="false">IF(COUNTIF([2]Attached_indexes!$C$2:$C$193,G569)&gt;0,1,0)</f>
        <v>0</v>
      </c>
      <c r="U569" s="59"/>
      <c r="V569" s="1" t="s">
        <v>982</v>
      </c>
    </row>
    <row r="570" customFormat="false" ht="15.75" hidden="false" customHeight="true" outlineLevel="0" collapsed="false">
      <c r="A570" s="18" t="s">
        <v>133</v>
      </c>
      <c r="B570" s="18" t="s">
        <v>133</v>
      </c>
      <c r="C570" s="18" t="s">
        <v>40</v>
      </c>
      <c r="E570" s="66" t="n">
        <v>5</v>
      </c>
      <c r="F570" s="21" t="str">
        <f aca="false">CONCATENATE(B570,"_",C570, TEXT(E570, "000"))</f>
        <v>LYFB_M. guttatus005</v>
      </c>
      <c r="G570" s="21" t="s">
        <v>146</v>
      </c>
      <c r="H570" s="18" t="n">
        <v>1</v>
      </c>
      <c r="I570" s="22" t="n">
        <v>44323</v>
      </c>
      <c r="J570" s="2" t="s">
        <v>981</v>
      </c>
      <c r="K570" s="72" t="s">
        <v>1025</v>
      </c>
      <c r="L570" s="2" t="n">
        <v>1</v>
      </c>
      <c r="M570" s="2" t="n">
        <v>1</v>
      </c>
      <c r="N570" s="3" t="n">
        <v>45076</v>
      </c>
      <c r="O570" s="2" t="n">
        <v>5.96</v>
      </c>
      <c r="P570" s="2" t="n">
        <v>4</v>
      </c>
      <c r="Q570" s="62" t="str">
        <f aca="false">IF(ISBLANK(N570),"",IF(N570&lt;DATE(2023,5,1),"OLD","NEW"))</f>
        <v>NEW</v>
      </c>
      <c r="S570" s="33" t="n">
        <f aca="false">IF(COUNTIF('[1]Plate_1-2_LongFormat'!$A$2:$A$193,G570)&gt;0,1,0)</f>
        <v>0</v>
      </c>
      <c r="T570" s="33" t="n">
        <f aca="false">IF(COUNTIF([2]Attached_indexes!$C$2:$C$193,G570)&gt;0,1,0)</f>
        <v>0</v>
      </c>
      <c r="U570" s="59"/>
      <c r="V570" s="1" t="s">
        <v>982</v>
      </c>
    </row>
    <row r="571" customFormat="false" ht="15.75" hidden="false" customHeight="true" outlineLevel="0" collapsed="false">
      <c r="A571" s="18" t="s">
        <v>133</v>
      </c>
      <c r="B571" s="18" t="s">
        <v>133</v>
      </c>
      <c r="C571" s="18" t="s">
        <v>40</v>
      </c>
      <c r="E571" s="66" t="n">
        <v>5</v>
      </c>
      <c r="F571" s="21" t="str">
        <f aca="false">CONCATENATE(B571,"_",C571, TEXT(E571, "000"))</f>
        <v>LYFB_M. guttatus005</v>
      </c>
      <c r="G571" s="21" t="s">
        <v>146</v>
      </c>
      <c r="H571" s="18" t="n">
        <v>1</v>
      </c>
      <c r="I571" s="22" t="n">
        <v>44323</v>
      </c>
      <c r="J571" s="2" t="s">
        <v>981</v>
      </c>
      <c r="K571" s="72" t="s">
        <v>1025</v>
      </c>
      <c r="L571" s="2" t="n">
        <v>1</v>
      </c>
      <c r="M571" s="2" t="n">
        <v>1</v>
      </c>
      <c r="N571" s="3" t="n">
        <v>45076</v>
      </c>
      <c r="O571" s="2" t="n">
        <v>5.96</v>
      </c>
      <c r="P571" s="2" t="n">
        <v>4</v>
      </c>
      <c r="Q571" s="62" t="str">
        <f aca="false">IF(ISBLANK(N571),"",IF(N571&lt;DATE(2023,5,1),"OLD","NEW"))</f>
        <v>NEW</v>
      </c>
      <c r="S571" s="33" t="n">
        <f aca="false">IF(COUNTIF('[1]Plate_1-2_LongFormat'!$A$2:$A$193,G571)&gt;0,1,0)</f>
        <v>0</v>
      </c>
      <c r="T571" s="33" t="n">
        <f aca="false">IF(COUNTIF([2]Attached_indexes!$C$2:$C$193,G571)&gt;0,1,0)</f>
        <v>0</v>
      </c>
      <c r="U571" s="59"/>
      <c r="V571" s="1" t="s">
        <v>982</v>
      </c>
    </row>
    <row r="572" customFormat="false" ht="15.75" hidden="false" customHeight="true" outlineLevel="0" collapsed="false">
      <c r="A572" s="18" t="s">
        <v>449</v>
      </c>
      <c r="B572" s="18" t="s">
        <v>449</v>
      </c>
      <c r="C572" s="18" t="s">
        <v>31</v>
      </c>
      <c r="E572" s="66" t="n">
        <v>1</v>
      </c>
      <c r="F572" s="21" t="str">
        <f aca="false">CONCATENATE(B572,"_",C572, TEXT(E572, "000"))</f>
        <v>NFWB_M. laciniatus001</v>
      </c>
      <c r="G572" s="21" t="s">
        <v>450</v>
      </c>
      <c r="H572" s="18" t="n">
        <v>1</v>
      </c>
      <c r="I572" s="22" t="n">
        <v>44693</v>
      </c>
      <c r="J572" s="2" t="s">
        <v>981</v>
      </c>
      <c r="L572" s="2" t="n">
        <v>1</v>
      </c>
      <c r="M572" s="2" t="n">
        <v>1</v>
      </c>
      <c r="N572" s="3" t="n">
        <v>45058</v>
      </c>
      <c r="O572" s="2" t="n">
        <v>28.6</v>
      </c>
      <c r="P572" s="2" t="n">
        <v>3</v>
      </c>
      <c r="Q572" s="62" t="str">
        <f aca="false">IF(ISBLANK(N572),"",IF(N572&lt;DATE(2023,5,1),"OLD","NEW"))</f>
        <v>NEW</v>
      </c>
      <c r="S572" s="33" t="n">
        <f aca="false">IF(COUNTIF('[1]Plate_1-2_LongFormat'!$A$2:$A$193,G572)&gt;0,1,0)</f>
        <v>0</v>
      </c>
      <c r="T572" s="33" t="n">
        <f aca="false">IF(COUNTIF([2]Attached_indexes!$C$2:$C$193,G572)&gt;0,1,0)</f>
        <v>0</v>
      </c>
      <c r="U572" s="59"/>
      <c r="V572" s="1" t="s">
        <v>982</v>
      </c>
    </row>
    <row r="573" customFormat="false" ht="15.75" hidden="false" customHeight="true" outlineLevel="0" collapsed="false">
      <c r="A573" s="18" t="s">
        <v>449</v>
      </c>
      <c r="B573" s="18" t="s">
        <v>449</v>
      </c>
      <c r="C573" s="18" t="s">
        <v>31</v>
      </c>
      <c r="E573" s="66" t="n">
        <v>1</v>
      </c>
      <c r="F573" s="21" t="str">
        <f aca="false">CONCATENATE(B573,"_",C573, TEXT(E573, "000"))</f>
        <v>NFWB_M. laciniatus001</v>
      </c>
      <c r="G573" s="21" t="s">
        <v>450</v>
      </c>
      <c r="H573" s="18" t="n">
        <v>1</v>
      </c>
      <c r="I573" s="22" t="n">
        <v>44693</v>
      </c>
      <c r="J573" s="2" t="s">
        <v>981</v>
      </c>
      <c r="L573" s="2" t="n">
        <v>1</v>
      </c>
      <c r="M573" s="2" t="n">
        <v>1</v>
      </c>
      <c r="N573" s="3" t="n">
        <v>45058</v>
      </c>
      <c r="O573" s="2" t="n">
        <v>28.6</v>
      </c>
      <c r="P573" s="2" t="n">
        <v>3</v>
      </c>
      <c r="Q573" s="62" t="str">
        <f aca="false">IF(ISBLANK(N573),"",IF(N573&lt;DATE(2023,5,1),"OLD","NEW"))</f>
        <v>NEW</v>
      </c>
      <c r="S573" s="33" t="n">
        <f aca="false">IF(COUNTIF('[1]Plate_1-2_LongFormat'!$A$2:$A$193,G573)&gt;0,1,0)</f>
        <v>0</v>
      </c>
      <c r="T573" s="33" t="n">
        <f aca="false">IF(COUNTIF([2]Attached_indexes!$C$2:$C$193,G573)&gt;0,1,0)</f>
        <v>0</v>
      </c>
      <c r="U573" s="59"/>
      <c r="V573" s="1" t="s">
        <v>982</v>
      </c>
    </row>
    <row r="574" customFormat="false" ht="15.75" hidden="false" customHeight="true" outlineLevel="0" collapsed="false">
      <c r="A574" s="18" t="s">
        <v>449</v>
      </c>
      <c r="B574" s="18" t="s">
        <v>449</v>
      </c>
      <c r="C574" s="18" t="s">
        <v>31</v>
      </c>
      <c r="E574" s="66" t="n">
        <v>1</v>
      </c>
      <c r="F574" s="21" t="str">
        <f aca="false">CONCATENATE(B574,"_",C574, TEXT(E574, "000"))</f>
        <v>NFWB_M. laciniatus001</v>
      </c>
      <c r="G574" s="21" t="s">
        <v>450</v>
      </c>
      <c r="H574" s="18" t="n">
        <v>1</v>
      </c>
      <c r="I574" s="22" t="n">
        <v>44693</v>
      </c>
      <c r="J574" s="2" t="s">
        <v>981</v>
      </c>
      <c r="L574" s="2" t="n">
        <v>1</v>
      </c>
      <c r="M574" s="2" t="n">
        <v>1</v>
      </c>
      <c r="N574" s="3" t="n">
        <v>45058</v>
      </c>
      <c r="O574" s="2" t="n">
        <v>28.6</v>
      </c>
      <c r="P574" s="2" t="n">
        <v>3</v>
      </c>
      <c r="Q574" s="62" t="str">
        <f aca="false">IF(ISBLANK(N574),"",IF(N574&lt;DATE(2023,5,1),"OLD","NEW"))</f>
        <v>NEW</v>
      </c>
      <c r="S574" s="33" t="n">
        <f aca="false">IF(COUNTIF('[1]Plate_1-2_LongFormat'!$A$2:$A$193,G574)&gt;0,1,0)</f>
        <v>0</v>
      </c>
      <c r="T574" s="33" t="n">
        <f aca="false">IF(COUNTIF([2]Attached_indexes!$C$2:$C$193,G574)&gt;0,1,0)</f>
        <v>0</v>
      </c>
      <c r="U574" s="59"/>
      <c r="V574" s="1" t="s">
        <v>982</v>
      </c>
    </row>
    <row r="575" customFormat="false" ht="15.75" hidden="false" customHeight="true" outlineLevel="0" collapsed="false">
      <c r="A575" s="18" t="s">
        <v>449</v>
      </c>
      <c r="B575" s="18" t="s">
        <v>449</v>
      </c>
      <c r="C575" s="18" t="s">
        <v>31</v>
      </c>
      <c r="E575" s="66" t="n">
        <v>10</v>
      </c>
      <c r="F575" s="21" t="str">
        <f aca="false">CONCATENATE(B575,"_",C575, TEXT(E575, "000"))</f>
        <v>NFWB_M. laciniatus010</v>
      </c>
      <c r="G575" s="21" t="s">
        <v>469</v>
      </c>
      <c r="H575" s="18" t="n">
        <v>1</v>
      </c>
      <c r="I575" s="22" t="n">
        <v>44693</v>
      </c>
      <c r="J575" s="2" t="s">
        <v>981</v>
      </c>
      <c r="L575" s="2" t="n">
        <v>1</v>
      </c>
      <c r="M575" s="2" t="n">
        <v>1</v>
      </c>
      <c r="N575" s="3" t="n">
        <v>44914</v>
      </c>
      <c r="O575" s="2" t="n">
        <v>8.8</v>
      </c>
      <c r="P575" s="2" t="n">
        <v>2</v>
      </c>
      <c r="Q575" s="62" t="str">
        <f aca="false">IF(ISBLANK(N575),"",IF(N575&lt;DATE(2023,5,1),"OLD","NEW"))</f>
        <v>OLD</v>
      </c>
      <c r="S575" s="33" t="n">
        <f aca="false">IF(COUNTIF('[1]Plate_1-2_LongFormat'!$A$2:$A$193,G575)&gt;0,1,0)</f>
        <v>1</v>
      </c>
      <c r="T575" s="33" t="n">
        <f aca="false">IF(COUNTIF([2]Attached_indexes!$C$2:$C$193,G575)&gt;0,1,0)</f>
        <v>1</v>
      </c>
      <c r="U575" s="59"/>
      <c r="V575" s="1" t="s">
        <v>982</v>
      </c>
    </row>
    <row r="576" customFormat="false" ht="15.75" hidden="false" customHeight="true" outlineLevel="0" collapsed="false">
      <c r="A576" s="18" t="s">
        <v>449</v>
      </c>
      <c r="B576" s="18" t="s">
        <v>449</v>
      </c>
      <c r="C576" s="18" t="s">
        <v>31</v>
      </c>
      <c r="E576" s="66" t="n">
        <v>10</v>
      </c>
      <c r="F576" s="21" t="str">
        <f aca="false">CONCATENATE(B576,"_",C576, TEXT(E576, "000"))</f>
        <v>NFWB_M. laciniatus010</v>
      </c>
      <c r="G576" s="21" t="s">
        <v>469</v>
      </c>
      <c r="H576" s="18" t="n">
        <v>1</v>
      </c>
      <c r="I576" s="22" t="n">
        <v>44693</v>
      </c>
      <c r="J576" s="2" t="s">
        <v>981</v>
      </c>
      <c r="L576" s="2" t="n">
        <v>1</v>
      </c>
      <c r="M576" s="2" t="n">
        <v>1</v>
      </c>
      <c r="N576" s="3" t="n">
        <v>44914</v>
      </c>
      <c r="O576" s="2" t="n">
        <v>8.8</v>
      </c>
      <c r="P576" s="2" t="n">
        <v>2</v>
      </c>
      <c r="Q576" s="62" t="str">
        <f aca="false">IF(ISBLANK(N576),"",IF(N576&lt;DATE(2023,5,1),"OLD","NEW"))</f>
        <v>OLD</v>
      </c>
      <c r="S576" s="33" t="n">
        <f aca="false">IF(COUNTIF('[1]Plate_1-2_LongFormat'!$A$2:$A$193,G576)&gt;0,1,0)</f>
        <v>1</v>
      </c>
      <c r="T576" s="33" t="n">
        <f aca="false">IF(COUNTIF([2]Attached_indexes!$C$2:$C$193,G576)&gt;0,1,0)</f>
        <v>1</v>
      </c>
      <c r="U576" s="59"/>
      <c r="V576" s="1" t="s">
        <v>982</v>
      </c>
    </row>
    <row r="577" customFormat="false" ht="15.75" hidden="false" customHeight="true" outlineLevel="0" collapsed="false">
      <c r="A577" s="18" t="s">
        <v>449</v>
      </c>
      <c r="B577" s="18" t="s">
        <v>449</v>
      </c>
      <c r="C577" s="18" t="s">
        <v>31</v>
      </c>
      <c r="E577" s="66" t="n">
        <v>10</v>
      </c>
      <c r="F577" s="21" t="str">
        <f aca="false">CONCATENATE(B577,"_",C577, TEXT(E577, "000"))</f>
        <v>NFWB_M. laciniatus010</v>
      </c>
      <c r="G577" s="21" t="s">
        <v>469</v>
      </c>
      <c r="H577" s="18" t="n">
        <v>1</v>
      </c>
      <c r="I577" s="22" t="n">
        <v>44693</v>
      </c>
      <c r="J577" s="2" t="s">
        <v>981</v>
      </c>
      <c r="L577" s="2" t="n">
        <v>1</v>
      </c>
      <c r="M577" s="2" t="n">
        <v>1</v>
      </c>
      <c r="N577" s="3" t="n">
        <v>44914</v>
      </c>
      <c r="O577" s="2" t="n">
        <v>8.8</v>
      </c>
      <c r="P577" s="2" t="n">
        <v>2</v>
      </c>
      <c r="Q577" s="62" t="str">
        <f aca="false">IF(ISBLANK(N577),"",IF(N577&lt;DATE(2023,5,1),"OLD","NEW"))</f>
        <v>OLD</v>
      </c>
      <c r="S577" s="33" t="n">
        <f aca="false">IF(COUNTIF('[1]Plate_1-2_LongFormat'!$A$2:$A$193,G577)&gt;0,1,0)</f>
        <v>1</v>
      </c>
      <c r="T577" s="33" t="n">
        <f aca="false">IF(COUNTIF([2]Attached_indexes!$C$2:$C$193,G577)&gt;0,1,0)</f>
        <v>1</v>
      </c>
      <c r="U577" s="59"/>
      <c r="V577" s="1" t="s">
        <v>982</v>
      </c>
    </row>
    <row r="578" customFormat="false" ht="15.75" hidden="false" customHeight="true" outlineLevel="0" collapsed="false">
      <c r="A578" s="18" t="s">
        <v>449</v>
      </c>
      <c r="B578" s="18" t="s">
        <v>449</v>
      </c>
      <c r="C578" s="18" t="s">
        <v>31</v>
      </c>
      <c r="E578" s="66" t="n">
        <v>2</v>
      </c>
      <c r="F578" s="21" t="str">
        <f aca="false">CONCATENATE(B578,"_",C578, TEXT(E578, "000"))</f>
        <v>NFWB_M. laciniatus002</v>
      </c>
      <c r="G578" s="21" t="s">
        <v>455</v>
      </c>
      <c r="H578" s="18" t="n">
        <v>1</v>
      </c>
      <c r="I578" s="22" t="n">
        <v>44693</v>
      </c>
      <c r="J578" s="2" t="s">
        <v>981</v>
      </c>
      <c r="L578" s="2" t="n">
        <v>1</v>
      </c>
      <c r="M578" s="2" t="n">
        <v>1</v>
      </c>
      <c r="N578" s="3" t="n">
        <v>45056</v>
      </c>
      <c r="O578" s="2" t="n">
        <v>22.22</v>
      </c>
      <c r="P578" s="2" t="n">
        <v>3</v>
      </c>
      <c r="Q578" s="62" t="str">
        <f aca="false">IF(ISBLANK(N578),"",IF(N578&lt;DATE(2023,5,1),"OLD","NEW"))</f>
        <v>NEW</v>
      </c>
      <c r="S578" s="33" t="n">
        <f aca="false">IF(COUNTIF('[1]Plate_1-2_LongFormat'!$A$2:$A$193,G578)&gt;0,1,0)</f>
        <v>0</v>
      </c>
      <c r="T578" s="33" t="n">
        <f aca="false">IF(COUNTIF([2]Attached_indexes!$C$2:$C$193,G578)&gt;0,1,0)</f>
        <v>0</v>
      </c>
      <c r="U578" s="59"/>
      <c r="V578" s="1" t="s">
        <v>982</v>
      </c>
    </row>
    <row r="579" customFormat="false" ht="15.75" hidden="false" customHeight="true" outlineLevel="0" collapsed="false">
      <c r="A579" s="18" t="s">
        <v>449</v>
      </c>
      <c r="B579" s="18" t="s">
        <v>449</v>
      </c>
      <c r="C579" s="18" t="s">
        <v>31</v>
      </c>
      <c r="E579" s="66" t="n">
        <v>2</v>
      </c>
      <c r="F579" s="21" t="str">
        <f aca="false">CONCATENATE(B579,"_",C579, TEXT(E579, "000"))</f>
        <v>NFWB_M. laciniatus002</v>
      </c>
      <c r="G579" s="21" t="s">
        <v>455</v>
      </c>
      <c r="H579" s="18" t="n">
        <v>1</v>
      </c>
      <c r="I579" s="22" t="n">
        <v>44693</v>
      </c>
      <c r="J579" s="2" t="s">
        <v>981</v>
      </c>
      <c r="L579" s="2" t="n">
        <v>1</v>
      </c>
      <c r="M579" s="2" t="n">
        <v>1</v>
      </c>
      <c r="N579" s="3" t="n">
        <v>45056</v>
      </c>
      <c r="O579" s="2" t="n">
        <v>22.22</v>
      </c>
      <c r="P579" s="2" t="n">
        <v>3</v>
      </c>
      <c r="Q579" s="62" t="str">
        <f aca="false">IF(ISBLANK(N579),"",IF(N579&lt;DATE(2023,5,1),"OLD","NEW"))</f>
        <v>NEW</v>
      </c>
      <c r="S579" s="33" t="n">
        <f aca="false">IF(COUNTIF('[1]Plate_1-2_LongFormat'!$A$2:$A$193,G579)&gt;0,1,0)</f>
        <v>0</v>
      </c>
      <c r="T579" s="33" t="n">
        <f aca="false">IF(COUNTIF([2]Attached_indexes!$C$2:$C$193,G579)&gt;0,1,0)</f>
        <v>0</v>
      </c>
      <c r="U579" s="59"/>
      <c r="V579" s="1" t="s">
        <v>982</v>
      </c>
    </row>
    <row r="580" customFormat="false" ht="15.75" hidden="false" customHeight="true" outlineLevel="0" collapsed="false">
      <c r="A580" s="18" t="s">
        <v>449</v>
      </c>
      <c r="B580" s="18" t="s">
        <v>449</v>
      </c>
      <c r="C580" s="18" t="s">
        <v>31</v>
      </c>
      <c r="E580" s="66" t="n">
        <v>2</v>
      </c>
      <c r="F580" s="21" t="str">
        <f aca="false">CONCATENATE(B580,"_",C580, TEXT(E580, "000"))</f>
        <v>NFWB_M. laciniatus002</v>
      </c>
      <c r="G580" s="21" t="s">
        <v>455</v>
      </c>
      <c r="H580" s="18" t="n">
        <v>1</v>
      </c>
      <c r="I580" s="22" t="n">
        <v>44693</v>
      </c>
      <c r="J580" s="2" t="s">
        <v>981</v>
      </c>
      <c r="L580" s="2" t="n">
        <v>1</v>
      </c>
      <c r="M580" s="2" t="n">
        <v>1</v>
      </c>
      <c r="N580" s="3" t="n">
        <v>45056</v>
      </c>
      <c r="O580" s="2" t="n">
        <v>22.22</v>
      </c>
      <c r="P580" s="2" t="n">
        <v>3</v>
      </c>
      <c r="Q580" s="62" t="str">
        <f aca="false">IF(ISBLANK(N580),"",IF(N580&lt;DATE(2023,5,1),"OLD","NEW"))</f>
        <v>NEW</v>
      </c>
      <c r="S580" s="33" t="n">
        <f aca="false">IF(COUNTIF('[1]Plate_1-2_LongFormat'!$A$2:$A$193,G580)&gt;0,1,0)</f>
        <v>0</v>
      </c>
      <c r="T580" s="33" t="n">
        <f aca="false">IF(COUNTIF([2]Attached_indexes!$C$2:$C$193,G580)&gt;0,1,0)</f>
        <v>0</v>
      </c>
      <c r="U580" s="59"/>
      <c r="V580" s="1" t="s">
        <v>982</v>
      </c>
    </row>
    <row r="581" customFormat="false" ht="15.75" hidden="false" customHeight="true" outlineLevel="0" collapsed="false">
      <c r="A581" s="18" t="s">
        <v>449</v>
      </c>
      <c r="B581" s="18" t="s">
        <v>449</v>
      </c>
      <c r="C581" s="18" t="s">
        <v>31</v>
      </c>
      <c r="E581" s="66" t="n">
        <v>3</v>
      </c>
      <c r="F581" s="21" t="str">
        <f aca="false">CONCATENATE(B581,"_",C581, TEXT(E581, "000"))</f>
        <v>NFWB_M. laciniatus003</v>
      </c>
      <c r="G581" s="21" t="s">
        <v>457</v>
      </c>
      <c r="H581" s="18" t="n">
        <v>1</v>
      </c>
      <c r="I581" s="22" t="n">
        <v>44693</v>
      </c>
      <c r="J581" s="2" t="s">
        <v>981</v>
      </c>
      <c r="K581" s="68" t="s">
        <v>1010</v>
      </c>
      <c r="L581" s="2" t="n">
        <v>1</v>
      </c>
      <c r="M581" s="2" t="n">
        <v>1</v>
      </c>
      <c r="N581" s="3" t="n">
        <v>45071</v>
      </c>
      <c r="O581" s="2" t="n">
        <v>7.58</v>
      </c>
      <c r="P581" s="2" t="n">
        <v>4</v>
      </c>
      <c r="Q581" s="62" t="str">
        <f aca="false">IF(ISBLANK(N581),"",IF(N581&lt;DATE(2023,5,1),"OLD","NEW"))</f>
        <v>NEW</v>
      </c>
      <c r="S581" s="33" t="n">
        <f aca="false">IF(COUNTIF('[1]Plate_1-2_LongFormat'!$A$2:$A$193,G581)&gt;0,1,0)</f>
        <v>0</v>
      </c>
      <c r="T581" s="33" t="n">
        <f aca="false">IF(COUNTIF([2]Attached_indexes!$C$2:$C$193,G581)&gt;0,1,0)</f>
        <v>0</v>
      </c>
      <c r="U581" s="59"/>
      <c r="V581" s="1" t="s">
        <v>982</v>
      </c>
    </row>
    <row r="582" customFormat="false" ht="15.75" hidden="false" customHeight="true" outlineLevel="0" collapsed="false">
      <c r="A582" s="18" t="s">
        <v>449</v>
      </c>
      <c r="B582" s="18" t="s">
        <v>449</v>
      </c>
      <c r="C582" s="18" t="s">
        <v>31</v>
      </c>
      <c r="E582" s="66" t="n">
        <v>3</v>
      </c>
      <c r="F582" s="21" t="str">
        <f aca="false">CONCATENATE(B582,"_",C582, TEXT(E582, "000"))</f>
        <v>NFWB_M. laciniatus003</v>
      </c>
      <c r="G582" s="21" t="s">
        <v>457</v>
      </c>
      <c r="H582" s="18" t="n">
        <v>1</v>
      </c>
      <c r="I582" s="22" t="n">
        <v>44693</v>
      </c>
      <c r="J582" s="2" t="s">
        <v>981</v>
      </c>
      <c r="K582" s="68" t="s">
        <v>1010</v>
      </c>
      <c r="L582" s="2" t="n">
        <v>1</v>
      </c>
      <c r="M582" s="2" t="n">
        <v>1</v>
      </c>
      <c r="N582" s="3" t="n">
        <v>45071</v>
      </c>
      <c r="O582" s="2" t="n">
        <v>7.58</v>
      </c>
      <c r="P582" s="2" t="n">
        <v>4</v>
      </c>
      <c r="Q582" s="62" t="str">
        <f aca="false">IF(ISBLANK(N582),"",IF(N582&lt;DATE(2023,5,1),"OLD","NEW"))</f>
        <v>NEW</v>
      </c>
      <c r="S582" s="33" t="n">
        <f aca="false">IF(COUNTIF('[1]Plate_1-2_LongFormat'!$A$2:$A$193,G582)&gt;0,1,0)</f>
        <v>0</v>
      </c>
      <c r="T582" s="33" t="n">
        <f aca="false">IF(COUNTIF([2]Attached_indexes!$C$2:$C$193,G582)&gt;0,1,0)</f>
        <v>0</v>
      </c>
      <c r="U582" s="59"/>
      <c r="V582" s="1" t="s">
        <v>982</v>
      </c>
    </row>
    <row r="583" customFormat="false" ht="15.75" hidden="false" customHeight="true" outlineLevel="0" collapsed="false">
      <c r="A583" s="18" t="s">
        <v>449</v>
      </c>
      <c r="B583" s="18" t="s">
        <v>449</v>
      </c>
      <c r="C583" s="18" t="s">
        <v>31</v>
      </c>
      <c r="E583" s="66" t="n">
        <v>3</v>
      </c>
      <c r="F583" s="21" t="str">
        <f aca="false">CONCATENATE(B583,"_",C583, TEXT(E583, "000"))</f>
        <v>NFWB_M. laciniatus003</v>
      </c>
      <c r="G583" s="21" t="s">
        <v>457</v>
      </c>
      <c r="H583" s="18" t="n">
        <v>1</v>
      </c>
      <c r="I583" s="22" t="n">
        <v>44693</v>
      </c>
      <c r="J583" s="2" t="s">
        <v>981</v>
      </c>
      <c r="K583" s="68" t="s">
        <v>1010</v>
      </c>
      <c r="L583" s="2" t="n">
        <v>1</v>
      </c>
      <c r="M583" s="2" t="n">
        <v>1</v>
      </c>
      <c r="N583" s="3" t="n">
        <v>45071</v>
      </c>
      <c r="O583" s="2" t="n">
        <v>7.58</v>
      </c>
      <c r="P583" s="2" t="n">
        <v>4</v>
      </c>
      <c r="Q583" s="62" t="str">
        <f aca="false">IF(ISBLANK(N583),"",IF(N583&lt;DATE(2023,5,1),"OLD","NEW"))</f>
        <v>NEW</v>
      </c>
      <c r="S583" s="33" t="n">
        <f aca="false">IF(COUNTIF('[1]Plate_1-2_LongFormat'!$A$2:$A$193,G583)&gt;0,1,0)</f>
        <v>0</v>
      </c>
      <c r="T583" s="33" t="n">
        <f aca="false">IF(COUNTIF([2]Attached_indexes!$C$2:$C$193,G583)&gt;0,1,0)</f>
        <v>0</v>
      </c>
      <c r="U583" s="59"/>
      <c r="V583" s="1" t="s">
        <v>982</v>
      </c>
    </row>
    <row r="584" customFormat="false" ht="15.75" hidden="false" customHeight="true" outlineLevel="0" collapsed="false">
      <c r="A584" s="18" t="s">
        <v>449</v>
      </c>
      <c r="B584" s="18" t="s">
        <v>449</v>
      </c>
      <c r="C584" s="18" t="s">
        <v>31</v>
      </c>
      <c r="E584" s="66" t="n">
        <v>4</v>
      </c>
      <c r="F584" s="21" t="str">
        <f aca="false">CONCATENATE(B584,"_",C584, TEXT(E584, "000"))</f>
        <v>NFWB_M. laciniatus004</v>
      </c>
      <c r="G584" s="21" t="s">
        <v>459</v>
      </c>
      <c r="H584" s="18" t="n">
        <v>1</v>
      </c>
      <c r="I584" s="22" t="n">
        <v>44693</v>
      </c>
      <c r="J584" s="2" t="s">
        <v>981</v>
      </c>
      <c r="L584" s="2" t="n">
        <v>1</v>
      </c>
      <c r="M584" s="2" t="n">
        <v>1</v>
      </c>
      <c r="N584" s="3" t="n">
        <v>44938</v>
      </c>
      <c r="O584" s="2" t="n">
        <v>1.65</v>
      </c>
      <c r="P584" s="2" t="n">
        <v>2</v>
      </c>
      <c r="Q584" s="62" t="str">
        <f aca="false">IF(ISBLANK(N584),"",IF(N584&lt;DATE(2023,5,1),"OLD","NEW"))</f>
        <v>OLD</v>
      </c>
      <c r="S584" s="33" t="n">
        <f aca="false">IF(COUNTIF('[1]Plate_1-2_LongFormat'!$A$2:$A$193,G584)&gt;0,1,0)</f>
        <v>1</v>
      </c>
      <c r="T584" s="33" t="n">
        <f aca="false">IF(COUNTIF([2]Attached_indexes!$C$2:$C$193,G584)&gt;0,1,0)</f>
        <v>1</v>
      </c>
      <c r="U584" s="59"/>
      <c r="V584" s="1" t="s">
        <v>982</v>
      </c>
    </row>
    <row r="585" customFormat="false" ht="15.75" hidden="false" customHeight="true" outlineLevel="0" collapsed="false">
      <c r="A585" s="18" t="s">
        <v>449</v>
      </c>
      <c r="B585" s="18" t="s">
        <v>449</v>
      </c>
      <c r="C585" s="18" t="s">
        <v>31</v>
      </c>
      <c r="E585" s="66" t="n">
        <v>4</v>
      </c>
      <c r="F585" s="21" t="str">
        <f aca="false">CONCATENATE(B585,"_",C585, TEXT(E585, "000"))</f>
        <v>NFWB_M. laciniatus004</v>
      </c>
      <c r="G585" s="21" t="s">
        <v>459</v>
      </c>
      <c r="H585" s="18" t="n">
        <v>1</v>
      </c>
      <c r="I585" s="22" t="n">
        <v>44693</v>
      </c>
      <c r="J585" s="2" t="s">
        <v>981</v>
      </c>
      <c r="L585" s="2" t="n">
        <v>1</v>
      </c>
      <c r="M585" s="2" t="n">
        <v>1</v>
      </c>
      <c r="N585" s="3" t="n">
        <v>44938</v>
      </c>
      <c r="O585" s="2" t="n">
        <v>1.65</v>
      </c>
      <c r="P585" s="2" t="n">
        <v>2</v>
      </c>
      <c r="Q585" s="62" t="str">
        <f aca="false">IF(ISBLANK(N585),"",IF(N585&lt;DATE(2023,5,1),"OLD","NEW"))</f>
        <v>OLD</v>
      </c>
      <c r="S585" s="33" t="n">
        <f aca="false">IF(COUNTIF('[1]Plate_1-2_LongFormat'!$A$2:$A$193,G585)&gt;0,1,0)</f>
        <v>1</v>
      </c>
      <c r="T585" s="33" t="n">
        <f aca="false">IF(COUNTIF([2]Attached_indexes!$C$2:$C$193,G585)&gt;0,1,0)</f>
        <v>1</v>
      </c>
      <c r="U585" s="59"/>
      <c r="V585" s="1" t="s">
        <v>982</v>
      </c>
    </row>
    <row r="586" customFormat="false" ht="15.75" hidden="false" customHeight="true" outlineLevel="0" collapsed="false">
      <c r="A586" s="18" t="s">
        <v>449</v>
      </c>
      <c r="B586" s="18" t="s">
        <v>449</v>
      </c>
      <c r="C586" s="18" t="s">
        <v>31</v>
      </c>
      <c r="E586" s="66" t="n">
        <v>4</v>
      </c>
      <c r="F586" s="21" t="str">
        <f aca="false">CONCATENATE(B586,"_",C586, TEXT(E586, "000"))</f>
        <v>NFWB_M. laciniatus004</v>
      </c>
      <c r="G586" s="21" t="s">
        <v>459</v>
      </c>
      <c r="H586" s="18" t="n">
        <v>1</v>
      </c>
      <c r="I586" s="22" t="n">
        <v>44693</v>
      </c>
      <c r="J586" s="2" t="s">
        <v>981</v>
      </c>
      <c r="L586" s="2" t="n">
        <v>1</v>
      </c>
      <c r="M586" s="2" t="n">
        <v>1</v>
      </c>
      <c r="N586" s="3" t="n">
        <v>44938</v>
      </c>
      <c r="O586" s="2" t="n">
        <v>1.65</v>
      </c>
      <c r="P586" s="2" t="n">
        <v>2</v>
      </c>
      <c r="Q586" s="62" t="str">
        <f aca="false">IF(ISBLANK(N586),"",IF(N586&lt;DATE(2023,5,1),"OLD","NEW"))</f>
        <v>OLD</v>
      </c>
      <c r="S586" s="33" t="n">
        <f aca="false">IF(COUNTIF('[1]Plate_1-2_LongFormat'!$A$2:$A$193,G586)&gt;0,1,0)</f>
        <v>1</v>
      </c>
      <c r="T586" s="33" t="n">
        <f aca="false">IF(COUNTIF([2]Attached_indexes!$C$2:$C$193,G586)&gt;0,1,0)</f>
        <v>1</v>
      </c>
      <c r="U586" s="59"/>
      <c r="V586" s="1" t="s">
        <v>982</v>
      </c>
    </row>
    <row r="587" customFormat="false" ht="15.75" hidden="false" customHeight="true" outlineLevel="0" collapsed="false">
      <c r="A587" s="18" t="s">
        <v>449</v>
      </c>
      <c r="B587" s="18" t="s">
        <v>449</v>
      </c>
      <c r="C587" s="18" t="s">
        <v>31</v>
      </c>
      <c r="E587" s="66" t="n">
        <v>5</v>
      </c>
      <c r="F587" s="21" t="str">
        <f aca="false">CONCATENATE(B587,"_",C587, TEXT(E587, "000"))</f>
        <v>NFWB_M. laciniatus005</v>
      </c>
      <c r="G587" s="21" t="s">
        <v>461</v>
      </c>
      <c r="H587" s="18" t="n">
        <v>1</v>
      </c>
      <c r="I587" s="22" t="n">
        <v>44693</v>
      </c>
      <c r="J587" s="2" t="s">
        <v>981</v>
      </c>
      <c r="L587" s="2" t="n">
        <v>1</v>
      </c>
      <c r="M587" s="2" t="n">
        <v>1</v>
      </c>
      <c r="N587" s="3" t="n">
        <v>45053</v>
      </c>
      <c r="O587" s="2" t="n">
        <v>13.3</v>
      </c>
      <c r="P587" s="2" t="n">
        <v>3</v>
      </c>
      <c r="Q587" s="62" t="str">
        <f aca="false">IF(ISBLANK(N587),"",IF(N587&lt;DATE(2023,5,1),"OLD","NEW"))</f>
        <v>NEW</v>
      </c>
      <c r="S587" s="33" t="n">
        <f aca="false">IF(COUNTIF('[1]Plate_1-2_LongFormat'!$A$2:$A$193,G587)&gt;0,1,0)</f>
        <v>0</v>
      </c>
      <c r="T587" s="33" t="n">
        <f aca="false">IF(COUNTIF([2]Attached_indexes!$C$2:$C$193,G587)&gt;0,1,0)</f>
        <v>0</v>
      </c>
      <c r="U587" s="59"/>
      <c r="V587" s="1" t="s">
        <v>982</v>
      </c>
    </row>
    <row r="588" customFormat="false" ht="15.75" hidden="false" customHeight="true" outlineLevel="0" collapsed="false">
      <c r="A588" s="18" t="s">
        <v>449</v>
      </c>
      <c r="B588" s="18" t="s">
        <v>449</v>
      </c>
      <c r="C588" s="18" t="s">
        <v>31</v>
      </c>
      <c r="E588" s="66" t="n">
        <v>5</v>
      </c>
      <c r="F588" s="21" t="str">
        <f aca="false">CONCATENATE(B588,"_",C588, TEXT(E588, "000"))</f>
        <v>NFWB_M. laciniatus005</v>
      </c>
      <c r="G588" s="21" t="s">
        <v>461</v>
      </c>
      <c r="H588" s="18" t="n">
        <v>1</v>
      </c>
      <c r="I588" s="22" t="n">
        <v>44693</v>
      </c>
      <c r="J588" s="2" t="s">
        <v>981</v>
      </c>
      <c r="L588" s="2" t="n">
        <v>1</v>
      </c>
      <c r="M588" s="2" t="n">
        <v>1</v>
      </c>
      <c r="N588" s="3" t="n">
        <v>45053</v>
      </c>
      <c r="O588" s="2" t="n">
        <v>13.3</v>
      </c>
      <c r="P588" s="2" t="n">
        <v>3</v>
      </c>
      <c r="Q588" s="62" t="str">
        <f aca="false">IF(ISBLANK(N588),"",IF(N588&lt;DATE(2023,5,1),"OLD","NEW"))</f>
        <v>NEW</v>
      </c>
      <c r="S588" s="33" t="n">
        <f aca="false">IF(COUNTIF('[1]Plate_1-2_LongFormat'!$A$2:$A$193,G588)&gt;0,1,0)</f>
        <v>0</v>
      </c>
      <c r="T588" s="33" t="n">
        <f aca="false">IF(COUNTIF([2]Attached_indexes!$C$2:$C$193,G588)&gt;0,1,0)</f>
        <v>0</v>
      </c>
      <c r="U588" s="59"/>
      <c r="V588" s="1" t="s">
        <v>982</v>
      </c>
    </row>
    <row r="589" customFormat="false" ht="15.75" hidden="false" customHeight="true" outlineLevel="0" collapsed="false">
      <c r="A589" s="18" t="s">
        <v>449</v>
      </c>
      <c r="B589" s="18" t="s">
        <v>449</v>
      </c>
      <c r="C589" s="18" t="s">
        <v>31</v>
      </c>
      <c r="E589" s="66" t="n">
        <v>5</v>
      </c>
      <c r="F589" s="21" t="str">
        <f aca="false">CONCATENATE(B589,"_",C589, TEXT(E589, "000"))</f>
        <v>NFWB_M. laciniatus005</v>
      </c>
      <c r="G589" s="21" t="s">
        <v>461</v>
      </c>
      <c r="H589" s="18" t="n">
        <v>1</v>
      </c>
      <c r="I589" s="22" t="n">
        <v>44693</v>
      </c>
      <c r="J589" s="2" t="s">
        <v>981</v>
      </c>
      <c r="L589" s="2" t="n">
        <v>1</v>
      </c>
      <c r="M589" s="2" t="n">
        <v>1</v>
      </c>
      <c r="N589" s="3" t="n">
        <v>45053</v>
      </c>
      <c r="O589" s="2" t="n">
        <v>13.3</v>
      </c>
      <c r="P589" s="2" t="n">
        <v>3</v>
      </c>
      <c r="Q589" s="62" t="str">
        <f aca="false">IF(ISBLANK(N589),"",IF(N589&lt;DATE(2023,5,1),"OLD","NEW"))</f>
        <v>NEW</v>
      </c>
      <c r="S589" s="33" t="n">
        <f aca="false">IF(COUNTIF('[1]Plate_1-2_LongFormat'!$A$2:$A$193,G589)&gt;0,1,0)</f>
        <v>0</v>
      </c>
      <c r="T589" s="33" t="n">
        <f aca="false">IF(COUNTIF([2]Attached_indexes!$C$2:$C$193,G589)&gt;0,1,0)</f>
        <v>0</v>
      </c>
      <c r="U589" s="59"/>
      <c r="V589" s="1" t="s">
        <v>982</v>
      </c>
    </row>
    <row r="590" customFormat="false" ht="15.75" hidden="false" customHeight="true" outlineLevel="0" collapsed="false">
      <c r="A590" s="18" t="s">
        <v>449</v>
      </c>
      <c r="B590" s="18" t="s">
        <v>449</v>
      </c>
      <c r="C590" s="18" t="s">
        <v>31</v>
      </c>
      <c r="E590" s="66" t="n">
        <v>6</v>
      </c>
      <c r="F590" s="21" t="str">
        <f aca="false">CONCATENATE(B590,"_",C590, TEXT(E590, "000"))</f>
        <v>NFWB_M. laciniatus006</v>
      </c>
      <c r="G590" s="21" t="s">
        <v>463</v>
      </c>
      <c r="H590" s="18" t="n">
        <v>1</v>
      </c>
      <c r="I590" s="22" t="n">
        <v>44693</v>
      </c>
      <c r="J590" s="2" t="s">
        <v>981</v>
      </c>
      <c r="L590" s="2" t="n">
        <v>1</v>
      </c>
      <c r="M590" s="2" t="n">
        <v>1</v>
      </c>
      <c r="N590" s="3" t="n">
        <v>44842</v>
      </c>
      <c r="O590" s="2" t="n">
        <v>9.33</v>
      </c>
      <c r="Q590" s="62" t="str">
        <f aca="false">IF(ISBLANK(N590),"",IF(N590&lt;DATE(2023,5,1),"OLD","NEW"))</f>
        <v>OLD</v>
      </c>
      <c r="S590" s="33" t="n">
        <f aca="false">IF(COUNTIF('[1]Plate_1-2_LongFormat'!$A$2:$A$193,G590)&gt;0,1,0)</f>
        <v>1</v>
      </c>
      <c r="T590" s="33" t="n">
        <f aca="false">IF(COUNTIF([2]Attached_indexes!$C$2:$C$193,G590)&gt;0,1,0)</f>
        <v>1</v>
      </c>
      <c r="U590" s="59"/>
      <c r="V590" s="1" t="s">
        <v>982</v>
      </c>
    </row>
    <row r="591" customFormat="false" ht="15.75" hidden="false" customHeight="true" outlineLevel="0" collapsed="false">
      <c r="A591" s="18" t="s">
        <v>449</v>
      </c>
      <c r="B591" s="18" t="s">
        <v>449</v>
      </c>
      <c r="C591" s="18" t="s">
        <v>31</v>
      </c>
      <c r="E591" s="66" t="n">
        <v>6</v>
      </c>
      <c r="F591" s="21" t="str">
        <f aca="false">CONCATENATE(B591,"_",C591, TEXT(E591, "000"))</f>
        <v>NFWB_M. laciniatus006</v>
      </c>
      <c r="G591" s="21" t="s">
        <v>463</v>
      </c>
      <c r="H591" s="18" t="n">
        <v>1</v>
      </c>
      <c r="I591" s="22" t="n">
        <v>44693</v>
      </c>
      <c r="J591" s="2" t="s">
        <v>981</v>
      </c>
      <c r="L591" s="2" t="n">
        <v>1</v>
      </c>
      <c r="M591" s="2" t="n">
        <v>1</v>
      </c>
      <c r="N591" s="3" t="n">
        <v>44842</v>
      </c>
      <c r="O591" s="2" t="n">
        <v>9.33</v>
      </c>
      <c r="Q591" s="62" t="str">
        <f aca="false">IF(ISBLANK(N591),"",IF(N591&lt;DATE(2023,5,1),"OLD","NEW"))</f>
        <v>OLD</v>
      </c>
      <c r="S591" s="33" t="n">
        <f aca="false">IF(COUNTIF('[1]Plate_1-2_LongFormat'!$A$2:$A$193,G591)&gt;0,1,0)</f>
        <v>1</v>
      </c>
      <c r="T591" s="33" t="n">
        <f aca="false">IF(COUNTIF([2]Attached_indexes!$C$2:$C$193,G591)&gt;0,1,0)</f>
        <v>1</v>
      </c>
      <c r="U591" s="59"/>
      <c r="V591" s="1" t="s">
        <v>982</v>
      </c>
    </row>
    <row r="592" customFormat="false" ht="15.75" hidden="false" customHeight="true" outlineLevel="0" collapsed="false">
      <c r="A592" s="18" t="s">
        <v>449</v>
      </c>
      <c r="B592" s="18" t="s">
        <v>449</v>
      </c>
      <c r="C592" s="18" t="s">
        <v>31</v>
      </c>
      <c r="E592" s="66" t="n">
        <v>6</v>
      </c>
      <c r="F592" s="21" t="str">
        <f aca="false">CONCATENATE(B592,"_",C592, TEXT(E592, "000"))</f>
        <v>NFWB_M. laciniatus006</v>
      </c>
      <c r="G592" s="21" t="s">
        <v>463</v>
      </c>
      <c r="H592" s="18" t="n">
        <v>1</v>
      </c>
      <c r="I592" s="22" t="n">
        <v>44693</v>
      </c>
      <c r="J592" s="2" t="s">
        <v>981</v>
      </c>
      <c r="L592" s="2" t="n">
        <v>1</v>
      </c>
      <c r="M592" s="2" t="n">
        <v>1</v>
      </c>
      <c r="N592" s="3" t="n">
        <v>44842</v>
      </c>
      <c r="O592" s="2" t="n">
        <v>9.33</v>
      </c>
      <c r="Q592" s="62" t="str">
        <f aca="false">IF(ISBLANK(N592),"",IF(N592&lt;DATE(2023,5,1),"OLD","NEW"))</f>
        <v>OLD</v>
      </c>
      <c r="S592" s="33" t="n">
        <f aca="false">IF(COUNTIF('[1]Plate_1-2_LongFormat'!$A$2:$A$193,G592)&gt;0,1,0)</f>
        <v>1</v>
      </c>
      <c r="T592" s="33" t="n">
        <f aca="false">IF(COUNTIF([2]Attached_indexes!$C$2:$C$193,G592)&gt;0,1,0)</f>
        <v>1</v>
      </c>
      <c r="U592" s="59"/>
      <c r="V592" s="1" t="s">
        <v>982</v>
      </c>
    </row>
    <row r="593" customFormat="false" ht="15.75" hidden="false" customHeight="true" outlineLevel="0" collapsed="false">
      <c r="A593" s="18" t="s">
        <v>449</v>
      </c>
      <c r="B593" s="18" t="s">
        <v>449</v>
      </c>
      <c r="C593" s="18" t="s">
        <v>31</v>
      </c>
      <c r="E593" s="66" t="n">
        <v>7</v>
      </c>
      <c r="F593" s="21" t="str">
        <f aca="false">CONCATENATE(B593,"_",C593, TEXT(E593, "000"))</f>
        <v>NFWB_M. laciniatus007</v>
      </c>
      <c r="G593" s="21" t="s">
        <v>465</v>
      </c>
      <c r="H593" s="18" t="n">
        <v>1</v>
      </c>
      <c r="I593" s="22" t="n">
        <v>44693</v>
      </c>
      <c r="J593" s="2" t="s">
        <v>981</v>
      </c>
      <c r="K593" s="68" t="s">
        <v>988</v>
      </c>
      <c r="L593" s="2" t="n">
        <v>1</v>
      </c>
      <c r="M593" s="2" t="n">
        <v>1</v>
      </c>
      <c r="N593" s="3" t="n">
        <v>45071</v>
      </c>
      <c r="O593" s="2" t="n">
        <v>8.12</v>
      </c>
      <c r="P593" s="2" t="n">
        <v>4</v>
      </c>
      <c r="Q593" s="62" t="str">
        <f aca="false">IF(ISBLANK(N593),"",IF(N593&lt;DATE(2023,5,1),"OLD","NEW"))</f>
        <v>NEW</v>
      </c>
      <c r="S593" s="33" t="n">
        <f aca="false">IF(COUNTIF('[1]Plate_1-2_LongFormat'!$A$2:$A$193,G593)&gt;0,1,0)</f>
        <v>0</v>
      </c>
      <c r="T593" s="33" t="n">
        <f aca="false">IF(COUNTIF([2]Attached_indexes!$C$2:$C$193,G593)&gt;0,1,0)</f>
        <v>0</v>
      </c>
      <c r="U593" s="59"/>
      <c r="V593" s="1" t="s">
        <v>982</v>
      </c>
    </row>
    <row r="594" customFormat="false" ht="15.75" hidden="false" customHeight="true" outlineLevel="0" collapsed="false">
      <c r="A594" s="18" t="s">
        <v>449</v>
      </c>
      <c r="B594" s="18" t="s">
        <v>449</v>
      </c>
      <c r="C594" s="18" t="s">
        <v>31</v>
      </c>
      <c r="E594" s="66" t="n">
        <v>7</v>
      </c>
      <c r="F594" s="21" t="str">
        <f aca="false">CONCATENATE(B594,"_",C594, TEXT(E594, "000"))</f>
        <v>NFWB_M. laciniatus007</v>
      </c>
      <c r="G594" s="21" t="s">
        <v>465</v>
      </c>
      <c r="H594" s="18" t="n">
        <v>1</v>
      </c>
      <c r="I594" s="22" t="n">
        <v>44693</v>
      </c>
      <c r="J594" s="2" t="s">
        <v>981</v>
      </c>
      <c r="K594" s="68" t="s">
        <v>988</v>
      </c>
      <c r="L594" s="2" t="n">
        <v>1</v>
      </c>
      <c r="M594" s="2" t="n">
        <v>1</v>
      </c>
      <c r="N594" s="3" t="n">
        <v>45071</v>
      </c>
      <c r="O594" s="2" t="n">
        <v>8.12</v>
      </c>
      <c r="P594" s="2" t="n">
        <v>4</v>
      </c>
      <c r="Q594" s="62" t="str">
        <f aca="false">IF(ISBLANK(N594),"",IF(N594&lt;DATE(2023,5,1),"OLD","NEW"))</f>
        <v>NEW</v>
      </c>
      <c r="S594" s="33" t="n">
        <f aca="false">IF(COUNTIF('[1]Plate_1-2_LongFormat'!$A$2:$A$193,G594)&gt;0,1,0)</f>
        <v>0</v>
      </c>
      <c r="T594" s="33" t="n">
        <f aca="false">IF(COUNTIF([2]Attached_indexes!$C$2:$C$193,G594)&gt;0,1,0)</f>
        <v>0</v>
      </c>
      <c r="U594" s="59"/>
      <c r="V594" s="1" t="s">
        <v>982</v>
      </c>
    </row>
    <row r="595" customFormat="false" ht="15.75" hidden="false" customHeight="true" outlineLevel="0" collapsed="false">
      <c r="A595" s="18" t="s">
        <v>449</v>
      </c>
      <c r="B595" s="18" t="s">
        <v>449</v>
      </c>
      <c r="C595" s="18" t="s">
        <v>31</v>
      </c>
      <c r="E595" s="66" t="n">
        <v>7</v>
      </c>
      <c r="F595" s="21" t="str">
        <f aca="false">CONCATENATE(B595,"_",C595, TEXT(E595, "000"))</f>
        <v>NFWB_M. laciniatus007</v>
      </c>
      <c r="G595" s="21" t="s">
        <v>465</v>
      </c>
      <c r="H595" s="18" t="n">
        <v>1</v>
      </c>
      <c r="I595" s="22" t="n">
        <v>44693</v>
      </c>
      <c r="J595" s="2" t="s">
        <v>981</v>
      </c>
      <c r="K595" s="68" t="s">
        <v>988</v>
      </c>
      <c r="L595" s="2" t="n">
        <v>1</v>
      </c>
      <c r="M595" s="2" t="n">
        <v>1</v>
      </c>
      <c r="N595" s="3" t="n">
        <v>45071</v>
      </c>
      <c r="O595" s="2" t="n">
        <v>8.12</v>
      </c>
      <c r="P595" s="2" t="n">
        <v>4</v>
      </c>
      <c r="Q595" s="62" t="str">
        <f aca="false">IF(ISBLANK(N595),"",IF(N595&lt;DATE(2023,5,1),"OLD","NEW"))</f>
        <v>NEW</v>
      </c>
      <c r="S595" s="33" t="n">
        <f aca="false">IF(COUNTIF('[1]Plate_1-2_LongFormat'!$A$2:$A$193,G595)&gt;0,1,0)</f>
        <v>0</v>
      </c>
      <c r="T595" s="33" t="n">
        <f aca="false">IF(COUNTIF([2]Attached_indexes!$C$2:$C$193,G595)&gt;0,1,0)</f>
        <v>0</v>
      </c>
      <c r="U595" s="59"/>
      <c r="V595" s="1" t="s">
        <v>982</v>
      </c>
    </row>
    <row r="596" customFormat="false" ht="15.75" hidden="false" customHeight="true" outlineLevel="0" collapsed="false">
      <c r="A596" s="18" t="s">
        <v>449</v>
      </c>
      <c r="B596" s="18" t="s">
        <v>449</v>
      </c>
      <c r="C596" s="18" t="s">
        <v>31</v>
      </c>
      <c r="E596" s="66" t="n">
        <v>8</v>
      </c>
      <c r="F596" s="21" t="str">
        <f aca="false">CONCATENATE(B596,"_",C596, TEXT(E596, "000"))</f>
        <v>NFWB_M. laciniatus008</v>
      </c>
      <c r="G596" s="21" t="s">
        <v>466</v>
      </c>
      <c r="H596" s="18" t="n">
        <v>1</v>
      </c>
      <c r="I596" s="22" t="n">
        <v>44693</v>
      </c>
      <c r="J596" s="2" t="s">
        <v>981</v>
      </c>
      <c r="L596" s="2" t="n">
        <v>1</v>
      </c>
      <c r="M596" s="2" t="n">
        <v>1</v>
      </c>
      <c r="N596" s="3" t="n">
        <v>44999</v>
      </c>
      <c r="O596" s="2" t="n">
        <v>0.284</v>
      </c>
      <c r="P596" s="2" t="n">
        <v>3</v>
      </c>
      <c r="Q596" s="62" t="str">
        <f aca="false">IF(ISBLANK(N596),"",IF(N596&lt;DATE(2023,5,1),"OLD","NEW"))</f>
        <v>OLD</v>
      </c>
      <c r="S596" s="33" t="n">
        <f aca="false">IF(COUNTIF('[1]Plate_1-2_LongFormat'!$A$2:$A$193,G596)&gt;0,1,0)</f>
        <v>0</v>
      </c>
      <c r="T596" s="33" t="n">
        <f aca="false">IF(COUNTIF([2]Attached_indexes!$C$2:$C$193,G596)&gt;0,1,0)</f>
        <v>0</v>
      </c>
      <c r="U596" s="59"/>
      <c r="V596" s="1" t="s">
        <v>982</v>
      </c>
    </row>
    <row r="597" customFormat="false" ht="15.75" hidden="false" customHeight="true" outlineLevel="0" collapsed="false">
      <c r="A597" s="18" t="s">
        <v>449</v>
      </c>
      <c r="B597" s="18" t="s">
        <v>449</v>
      </c>
      <c r="C597" s="18" t="s">
        <v>31</v>
      </c>
      <c r="E597" s="66" t="n">
        <v>8</v>
      </c>
      <c r="F597" s="21" t="str">
        <f aca="false">CONCATENATE(B597,"_",C597, TEXT(E597, "000"))</f>
        <v>NFWB_M. laciniatus008</v>
      </c>
      <c r="G597" s="21" t="s">
        <v>466</v>
      </c>
      <c r="H597" s="18" t="n">
        <v>1</v>
      </c>
      <c r="I597" s="22" t="n">
        <v>44693</v>
      </c>
      <c r="J597" s="2" t="s">
        <v>981</v>
      </c>
      <c r="L597" s="2" t="n">
        <v>1</v>
      </c>
      <c r="M597" s="2" t="n">
        <v>1</v>
      </c>
      <c r="N597" s="3" t="n">
        <v>44999</v>
      </c>
      <c r="O597" s="2" t="n">
        <v>0.284</v>
      </c>
      <c r="P597" s="2" t="n">
        <v>3</v>
      </c>
      <c r="Q597" s="62" t="str">
        <f aca="false">IF(ISBLANK(N597),"",IF(N597&lt;DATE(2023,5,1),"OLD","NEW"))</f>
        <v>OLD</v>
      </c>
      <c r="S597" s="33" t="n">
        <f aca="false">IF(COUNTIF('[1]Plate_1-2_LongFormat'!$A$2:$A$193,G597)&gt;0,1,0)</f>
        <v>0</v>
      </c>
      <c r="T597" s="33" t="n">
        <f aca="false">IF(COUNTIF([2]Attached_indexes!$C$2:$C$193,G597)&gt;0,1,0)</f>
        <v>0</v>
      </c>
      <c r="U597" s="59"/>
      <c r="V597" s="1" t="s">
        <v>982</v>
      </c>
    </row>
    <row r="598" customFormat="false" ht="15.75" hidden="false" customHeight="true" outlineLevel="0" collapsed="false">
      <c r="A598" s="18" t="s">
        <v>449</v>
      </c>
      <c r="B598" s="18" t="s">
        <v>449</v>
      </c>
      <c r="C598" s="18" t="s">
        <v>31</v>
      </c>
      <c r="E598" s="66" t="n">
        <v>8</v>
      </c>
      <c r="F598" s="21" t="str">
        <f aca="false">CONCATENATE(B598,"_",C598, TEXT(E598, "000"))</f>
        <v>NFWB_M. laciniatus008</v>
      </c>
      <c r="G598" s="21" t="s">
        <v>466</v>
      </c>
      <c r="H598" s="18" t="n">
        <v>1</v>
      </c>
      <c r="I598" s="22" t="n">
        <v>44693</v>
      </c>
      <c r="J598" s="2" t="s">
        <v>981</v>
      </c>
      <c r="L598" s="2" t="n">
        <v>1</v>
      </c>
      <c r="M598" s="2" t="n">
        <v>1</v>
      </c>
      <c r="N598" s="3" t="n">
        <v>44999</v>
      </c>
      <c r="O598" s="2" t="n">
        <v>0.284</v>
      </c>
      <c r="P598" s="2" t="n">
        <v>3</v>
      </c>
      <c r="Q598" s="62" t="str">
        <f aca="false">IF(ISBLANK(N598),"",IF(N598&lt;DATE(2023,5,1),"OLD","NEW"))</f>
        <v>OLD</v>
      </c>
      <c r="S598" s="33" t="n">
        <f aca="false">IF(COUNTIF('[1]Plate_1-2_LongFormat'!$A$2:$A$193,G598)&gt;0,1,0)</f>
        <v>0</v>
      </c>
      <c r="T598" s="33" t="n">
        <f aca="false">IF(COUNTIF([2]Attached_indexes!$C$2:$C$193,G598)&gt;0,1,0)</f>
        <v>0</v>
      </c>
      <c r="U598" s="59"/>
      <c r="V598" s="1" t="s">
        <v>982</v>
      </c>
    </row>
    <row r="599" customFormat="false" ht="15.75" hidden="false" customHeight="true" outlineLevel="0" collapsed="false">
      <c r="A599" s="18" t="s">
        <v>449</v>
      </c>
      <c r="B599" s="18" t="s">
        <v>449</v>
      </c>
      <c r="C599" s="18" t="s">
        <v>31</v>
      </c>
      <c r="E599" s="66" t="n">
        <v>9</v>
      </c>
      <c r="F599" s="21" t="str">
        <f aca="false">CONCATENATE(B599,"_",C599, TEXT(E599, "000"))</f>
        <v>NFWB_M. laciniatus009</v>
      </c>
      <c r="G599" s="21" t="s">
        <v>467</v>
      </c>
      <c r="H599" s="18" t="n">
        <v>1</v>
      </c>
      <c r="I599" s="22" t="n">
        <v>44693</v>
      </c>
      <c r="J599" s="2" t="s">
        <v>981</v>
      </c>
      <c r="K599" s="2" t="s">
        <v>1036</v>
      </c>
      <c r="L599" s="2" t="n">
        <v>1</v>
      </c>
      <c r="M599" s="2" t="n">
        <v>1</v>
      </c>
      <c r="N599" s="3" t="n">
        <v>45058</v>
      </c>
      <c r="O599" s="2" t="n">
        <v>11.9</v>
      </c>
      <c r="P599" s="2" t="n">
        <v>3</v>
      </c>
      <c r="Q599" s="62" t="str">
        <f aca="false">IF(ISBLANK(N599),"",IF(N599&lt;DATE(2023,5,1),"OLD","NEW"))</f>
        <v>NEW</v>
      </c>
      <c r="S599" s="33" t="n">
        <f aca="false">IF(COUNTIF('[1]Plate_1-2_LongFormat'!$A$2:$A$193,G599)&gt;0,1,0)</f>
        <v>0</v>
      </c>
      <c r="T599" s="33" t="n">
        <f aca="false">IF(COUNTIF([2]Attached_indexes!$C$2:$C$193,G599)&gt;0,1,0)</f>
        <v>0</v>
      </c>
      <c r="U599" s="59"/>
      <c r="V599" s="1" t="s">
        <v>982</v>
      </c>
    </row>
    <row r="600" customFormat="false" ht="15.75" hidden="false" customHeight="true" outlineLevel="0" collapsed="false">
      <c r="A600" s="18" t="s">
        <v>449</v>
      </c>
      <c r="B600" s="18" t="s">
        <v>449</v>
      </c>
      <c r="C600" s="18" t="s">
        <v>31</v>
      </c>
      <c r="E600" s="66" t="n">
        <v>9</v>
      </c>
      <c r="F600" s="21" t="str">
        <f aca="false">CONCATENATE(B600,"_",C600, TEXT(E600, "000"))</f>
        <v>NFWB_M. laciniatus009</v>
      </c>
      <c r="G600" s="21" t="s">
        <v>467</v>
      </c>
      <c r="H600" s="18" t="n">
        <v>1</v>
      </c>
      <c r="I600" s="22" t="n">
        <v>44693</v>
      </c>
      <c r="J600" s="2" t="s">
        <v>981</v>
      </c>
      <c r="K600" s="2" t="s">
        <v>1036</v>
      </c>
      <c r="L600" s="2" t="n">
        <v>1</v>
      </c>
      <c r="M600" s="2" t="n">
        <v>1</v>
      </c>
      <c r="N600" s="3" t="n">
        <v>45058</v>
      </c>
      <c r="O600" s="2" t="n">
        <v>11.9</v>
      </c>
      <c r="P600" s="2" t="n">
        <v>3</v>
      </c>
      <c r="Q600" s="62" t="str">
        <f aca="false">IF(ISBLANK(N600),"",IF(N600&lt;DATE(2023,5,1),"OLD","NEW"))</f>
        <v>NEW</v>
      </c>
      <c r="S600" s="33" t="n">
        <f aca="false">IF(COUNTIF('[1]Plate_1-2_LongFormat'!$A$2:$A$193,G600)&gt;0,1,0)</f>
        <v>0</v>
      </c>
      <c r="T600" s="33" t="n">
        <f aca="false">IF(COUNTIF([2]Attached_indexes!$C$2:$C$193,G600)&gt;0,1,0)</f>
        <v>0</v>
      </c>
      <c r="U600" s="59"/>
      <c r="V600" s="1" t="s">
        <v>982</v>
      </c>
    </row>
    <row r="601" customFormat="false" ht="15.75" hidden="false" customHeight="true" outlineLevel="0" collapsed="false">
      <c r="A601" s="18" t="s">
        <v>449</v>
      </c>
      <c r="B601" s="18" t="s">
        <v>449</v>
      </c>
      <c r="C601" s="18" t="s">
        <v>31</v>
      </c>
      <c r="E601" s="66" t="n">
        <v>9</v>
      </c>
      <c r="F601" s="21" t="str">
        <f aca="false">CONCATENATE(B601,"_",C601, TEXT(E601, "000"))</f>
        <v>NFWB_M. laciniatus009</v>
      </c>
      <c r="G601" s="21" t="s">
        <v>467</v>
      </c>
      <c r="H601" s="18" t="n">
        <v>1</v>
      </c>
      <c r="I601" s="22" t="n">
        <v>44693</v>
      </c>
      <c r="J601" s="2" t="s">
        <v>981</v>
      </c>
      <c r="K601" s="2" t="s">
        <v>1036</v>
      </c>
      <c r="L601" s="2" t="n">
        <v>1</v>
      </c>
      <c r="M601" s="2" t="n">
        <v>1</v>
      </c>
      <c r="N601" s="3" t="n">
        <v>45058</v>
      </c>
      <c r="O601" s="2" t="n">
        <v>11.9</v>
      </c>
      <c r="P601" s="2" t="n">
        <v>3</v>
      </c>
      <c r="Q601" s="62" t="str">
        <f aca="false">IF(ISBLANK(N601),"",IF(N601&lt;DATE(2023,5,1),"OLD","NEW"))</f>
        <v>NEW</v>
      </c>
      <c r="S601" s="33" t="n">
        <f aca="false">IF(COUNTIF('[1]Plate_1-2_LongFormat'!$A$2:$A$193,G601)&gt;0,1,0)</f>
        <v>0</v>
      </c>
      <c r="T601" s="33" t="n">
        <f aca="false">IF(COUNTIF([2]Attached_indexes!$C$2:$C$193,G601)&gt;0,1,0)</f>
        <v>0</v>
      </c>
      <c r="U601" s="59"/>
      <c r="V601" s="1" t="s">
        <v>982</v>
      </c>
    </row>
    <row r="602" customFormat="false" ht="15.75" hidden="false" customHeight="true" outlineLevel="0" collapsed="false">
      <c r="A602" s="18" t="s">
        <v>449</v>
      </c>
      <c r="B602" s="18" t="s">
        <v>449</v>
      </c>
      <c r="C602" s="18" t="s">
        <v>159</v>
      </c>
      <c r="E602" s="66" t="n">
        <v>1</v>
      </c>
      <c r="F602" s="21" t="str">
        <f aca="false">CONCATENATE(B602,"_",C602, TEXT(E602, "000"))</f>
        <v>NFWB_M. nasutus001</v>
      </c>
      <c r="G602" s="21" t="s">
        <v>470</v>
      </c>
      <c r="H602" s="18" t="n">
        <v>1</v>
      </c>
      <c r="I602" s="22" t="n">
        <v>44693</v>
      </c>
      <c r="J602" s="2" t="s">
        <v>981</v>
      </c>
      <c r="L602" s="2" t="n">
        <v>1</v>
      </c>
      <c r="M602" s="2" t="n">
        <v>1</v>
      </c>
      <c r="N602" s="3" t="n">
        <v>44914</v>
      </c>
      <c r="O602" s="2" t="n">
        <v>3.34</v>
      </c>
      <c r="P602" s="2" t="n">
        <v>2</v>
      </c>
      <c r="Q602" s="62" t="str">
        <f aca="false">IF(ISBLANK(N602),"",IF(N602&lt;DATE(2023,5,1),"OLD","NEW"))</f>
        <v>OLD</v>
      </c>
      <c r="S602" s="33" t="n">
        <f aca="false">IF(COUNTIF('[1]Plate_1-2_LongFormat'!$A$2:$A$193,G602)&gt;0,1,0)</f>
        <v>1</v>
      </c>
      <c r="T602" s="33" t="n">
        <f aca="false">IF(COUNTIF([2]Attached_indexes!$C$2:$C$193,G602)&gt;0,1,0)</f>
        <v>1</v>
      </c>
      <c r="U602" s="59"/>
      <c r="V602" s="1" t="s">
        <v>982</v>
      </c>
    </row>
    <row r="603" customFormat="false" ht="15.75" hidden="false" customHeight="true" outlineLevel="0" collapsed="false">
      <c r="A603" s="18" t="s">
        <v>449</v>
      </c>
      <c r="B603" s="18" t="s">
        <v>449</v>
      </c>
      <c r="C603" s="18" t="s">
        <v>159</v>
      </c>
      <c r="E603" s="66" t="n">
        <v>1</v>
      </c>
      <c r="F603" s="21" t="str">
        <f aca="false">CONCATENATE(B603,"_",C603, TEXT(E603, "000"))</f>
        <v>NFWB_M. nasutus001</v>
      </c>
      <c r="G603" s="21" t="s">
        <v>470</v>
      </c>
      <c r="H603" s="18" t="n">
        <v>1</v>
      </c>
      <c r="I603" s="22" t="n">
        <v>44693</v>
      </c>
      <c r="J603" s="2" t="s">
        <v>981</v>
      </c>
      <c r="L603" s="2" t="n">
        <v>1</v>
      </c>
      <c r="M603" s="2" t="n">
        <v>1</v>
      </c>
      <c r="N603" s="3" t="n">
        <v>44914</v>
      </c>
      <c r="O603" s="2" t="n">
        <v>3.34</v>
      </c>
      <c r="P603" s="2" t="n">
        <v>2</v>
      </c>
      <c r="Q603" s="62" t="str">
        <f aca="false">IF(ISBLANK(N603),"",IF(N603&lt;DATE(2023,5,1),"OLD","NEW"))</f>
        <v>OLD</v>
      </c>
      <c r="S603" s="33" t="n">
        <f aca="false">IF(COUNTIF('[1]Plate_1-2_LongFormat'!$A$2:$A$193,G603)&gt;0,1,0)</f>
        <v>1</v>
      </c>
      <c r="T603" s="33" t="n">
        <f aca="false">IF(COUNTIF([2]Attached_indexes!$C$2:$C$193,G603)&gt;0,1,0)</f>
        <v>1</v>
      </c>
      <c r="U603" s="59"/>
      <c r="V603" s="1" t="s">
        <v>982</v>
      </c>
    </row>
    <row r="604" customFormat="false" ht="15.75" hidden="false" customHeight="true" outlineLevel="0" collapsed="false">
      <c r="A604" s="18" t="s">
        <v>449</v>
      </c>
      <c r="B604" s="18" t="s">
        <v>449</v>
      </c>
      <c r="C604" s="18" t="s">
        <v>159</v>
      </c>
      <c r="E604" s="66" t="n">
        <v>1</v>
      </c>
      <c r="F604" s="21" t="str">
        <f aca="false">CONCATENATE(B604,"_",C604, TEXT(E604, "000"))</f>
        <v>NFWB_M. nasutus001</v>
      </c>
      <c r="G604" s="21" t="s">
        <v>470</v>
      </c>
      <c r="H604" s="18" t="n">
        <v>1</v>
      </c>
      <c r="I604" s="22" t="n">
        <v>44693</v>
      </c>
      <c r="J604" s="2" t="s">
        <v>981</v>
      </c>
      <c r="L604" s="2" t="n">
        <v>1</v>
      </c>
      <c r="M604" s="2" t="n">
        <v>1</v>
      </c>
      <c r="N604" s="3" t="n">
        <v>44914</v>
      </c>
      <c r="O604" s="2" t="n">
        <v>3.34</v>
      </c>
      <c r="P604" s="2" t="n">
        <v>2</v>
      </c>
      <c r="Q604" s="62" t="str">
        <f aca="false">IF(ISBLANK(N604),"",IF(N604&lt;DATE(2023,5,1),"OLD","NEW"))</f>
        <v>OLD</v>
      </c>
      <c r="S604" s="33" t="n">
        <f aca="false">IF(COUNTIF('[1]Plate_1-2_LongFormat'!$A$2:$A$193,G604)&gt;0,1,0)</f>
        <v>1</v>
      </c>
      <c r="T604" s="33" t="n">
        <f aca="false">IF(COUNTIF([2]Attached_indexes!$C$2:$C$193,G604)&gt;0,1,0)</f>
        <v>1</v>
      </c>
      <c r="U604" s="59"/>
      <c r="V604" s="1" t="s">
        <v>982</v>
      </c>
    </row>
    <row r="605" customFormat="false" ht="15.75" hidden="false" customHeight="true" outlineLevel="0" collapsed="false">
      <c r="A605" s="18" t="s">
        <v>449</v>
      </c>
      <c r="B605" s="18" t="s">
        <v>449</v>
      </c>
      <c r="C605" s="18" t="s">
        <v>159</v>
      </c>
      <c r="E605" s="66" t="n">
        <v>10</v>
      </c>
      <c r="F605" s="21" t="str">
        <f aca="false">CONCATENATE(B605,"_",C605, TEXT(E605, "000"))</f>
        <v>NFWB_M. nasutus010</v>
      </c>
      <c r="G605" s="21" t="s">
        <v>487</v>
      </c>
      <c r="H605" s="18" t="n">
        <v>1</v>
      </c>
      <c r="I605" s="22" t="n">
        <v>44693</v>
      </c>
      <c r="J605" s="2" t="s">
        <v>981</v>
      </c>
      <c r="L605" s="2" t="n">
        <v>1</v>
      </c>
      <c r="M605" s="2" t="n">
        <v>1</v>
      </c>
      <c r="N605" s="3" t="n">
        <v>44842</v>
      </c>
      <c r="O605" s="2" t="n">
        <v>4.41</v>
      </c>
      <c r="Q605" s="62" t="str">
        <f aca="false">IF(ISBLANK(N605),"",IF(N605&lt;DATE(2023,5,1),"OLD","NEW"))</f>
        <v>OLD</v>
      </c>
      <c r="S605" s="33" t="n">
        <f aca="false">IF(COUNTIF('[1]Plate_1-2_LongFormat'!$A$2:$A$193,G605)&gt;0,1,0)</f>
        <v>1</v>
      </c>
      <c r="T605" s="33" t="n">
        <f aca="false">IF(COUNTIF([2]Attached_indexes!$C$2:$C$193,G605)&gt;0,1,0)</f>
        <v>1</v>
      </c>
      <c r="U605" s="59"/>
      <c r="V605" s="1" t="s">
        <v>982</v>
      </c>
    </row>
    <row r="606" customFormat="false" ht="15.75" hidden="false" customHeight="true" outlineLevel="0" collapsed="false">
      <c r="A606" s="18" t="s">
        <v>449</v>
      </c>
      <c r="B606" s="18" t="s">
        <v>449</v>
      </c>
      <c r="C606" s="18" t="s">
        <v>159</v>
      </c>
      <c r="E606" s="66" t="n">
        <v>10</v>
      </c>
      <c r="F606" s="21" t="str">
        <f aca="false">CONCATENATE(B606,"_",C606, TEXT(E606, "000"))</f>
        <v>NFWB_M. nasutus010</v>
      </c>
      <c r="G606" s="21" t="s">
        <v>487</v>
      </c>
      <c r="H606" s="18" t="n">
        <v>1</v>
      </c>
      <c r="I606" s="22" t="n">
        <v>44693</v>
      </c>
      <c r="J606" s="2" t="s">
        <v>981</v>
      </c>
      <c r="L606" s="2" t="n">
        <v>1</v>
      </c>
      <c r="M606" s="2" t="n">
        <v>1</v>
      </c>
      <c r="N606" s="3" t="n">
        <v>44842</v>
      </c>
      <c r="O606" s="2" t="n">
        <v>4.41</v>
      </c>
      <c r="Q606" s="62" t="str">
        <f aca="false">IF(ISBLANK(N606),"",IF(N606&lt;DATE(2023,5,1),"OLD","NEW"))</f>
        <v>OLD</v>
      </c>
      <c r="S606" s="33" t="n">
        <f aca="false">IF(COUNTIF('[1]Plate_1-2_LongFormat'!$A$2:$A$193,G606)&gt;0,1,0)</f>
        <v>1</v>
      </c>
      <c r="T606" s="33" t="n">
        <f aca="false">IF(COUNTIF([2]Attached_indexes!$C$2:$C$193,G606)&gt;0,1,0)</f>
        <v>1</v>
      </c>
      <c r="U606" s="59"/>
      <c r="V606" s="1" t="s">
        <v>982</v>
      </c>
    </row>
    <row r="607" customFormat="false" ht="15.75" hidden="false" customHeight="true" outlineLevel="0" collapsed="false">
      <c r="A607" s="18" t="s">
        <v>449</v>
      </c>
      <c r="B607" s="18" t="s">
        <v>449</v>
      </c>
      <c r="C607" s="18" t="s">
        <v>159</v>
      </c>
      <c r="E607" s="66" t="n">
        <v>10</v>
      </c>
      <c r="F607" s="21" t="str">
        <f aca="false">CONCATENATE(B607,"_",C607, TEXT(E607, "000"))</f>
        <v>NFWB_M. nasutus010</v>
      </c>
      <c r="G607" s="21" t="s">
        <v>487</v>
      </c>
      <c r="H607" s="18" t="n">
        <v>1</v>
      </c>
      <c r="I607" s="22" t="n">
        <v>44693</v>
      </c>
      <c r="J607" s="2" t="s">
        <v>981</v>
      </c>
      <c r="L607" s="2" t="n">
        <v>1</v>
      </c>
      <c r="M607" s="2" t="n">
        <v>1</v>
      </c>
      <c r="N607" s="3" t="n">
        <v>44842</v>
      </c>
      <c r="O607" s="2" t="n">
        <v>4.41</v>
      </c>
      <c r="Q607" s="62" t="str">
        <f aca="false">IF(ISBLANK(N607),"",IF(N607&lt;DATE(2023,5,1),"OLD","NEW"))</f>
        <v>OLD</v>
      </c>
      <c r="S607" s="33" t="n">
        <f aca="false">IF(COUNTIF('[1]Plate_1-2_LongFormat'!$A$2:$A$193,G607)&gt;0,1,0)</f>
        <v>1</v>
      </c>
      <c r="T607" s="33" t="n">
        <f aca="false">IF(COUNTIF([2]Attached_indexes!$C$2:$C$193,G607)&gt;0,1,0)</f>
        <v>1</v>
      </c>
      <c r="U607" s="59"/>
      <c r="V607" s="1" t="s">
        <v>982</v>
      </c>
    </row>
    <row r="608" customFormat="false" ht="15.75" hidden="false" customHeight="true" outlineLevel="0" collapsed="false">
      <c r="A608" s="18" t="s">
        <v>449</v>
      </c>
      <c r="B608" s="18" t="s">
        <v>449</v>
      </c>
      <c r="C608" s="18" t="s">
        <v>159</v>
      </c>
      <c r="E608" s="66" t="n">
        <v>2</v>
      </c>
      <c r="F608" s="21" t="str">
        <f aca="false">CONCATENATE(B608,"_",C608, TEXT(E608, "000"))</f>
        <v>NFWB_M. nasutus002</v>
      </c>
      <c r="G608" s="21" t="s">
        <v>474</v>
      </c>
      <c r="H608" s="18" t="n">
        <v>1</v>
      </c>
      <c r="I608" s="22" t="n">
        <v>44693</v>
      </c>
      <c r="J608" s="2" t="s">
        <v>981</v>
      </c>
      <c r="L608" s="2" t="n">
        <v>1</v>
      </c>
      <c r="M608" s="2" t="n">
        <v>1</v>
      </c>
      <c r="N608" s="3" t="n">
        <v>44799</v>
      </c>
      <c r="O608" s="64" t="n">
        <v>0.493</v>
      </c>
      <c r="P608" s="64" t="n">
        <v>1</v>
      </c>
      <c r="Q608" s="62" t="str">
        <f aca="false">IF(ISBLANK(N608),"",IF(N608&lt;DATE(2023,5,1),"OLD","NEW"))</f>
        <v>OLD</v>
      </c>
      <c r="S608" s="33" t="n">
        <f aca="false">IF(COUNTIF('[1]Plate_1-2_LongFormat'!$A$2:$A$193,G608)&gt;0,1,0)</f>
        <v>1</v>
      </c>
      <c r="T608" s="33" t="n">
        <f aca="false">IF(COUNTIF([2]Attached_indexes!$C$2:$C$193,G608)&gt;0,1,0)</f>
        <v>1</v>
      </c>
      <c r="U608" s="59"/>
      <c r="V608" s="1" t="s">
        <v>982</v>
      </c>
    </row>
    <row r="609" customFormat="false" ht="15.75" hidden="false" customHeight="true" outlineLevel="0" collapsed="false">
      <c r="A609" s="18" t="s">
        <v>449</v>
      </c>
      <c r="B609" s="18" t="s">
        <v>449</v>
      </c>
      <c r="C609" s="18" t="s">
        <v>159</v>
      </c>
      <c r="E609" s="66" t="n">
        <v>2</v>
      </c>
      <c r="F609" s="21" t="str">
        <f aca="false">CONCATENATE(B609,"_",C609, TEXT(E609, "000"))</f>
        <v>NFWB_M. nasutus002</v>
      </c>
      <c r="G609" s="21" t="s">
        <v>474</v>
      </c>
      <c r="H609" s="18" t="n">
        <v>1</v>
      </c>
      <c r="I609" s="22" t="n">
        <v>44693</v>
      </c>
      <c r="J609" s="2" t="s">
        <v>981</v>
      </c>
      <c r="L609" s="2" t="n">
        <v>1</v>
      </c>
      <c r="M609" s="2" t="n">
        <v>1</v>
      </c>
      <c r="N609" s="3" t="n">
        <v>44799</v>
      </c>
      <c r="O609" s="64" t="n">
        <v>0.493</v>
      </c>
      <c r="P609" s="64" t="n">
        <v>1</v>
      </c>
      <c r="Q609" s="62" t="str">
        <f aca="false">IF(ISBLANK(N609),"",IF(N609&lt;DATE(2023,5,1),"OLD","NEW"))</f>
        <v>OLD</v>
      </c>
      <c r="S609" s="33" t="n">
        <f aca="false">IF(COUNTIF('[1]Plate_1-2_LongFormat'!$A$2:$A$193,G609)&gt;0,1,0)</f>
        <v>1</v>
      </c>
      <c r="T609" s="33" t="n">
        <f aca="false">IF(COUNTIF([2]Attached_indexes!$C$2:$C$193,G609)&gt;0,1,0)</f>
        <v>1</v>
      </c>
      <c r="U609" s="59"/>
      <c r="V609" s="1" t="s">
        <v>982</v>
      </c>
    </row>
    <row r="610" customFormat="false" ht="15.75" hidden="false" customHeight="true" outlineLevel="0" collapsed="false">
      <c r="A610" s="18" t="s">
        <v>449</v>
      </c>
      <c r="B610" s="18" t="s">
        <v>449</v>
      </c>
      <c r="C610" s="18" t="s">
        <v>159</v>
      </c>
      <c r="E610" s="66" t="n">
        <v>2</v>
      </c>
      <c r="F610" s="21" t="str">
        <f aca="false">CONCATENATE(B610,"_",C610, TEXT(E610, "000"))</f>
        <v>NFWB_M. nasutus002</v>
      </c>
      <c r="G610" s="21" t="s">
        <v>474</v>
      </c>
      <c r="H610" s="18" t="n">
        <v>1</v>
      </c>
      <c r="I610" s="22" t="n">
        <v>44693</v>
      </c>
      <c r="J610" s="2" t="s">
        <v>981</v>
      </c>
      <c r="L610" s="2" t="n">
        <v>1</v>
      </c>
      <c r="M610" s="2" t="n">
        <v>1</v>
      </c>
      <c r="N610" s="3" t="n">
        <v>44799</v>
      </c>
      <c r="O610" s="64" t="n">
        <v>0.493</v>
      </c>
      <c r="P610" s="64" t="n">
        <v>1</v>
      </c>
      <c r="Q610" s="62" t="str">
        <f aca="false">IF(ISBLANK(N610),"",IF(N610&lt;DATE(2023,5,1),"OLD","NEW"))</f>
        <v>OLD</v>
      </c>
      <c r="S610" s="33" t="n">
        <f aca="false">IF(COUNTIF('[1]Plate_1-2_LongFormat'!$A$2:$A$193,G610)&gt;0,1,0)</f>
        <v>1</v>
      </c>
      <c r="T610" s="33" t="n">
        <f aca="false">IF(COUNTIF([2]Attached_indexes!$C$2:$C$193,G610)&gt;0,1,0)</f>
        <v>1</v>
      </c>
      <c r="U610" s="59"/>
      <c r="V610" s="1" t="s">
        <v>982</v>
      </c>
    </row>
    <row r="611" customFormat="false" ht="15.75" hidden="false" customHeight="true" outlineLevel="0" collapsed="false">
      <c r="A611" s="18" t="s">
        <v>449</v>
      </c>
      <c r="B611" s="18" t="s">
        <v>449</v>
      </c>
      <c r="C611" s="18" t="s">
        <v>159</v>
      </c>
      <c r="E611" s="66" t="n">
        <v>3</v>
      </c>
      <c r="F611" s="21" t="str">
        <f aca="false">CONCATENATE(B611,"_",C611, TEXT(E611, "000"))</f>
        <v>NFWB_M. nasutus003</v>
      </c>
      <c r="G611" s="21" t="s">
        <v>476</v>
      </c>
      <c r="H611" s="18" t="n">
        <v>1</v>
      </c>
      <c r="I611" s="22" t="n">
        <v>44693</v>
      </c>
      <c r="J611" s="2" t="s">
        <v>981</v>
      </c>
      <c r="L611" s="2" t="n">
        <v>1</v>
      </c>
      <c r="M611" s="2" t="n">
        <v>1</v>
      </c>
      <c r="N611" s="3" t="n">
        <v>44799</v>
      </c>
      <c r="O611" s="64" t="n">
        <v>0.275</v>
      </c>
      <c r="P611" s="64" t="n">
        <v>1</v>
      </c>
      <c r="Q611" s="62" t="str">
        <f aca="false">IF(ISBLANK(N611),"",IF(N611&lt;DATE(2023,5,1),"OLD","NEW"))</f>
        <v>OLD</v>
      </c>
      <c r="S611" s="33" t="n">
        <f aca="false">IF(COUNTIF('[1]Plate_1-2_LongFormat'!$A$2:$A$193,G611)&gt;0,1,0)</f>
        <v>1</v>
      </c>
      <c r="T611" s="33" t="n">
        <f aca="false">IF(COUNTIF([2]Attached_indexes!$C$2:$C$193,G611)&gt;0,1,0)</f>
        <v>1</v>
      </c>
      <c r="U611" s="59"/>
      <c r="V611" s="1" t="s">
        <v>982</v>
      </c>
    </row>
    <row r="612" customFormat="false" ht="15.75" hidden="false" customHeight="true" outlineLevel="0" collapsed="false">
      <c r="A612" s="18" t="s">
        <v>449</v>
      </c>
      <c r="B612" s="18" t="s">
        <v>449</v>
      </c>
      <c r="C612" s="18" t="s">
        <v>159</v>
      </c>
      <c r="E612" s="66" t="n">
        <v>3</v>
      </c>
      <c r="F612" s="21" t="str">
        <f aca="false">CONCATENATE(B612,"_",C612, TEXT(E612, "000"))</f>
        <v>NFWB_M. nasutus003</v>
      </c>
      <c r="G612" s="21" t="s">
        <v>476</v>
      </c>
      <c r="H612" s="18" t="n">
        <v>1</v>
      </c>
      <c r="I612" s="22" t="n">
        <v>44693</v>
      </c>
      <c r="J612" s="2" t="s">
        <v>981</v>
      </c>
      <c r="L612" s="2" t="n">
        <v>1</v>
      </c>
      <c r="M612" s="2" t="n">
        <v>1</v>
      </c>
      <c r="N612" s="3" t="n">
        <v>44799</v>
      </c>
      <c r="O612" s="64" t="n">
        <v>0.275</v>
      </c>
      <c r="P612" s="64" t="n">
        <v>1</v>
      </c>
      <c r="Q612" s="62" t="str">
        <f aca="false">IF(ISBLANK(N612),"",IF(N612&lt;DATE(2023,5,1),"OLD","NEW"))</f>
        <v>OLD</v>
      </c>
      <c r="S612" s="33" t="n">
        <f aca="false">IF(COUNTIF('[1]Plate_1-2_LongFormat'!$A$2:$A$193,G612)&gt;0,1,0)</f>
        <v>1</v>
      </c>
      <c r="T612" s="33" t="n">
        <f aca="false">IF(COUNTIF([2]Attached_indexes!$C$2:$C$193,G612)&gt;0,1,0)</f>
        <v>1</v>
      </c>
      <c r="U612" s="59"/>
      <c r="V612" s="1" t="s">
        <v>982</v>
      </c>
    </row>
    <row r="613" customFormat="false" ht="15.75" hidden="false" customHeight="true" outlineLevel="0" collapsed="false">
      <c r="A613" s="18" t="s">
        <v>449</v>
      </c>
      <c r="B613" s="18" t="s">
        <v>449</v>
      </c>
      <c r="C613" s="18" t="s">
        <v>159</v>
      </c>
      <c r="E613" s="66" t="n">
        <v>3</v>
      </c>
      <c r="F613" s="21" t="str">
        <f aca="false">CONCATENATE(B613,"_",C613, TEXT(E613, "000"))</f>
        <v>NFWB_M. nasutus003</v>
      </c>
      <c r="G613" s="21" t="s">
        <v>476</v>
      </c>
      <c r="H613" s="18" t="n">
        <v>1</v>
      </c>
      <c r="I613" s="22" t="n">
        <v>44693</v>
      </c>
      <c r="J613" s="2" t="s">
        <v>981</v>
      </c>
      <c r="L613" s="2" t="n">
        <v>1</v>
      </c>
      <c r="M613" s="2" t="n">
        <v>1</v>
      </c>
      <c r="N613" s="3" t="n">
        <v>44799</v>
      </c>
      <c r="O613" s="64" t="n">
        <v>0.275</v>
      </c>
      <c r="P613" s="64" t="n">
        <v>1</v>
      </c>
      <c r="Q613" s="62" t="str">
        <f aca="false">IF(ISBLANK(N613),"",IF(N613&lt;DATE(2023,5,1),"OLD","NEW"))</f>
        <v>OLD</v>
      </c>
      <c r="S613" s="33" t="n">
        <f aca="false">IF(COUNTIF('[1]Plate_1-2_LongFormat'!$A$2:$A$193,G613)&gt;0,1,0)</f>
        <v>1</v>
      </c>
      <c r="T613" s="33" t="n">
        <f aca="false">IF(COUNTIF([2]Attached_indexes!$C$2:$C$193,G613)&gt;0,1,0)</f>
        <v>1</v>
      </c>
      <c r="U613" s="59"/>
      <c r="V613" s="1" t="s">
        <v>982</v>
      </c>
    </row>
    <row r="614" customFormat="false" ht="15.75" hidden="false" customHeight="true" outlineLevel="0" collapsed="false">
      <c r="A614" s="18" t="s">
        <v>449</v>
      </c>
      <c r="B614" s="18" t="s">
        <v>449</v>
      </c>
      <c r="C614" s="18" t="s">
        <v>159</v>
      </c>
      <c r="E614" s="66" t="n">
        <v>4</v>
      </c>
      <c r="F614" s="21" t="str">
        <f aca="false">CONCATENATE(B614,"_",C614, TEXT(E614, "000"))</f>
        <v>NFWB_M. nasutus004</v>
      </c>
      <c r="G614" s="21" t="s">
        <v>478</v>
      </c>
      <c r="H614" s="18" t="n">
        <v>1</v>
      </c>
      <c r="I614" s="22" t="n">
        <v>44693</v>
      </c>
      <c r="J614" s="2" t="s">
        <v>981</v>
      </c>
      <c r="K614" s="2" t="s">
        <v>1037</v>
      </c>
      <c r="L614" s="2" t="n">
        <v>1</v>
      </c>
      <c r="M614" s="2" t="n">
        <v>1</v>
      </c>
      <c r="N614" s="3" t="n">
        <v>45056</v>
      </c>
      <c r="O614" s="64" t="n">
        <v>5.81</v>
      </c>
      <c r="P614" s="64" t="n">
        <v>3</v>
      </c>
      <c r="Q614" s="62" t="str">
        <f aca="false">IF(ISBLANK(N614),"",IF(N614&lt;DATE(2023,5,1),"OLD","NEW"))</f>
        <v>NEW</v>
      </c>
      <c r="S614" s="33" t="n">
        <f aca="false">IF(COUNTIF('[1]Plate_1-2_LongFormat'!$A$2:$A$193,G614)&gt;0,1,0)</f>
        <v>0</v>
      </c>
      <c r="T614" s="33" t="n">
        <f aca="false">IF(COUNTIF([2]Attached_indexes!$C$2:$C$193,G614)&gt;0,1,0)</f>
        <v>0</v>
      </c>
      <c r="U614" s="59"/>
      <c r="V614" s="1" t="s">
        <v>982</v>
      </c>
    </row>
    <row r="615" customFormat="false" ht="15.75" hidden="false" customHeight="true" outlineLevel="0" collapsed="false">
      <c r="A615" s="18" t="s">
        <v>449</v>
      </c>
      <c r="B615" s="18" t="s">
        <v>449</v>
      </c>
      <c r="C615" s="18" t="s">
        <v>159</v>
      </c>
      <c r="E615" s="66" t="n">
        <v>4</v>
      </c>
      <c r="F615" s="21" t="str">
        <f aca="false">CONCATENATE(B615,"_",C615, TEXT(E615, "000"))</f>
        <v>NFWB_M. nasutus004</v>
      </c>
      <c r="G615" s="21" t="s">
        <v>478</v>
      </c>
      <c r="H615" s="18" t="n">
        <v>1</v>
      </c>
      <c r="I615" s="22" t="n">
        <v>44693</v>
      </c>
      <c r="J615" s="2" t="s">
        <v>981</v>
      </c>
      <c r="K615" s="2" t="s">
        <v>1037</v>
      </c>
      <c r="L615" s="2" t="n">
        <v>1</v>
      </c>
      <c r="M615" s="2" t="n">
        <v>1</v>
      </c>
      <c r="N615" s="3" t="n">
        <v>45056</v>
      </c>
      <c r="O615" s="64" t="n">
        <v>5.81</v>
      </c>
      <c r="P615" s="64" t="n">
        <v>3</v>
      </c>
      <c r="Q615" s="62" t="str">
        <f aca="false">IF(ISBLANK(N615),"",IF(N615&lt;DATE(2023,5,1),"OLD","NEW"))</f>
        <v>NEW</v>
      </c>
      <c r="S615" s="33" t="n">
        <f aca="false">IF(COUNTIF('[1]Plate_1-2_LongFormat'!$A$2:$A$193,G615)&gt;0,1,0)</f>
        <v>0</v>
      </c>
      <c r="T615" s="33" t="n">
        <f aca="false">IF(COUNTIF([2]Attached_indexes!$C$2:$C$193,G615)&gt;0,1,0)</f>
        <v>0</v>
      </c>
      <c r="U615" s="59"/>
      <c r="V615" s="1" t="s">
        <v>982</v>
      </c>
    </row>
    <row r="616" customFormat="false" ht="15.75" hidden="false" customHeight="true" outlineLevel="0" collapsed="false">
      <c r="A616" s="18" t="s">
        <v>449</v>
      </c>
      <c r="B616" s="18" t="s">
        <v>449</v>
      </c>
      <c r="C616" s="18" t="s">
        <v>159</v>
      </c>
      <c r="E616" s="66" t="n">
        <v>4</v>
      </c>
      <c r="F616" s="21" t="str">
        <f aca="false">CONCATENATE(B616,"_",C616, TEXT(E616, "000"))</f>
        <v>NFWB_M. nasutus004</v>
      </c>
      <c r="G616" s="21" t="s">
        <v>478</v>
      </c>
      <c r="H616" s="18" t="n">
        <v>1</v>
      </c>
      <c r="I616" s="22" t="n">
        <v>44693</v>
      </c>
      <c r="J616" s="2" t="s">
        <v>981</v>
      </c>
      <c r="K616" s="2" t="s">
        <v>1037</v>
      </c>
      <c r="L616" s="2" t="n">
        <v>1</v>
      </c>
      <c r="M616" s="2" t="n">
        <v>1</v>
      </c>
      <c r="N616" s="3" t="n">
        <v>45056</v>
      </c>
      <c r="O616" s="64" t="n">
        <v>5.81</v>
      </c>
      <c r="P616" s="64" t="n">
        <v>3</v>
      </c>
      <c r="Q616" s="62" t="str">
        <f aca="false">IF(ISBLANK(N616),"",IF(N616&lt;DATE(2023,5,1),"OLD","NEW"))</f>
        <v>NEW</v>
      </c>
      <c r="S616" s="33" t="n">
        <f aca="false">IF(COUNTIF('[1]Plate_1-2_LongFormat'!$A$2:$A$193,G616)&gt;0,1,0)</f>
        <v>0</v>
      </c>
      <c r="T616" s="33" t="n">
        <f aca="false">IF(COUNTIF([2]Attached_indexes!$C$2:$C$193,G616)&gt;0,1,0)</f>
        <v>0</v>
      </c>
      <c r="U616" s="59"/>
      <c r="V616" s="1" t="s">
        <v>982</v>
      </c>
    </row>
    <row r="617" customFormat="false" ht="15.75" hidden="false" customHeight="true" outlineLevel="0" collapsed="false">
      <c r="A617" s="18" t="s">
        <v>449</v>
      </c>
      <c r="B617" s="18" t="s">
        <v>449</v>
      </c>
      <c r="C617" s="18" t="s">
        <v>159</v>
      </c>
      <c r="E617" s="66" t="n">
        <v>5</v>
      </c>
      <c r="F617" s="21" t="str">
        <f aca="false">CONCATENATE(B617,"_",C617, TEXT(E617, "000"))</f>
        <v>NFWB_M. nasutus005</v>
      </c>
      <c r="G617" s="21" t="s">
        <v>480</v>
      </c>
      <c r="H617" s="18" t="n">
        <v>1</v>
      </c>
      <c r="I617" s="22" t="n">
        <v>44693</v>
      </c>
      <c r="J617" s="2" t="s">
        <v>981</v>
      </c>
      <c r="K617" s="68" t="s">
        <v>1038</v>
      </c>
      <c r="L617" s="2" t="n">
        <v>1</v>
      </c>
      <c r="M617" s="2" t="n">
        <v>1</v>
      </c>
      <c r="N617" s="3" t="n">
        <v>45071</v>
      </c>
      <c r="O617" s="64" t="n">
        <v>3.74</v>
      </c>
      <c r="P617" s="64" t="n">
        <v>4</v>
      </c>
      <c r="Q617" s="62" t="str">
        <f aca="false">IF(ISBLANK(N617),"",IF(N617&lt;DATE(2023,5,1),"OLD","NEW"))</f>
        <v>NEW</v>
      </c>
      <c r="S617" s="33" t="n">
        <f aca="false">IF(COUNTIF('[1]Plate_1-2_LongFormat'!$A$2:$A$193,G617)&gt;0,1,0)</f>
        <v>0</v>
      </c>
      <c r="T617" s="33" t="n">
        <f aca="false">IF(COUNTIF([2]Attached_indexes!$C$2:$C$193,G617)&gt;0,1,0)</f>
        <v>0</v>
      </c>
      <c r="U617" s="59"/>
      <c r="V617" s="1" t="s">
        <v>982</v>
      </c>
    </row>
    <row r="618" customFormat="false" ht="15.75" hidden="false" customHeight="true" outlineLevel="0" collapsed="false">
      <c r="A618" s="18" t="s">
        <v>449</v>
      </c>
      <c r="B618" s="18" t="s">
        <v>449</v>
      </c>
      <c r="C618" s="18" t="s">
        <v>159</v>
      </c>
      <c r="E618" s="66" t="n">
        <v>5</v>
      </c>
      <c r="F618" s="21" t="str">
        <f aca="false">CONCATENATE(B618,"_",C618, TEXT(E618, "000"))</f>
        <v>NFWB_M. nasutus005</v>
      </c>
      <c r="G618" s="21" t="s">
        <v>480</v>
      </c>
      <c r="H618" s="18" t="n">
        <v>1</v>
      </c>
      <c r="I618" s="22" t="n">
        <v>44693</v>
      </c>
      <c r="J618" s="2" t="s">
        <v>981</v>
      </c>
      <c r="K618" s="68" t="s">
        <v>1038</v>
      </c>
      <c r="L618" s="2" t="n">
        <v>1</v>
      </c>
      <c r="M618" s="2" t="n">
        <v>1</v>
      </c>
      <c r="N618" s="3" t="n">
        <v>45071</v>
      </c>
      <c r="O618" s="64" t="n">
        <v>3.74</v>
      </c>
      <c r="P618" s="64" t="n">
        <v>4</v>
      </c>
      <c r="Q618" s="62" t="str">
        <f aca="false">IF(ISBLANK(N618),"",IF(N618&lt;DATE(2023,5,1),"OLD","NEW"))</f>
        <v>NEW</v>
      </c>
      <c r="S618" s="33" t="n">
        <f aca="false">IF(COUNTIF('[1]Plate_1-2_LongFormat'!$A$2:$A$193,G618)&gt;0,1,0)</f>
        <v>0</v>
      </c>
      <c r="T618" s="33" t="n">
        <f aca="false">IF(COUNTIF([2]Attached_indexes!$C$2:$C$193,G618)&gt;0,1,0)</f>
        <v>0</v>
      </c>
      <c r="U618" s="59"/>
      <c r="V618" s="1" t="s">
        <v>982</v>
      </c>
    </row>
    <row r="619" customFormat="false" ht="15.75" hidden="false" customHeight="true" outlineLevel="0" collapsed="false">
      <c r="A619" s="18" t="s">
        <v>449</v>
      </c>
      <c r="B619" s="18" t="s">
        <v>449</v>
      </c>
      <c r="C619" s="18" t="s">
        <v>159</v>
      </c>
      <c r="E619" s="66" t="n">
        <v>5</v>
      </c>
      <c r="F619" s="21" t="str">
        <f aca="false">CONCATENATE(B619,"_",C619, TEXT(E619, "000"))</f>
        <v>NFWB_M. nasutus005</v>
      </c>
      <c r="G619" s="21" t="s">
        <v>480</v>
      </c>
      <c r="H619" s="18" t="n">
        <v>1</v>
      </c>
      <c r="I619" s="22" t="n">
        <v>44693</v>
      </c>
      <c r="J619" s="2" t="s">
        <v>981</v>
      </c>
      <c r="K619" s="68" t="s">
        <v>1038</v>
      </c>
      <c r="L619" s="2" t="n">
        <v>1</v>
      </c>
      <c r="M619" s="2" t="n">
        <v>1</v>
      </c>
      <c r="N619" s="3" t="n">
        <v>45071</v>
      </c>
      <c r="O619" s="64" t="n">
        <v>3.74</v>
      </c>
      <c r="P619" s="64" t="n">
        <v>4</v>
      </c>
      <c r="Q619" s="62" t="str">
        <f aca="false">IF(ISBLANK(N619),"",IF(N619&lt;DATE(2023,5,1),"OLD","NEW"))</f>
        <v>NEW</v>
      </c>
      <c r="S619" s="33" t="n">
        <f aca="false">IF(COUNTIF('[1]Plate_1-2_LongFormat'!$A$2:$A$193,G619)&gt;0,1,0)</f>
        <v>0</v>
      </c>
      <c r="T619" s="33" t="n">
        <f aca="false">IF(COUNTIF([2]Attached_indexes!$C$2:$C$193,G619)&gt;0,1,0)</f>
        <v>0</v>
      </c>
      <c r="U619" s="59"/>
      <c r="V619" s="1" t="s">
        <v>982</v>
      </c>
    </row>
    <row r="620" customFormat="false" ht="15.75" hidden="false" customHeight="true" outlineLevel="0" collapsed="false">
      <c r="A620" s="18" t="s">
        <v>449</v>
      </c>
      <c r="B620" s="18" t="s">
        <v>449</v>
      </c>
      <c r="C620" s="18" t="s">
        <v>159</v>
      </c>
      <c r="E620" s="66" t="n">
        <v>6</v>
      </c>
      <c r="F620" s="21" t="str">
        <f aca="false">CONCATENATE(B620,"_",C620, TEXT(E620, "000"))</f>
        <v>NFWB_M. nasutus006</v>
      </c>
      <c r="G620" s="21" t="s">
        <v>482</v>
      </c>
      <c r="H620" s="18" t="n">
        <v>1</v>
      </c>
      <c r="I620" s="22" t="n">
        <v>44693</v>
      </c>
      <c r="J620" s="2" t="s">
        <v>981</v>
      </c>
      <c r="L620" s="2" t="n">
        <v>1</v>
      </c>
      <c r="M620" s="2" t="n">
        <v>1</v>
      </c>
      <c r="N620" s="3" t="n">
        <v>44842</v>
      </c>
      <c r="O620" s="2" t="n">
        <v>0.787</v>
      </c>
      <c r="Q620" s="62" t="str">
        <f aca="false">IF(ISBLANK(N620),"",IF(N620&lt;DATE(2023,5,1),"OLD","NEW"))</f>
        <v>OLD</v>
      </c>
      <c r="S620" s="33" t="n">
        <f aca="false">IF(COUNTIF('[1]Plate_1-2_LongFormat'!$A$2:$A$193,G620)&gt;0,1,0)</f>
        <v>1</v>
      </c>
      <c r="T620" s="33" t="n">
        <f aca="false">IF(COUNTIF([2]Attached_indexes!$C$2:$C$193,G620)&gt;0,1,0)</f>
        <v>1</v>
      </c>
      <c r="U620" s="59"/>
      <c r="V620" s="1" t="s">
        <v>982</v>
      </c>
    </row>
    <row r="621" customFormat="false" ht="15.75" hidden="false" customHeight="true" outlineLevel="0" collapsed="false">
      <c r="A621" s="18" t="s">
        <v>449</v>
      </c>
      <c r="B621" s="18" t="s">
        <v>449</v>
      </c>
      <c r="C621" s="18" t="s">
        <v>159</v>
      </c>
      <c r="E621" s="66" t="n">
        <v>6</v>
      </c>
      <c r="F621" s="21" t="str">
        <f aca="false">CONCATENATE(B621,"_",C621, TEXT(E621, "000"))</f>
        <v>NFWB_M. nasutus006</v>
      </c>
      <c r="G621" s="21" t="s">
        <v>482</v>
      </c>
      <c r="H621" s="18" t="n">
        <v>1</v>
      </c>
      <c r="I621" s="22" t="n">
        <v>44693</v>
      </c>
      <c r="J621" s="2" t="s">
        <v>981</v>
      </c>
      <c r="L621" s="2" t="n">
        <v>1</v>
      </c>
      <c r="M621" s="2" t="n">
        <v>1</v>
      </c>
      <c r="N621" s="3" t="n">
        <v>44842</v>
      </c>
      <c r="O621" s="2" t="n">
        <v>0.787</v>
      </c>
      <c r="Q621" s="62" t="str">
        <f aca="false">IF(ISBLANK(N621),"",IF(N621&lt;DATE(2023,5,1),"OLD","NEW"))</f>
        <v>OLD</v>
      </c>
      <c r="S621" s="33" t="n">
        <f aca="false">IF(COUNTIF('[1]Plate_1-2_LongFormat'!$A$2:$A$193,G621)&gt;0,1,0)</f>
        <v>1</v>
      </c>
      <c r="T621" s="33" t="n">
        <f aca="false">IF(COUNTIF([2]Attached_indexes!$C$2:$C$193,G621)&gt;0,1,0)</f>
        <v>1</v>
      </c>
      <c r="U621" s="59"/>
      <c r="V621" s="1" t="s">
        <v>982</v>
      </c>
    </row>
    <row r="622" customFormat="false" ht="15.75" hidden="false" customHeight="true" outlineLevel="0" collapsed="false">
      <c r="A622" s="18" t="s">
        <v>449</v>
      </c>
      <c r="B622" s="18" t="s">
        <v>449</v>
      </c>
      <c r="C622" s="18" t="s">
        <v>159</v>
      </c>
      <c r="E622" s="66" t="n">
        <v>6</v>
      </c>
      <c r="F622" s="21" t="str">
        <f aca="false">CONCATENATE(B622,"_",C622, TEXT(E622, "000"))</f>
        <v>NFWB_M. nasutus006</v>
      </c>
      <c r="G622" s="21" t="s">
        <v>482</v>
      </c>
      <c r="H622" s="18" t="n">
        <v>1</v>
      </c>
      <c r="I622" s="22" t="n">
        <v>44693</v>
      </c>
      <c r="J622" s="2" t="s">
        <v>981</v>
      </c>
      <c r="L622" s="2" t="n">
        <v>1</v>
      </c>
      <c r="M622" s="2" t="n">
        <v>1</v>
      </c>
      <c r="N622" s="3" t="n">
        <v>44842</v>
      </c>
      <c r="O622" s="2" t="n">
        <v>0.787</v>
      </c>
      <c r="Q622" s="62" t="str">
        <f aca="false">IF(ISBLANK(N622),"",IF(N622&lt;DATE(2023,5,1),"OLD","NEW"))</f>
        <v>OLD</v>
      </c>
      <c r="S622" s="33" t="n">
        <f aca="false">IF(COUNTIF('[1]Plate_1-2_LongFormat'!$A$2:$A$193,G622)&gt;0,1,0)</f>
        <v>1</v>
      </c>
      <c r="T622" s="33" t="n">
        <f aca="false">IF(COUNTIF([2]Attached_indexes!$C$2:$C$193,G622)&gt;0,1,0)</f>
        <v>1</v>
      </c>
      <c r="U622" s="59"/>
      <c r="V622" s="1" t="s">
        <v>982</v>
      </c>
    </row>
    <row r="623" customFormat="false" ht="15.75" hidden="false" customHeight="true" outlineLevel="0" collapsed="false">
      <c r="A623" s="18" t="s">
        <v>449</v>
      </c>
      <c r="B623" s="18" t="s">
        <v>449</v>
      </c>
      <c r="C623" s="18" t="s">
        <v>159</v>
      </c>
      <c r="E623" s="66" t="n">
        <v>7</v>
      </c>
      <c r="F623" s="21" t="str">
        <f aca="false">CONCATENATE(B623,"_",C623, TEXT(E623, "000"))</f>
        <v>NFWB_M. nasutus007</v>
      </c>
      <c r="G623" s="21" t="s">
        <v>483</v>
      </c>
      <c r="H623" s="18" t="n">
        <v>1</v>
      </c>
      <c r="I623" s="22" t="n">
        <v>44693</v>
      </c>
      <c r="J623" s="2" t="s">
        <v>981</v>
      </c>
      <c r="L623" s="2" t="n">
        <v>1</v>
      </c>
      <c r="M623" s="2" t="n">
        <v>1</v>
      </c>
      <c r="N623" s="3" t="n">
        <v>44999</v>
      </c>
      <c r="O623" s="2" t="n">
        <v>1.71</v>
      </c>
      <c r="P623" s="2" t="n">
        <v>3</v>
      </c>
      <c r="Q623" s="62" t="str">
        <f aca="false">IF(ISBLANK(N623),"",IF(N623&lt;DATE(2023,5,1),"OLD","NEW"))</f>
        <v>OLD</v>
      </c>
      <c r="S623" s="33" t="n">
        <f aca="false">IF(COUNTIF('[1]Plate_1-2_LongFormat'!$A$2:$A$193,G623)&gt;0,1,0)</f>
        <v>1</v>
      </c>
      <c r="T623" s="33" t="n">
        <f aca="false">IF(COUNTIF([2]Attached_indexes!$C$2:$C$193,G623)&gt;0,1,0)</f>
        <v>1</v>
      </c>
      <c r="U623" s="59"/>
      <c r="V623" s="1" t="s">
        <v>982</v>
      </c>
    </row>
    <row r="624" customFormat="false" ht="15.75" hidden="false" customHeight="true" outlineLevel="0" collapsed="false">
      <c r="A624" s="18" t="s">
        <v>449</v>
      </c>
      <c r="B624" s="18" t="s">
        <v>449</v>
      </c>
      <c r="C624" s="18" t="s">
        <v>159</v>
      </c>
      <c r="E624" s="66" t="n">
        <v>7</v>
      </c>
      <c r="F624" s="21" t="str">
        <f aca="false">CONCATENATE(B624,"_",C624, TEXT(E624, "000"))</f>
        <v>NFWB_M. nasutus007</v>
      </c>
      <c r="G624" s="21" t="s">
        <v>483</v>
      </c>
      <c r="H624" s="18" t="n">
        <v>1</v>
      </c>
      <c r="I624" s="22" t="n">
        <v>44693</v>
      </c>
      <c r="J624" s="2" t="s">
        <v>981</v>
      </c>
      <c r="L624" s="2" t="n">
        <v>1</v>
      </c>
      <c r="M624" s="2" t="n">
        <v>1</v>
      </c>
      <c r="N624" s="3" t="n">
        <v>44999</v>
      </c>
      <c r="O624" s="2" t="n">
        <v>1.71</v>
      </c>
      <c r="P624" s="2" t="n">
        <v>3</v>
      </c>
      <c r="Q624" s="62" t="str">
        <f aca="false">IF(ISBLANK(N624),"",IF(N624&lt;DATE(2023,5,1),"OLD","NEW"))</f>
        <v>OLD</v>
      </c>
      <c r="S624" s="33" t="n">
        <f aca="false">IF(COUNTIF('[1]Plate_1-2_LongFormat'!$A$2:$A$193,G624)&gt;0,1,0)</f>
        <v>1</v>
      </c>
      <c r="T624" s="33" t="n">
        <f aca="false">IF(COUNTIF([2]Attached_indexes!$C$2:$C$193,G624)&gt;0,1,0)</f>
        <v>1</v>
      </c>
      <c r="U624" s="59"/>
      <c r="V624" s="1" t="s">
        <v>982</v>
      </c>
    </row>
    <row r="625" customFormat="false" ht="15.75" hidden="false" customHeight="true" outlineLevel="0" collapsed="false">
      <c r="A625" s="18" t="s">
        <v>449</v>
      </c>
      <c r="B625" s="18" t="s">
        <v>449</v>
      </c>
      <c r="C625" s="18" t="s">
        <v>159</v>
      </c>
      <c r="E625" s="66" t="n">
        <v>7</v>
      </c>
      <c r="F625" s="21" t="str">
        <f aca="false">CONCATENATE(B625,"_",C625, TEXT(E625, "000"))</f>
        <v>NFWB_M. nasutus007</v>
      </c>
      <c r="G625" s="21" t="s">
        <v>483</v>
      </c>
      <c r="H625" s="18" t="n">
        <v>1</v>
      </c>
      <c r="I625" s="22" t="n">
        <v>44693</v>
      </c>
      <c r="J625" s="2" t="s">
        <v>981</v>
      </c>
      <c r="L625" s="2" t="n">
        <v>1</v>
      </c>
      <c r="M625" s="2" t="n">
        <v>1</v>
      </c>
      <c r="N625" s="3" t="n">
        <v>44999</v>
      </c>
      <c r="O625" s="2" t="n">
        <v>1.71</v>
      </c>
      <c r="P625" s="2" t="n">
        <v>3</v>
      </c>
      <c r="Q625" s="62" t="str">
        <f aca="false">IF(ISBLANK(N625),"",IF(N625&lt;DATE(2023,5,1),"OLD","NEW"))</f>
        <v>OLD</v>
      </c>
      <c r="S625" s="33" t="n">
        <f aca="false">IF(COUNTIF('[1]Plate_1-2_LongFormat'!$A$2:$A$193,G625)&gt;0,1,0)</f>
        <v>1</v>
      </c>
      <c r="T625" s="33" t="n">
        <f aca="false">IF(COUNTIF([2]Attached_indexes!$C$2:$C$193,G625)&gt;0,1,0)</f>
        <v>1</v>
      </c>
      <c r="U625" s="59"/>
      <c r="V625" s="1" t="s">
        <v>982</v>
      </c>
    </row>
    <row r="626" customFormat="false" ht="15.75" hidden="false" customHeight="true" outlineLevel="0" collapsed="false">
      <c r="A626" s="18" t="s">
        <v>449</v>
      </c>
      <c r="B626" s="18" t="s">
        <v>449</v>
      </c>
      <c r="C626" s="18" t="s">
        <v>159</v>
      </c>
      <c r="E626" s="66" t="n">
        <v>8</v>
      </c>
      <c r="F626" s="21" t="str">
        <f aca="false">CONCATENATE(B626,"_",C626, TEXT(E626, "000"))</f>
        <v>NFWB_M. nasutus008</v>
      </c>
      <c r="G626" s="21" t="s">
        <v>485</v>
      </c>
      <c r="H626" s="18" t="n">
        <v>1</v>
      </c>
      <c r="I626" s="22" t="n">
        <v>44693</v>
      </c>
      <c r="J626" s="2" t="s">
        <v>981</v>
      </c>
      <c r="L626" s="2" t="n">
        <v>1</v>
      </c>
      <c r="M626" s="2" t="n">
        <v>1</v>
      </c>
      <c r="N626" s="3" t="n">
        <v>44842</v>
      </c>
      <c r="O626" s="2" t="n">
        <v>0.116</v>
      </c>
      <c r="Q626" s="62" t="str">
        <f aca="false">IF(ISBLANK(N626),"",IF(N626&lt;DATE(2023,5,1),"OLD","NEW"))</f>
        <v>OLD</v>
      </c>
      <c r="S626" s="33" t="n">
        <f aca="false">IF(COUNTIF('[1]Plate_1-2_LongFormat'!$A$2:$A$193,G626)&gt;0,1,0)</f>
        <v>1</v>
      </c>
      <c r="T626" s="33" t="n">
        <f aca="false">IF(COUNTIF([2]Attached_indexes!$C$2:$C$193,G626)&gt;0,1,0)</f>
        <v>1</v>
      </c>
      <c r="U626" s="59"/>
      <c r="V626" s="1" t="s">
        <v>982</v>
      </c>
    </row>
    <row r="627" customFormat="false" ht="15.75" hidden="false" customHeight="true" outlineLevel="0" collapsed="false">
      <c r="A627" s="18" t="s">
        <v>449</v>
      </c>
      <c r="B627" s="18" t="s">
        <v>449</v>
      </c>
      <c r="C627" s="18" t="s">
        <v>159</v>
      </c>
      <c r="E627" s="66" t="n">
        <v>8</v>
      </c>
      <c r="F627" s="21" t="str">
        <f aca="false">CONCATENATE(B627,"_",C627, TEXT(E627, "000"))</f>
        <v>NFWB_M. nasutus008</v>
      </c>
      <c r="G627" s="21" t="s">
        <v>485</v>
      </c>
      <c r="H627" s="18" t="n">
        <v>1</v>
      </c>
      <c r="I627" s="22" t="n">
        <v>44693</v>
      </c>
      <c r="J627" s="2" t="s">
        <v>981</v>
      </c>
      <c r="L627" s="2" t="n">
        <v>1</v>
      </c>
      <c r="M627" s="2" t="n">
        <v>1</v>
      </c>
      <c r="N627" s="3" t="n">
        <v>44842</v>
      </c>
      <c r="O627" s="2" t="n">
        <v>0.116</v>
      </c>
      <c r="Q627" s="62" t="str">
        <f aca="false">IF(ISBLANK(N627),"",IF(N627&lt;DATE(2023,5,1),"OLD","NEW"))</f>
        <v>OLD</v>
      </c>
      <c r="S627" s="33" t="n">
        <f aca="false">IF(COUNTIF('[1]Plate_1-2_LongFormat'!$A$2:$A$193,G627)&gt;0,1,0)</f>
        <v>1</v>
      </c>
      <c r="T627" s="33" t="n">
        <f aca="false">IF(COUNTIF([2]Attached_indexes!$C$2:$C$193,G627)&gt;0,1,0)</f>
        <v>1</v>
      </c>
      <c r="U627" s="59"/>
      <c r="V627" s="1" t="s">
        <v>982</v>
      </c>
    </row>
    <row r="628" customFormat="false" ht="15.75" hidden="false" customHeight="true" outlineLevel="0" collapsed="false">
      <c r="A628" s="18" t="s">
        <v>449</v>
      </c>
      <c r="B628" s="18" t="s">
        <v>449</v>
      </c>
      <c r="C628" s="18" t="s">
        <v>159</v>
      </c>
      <c r="E628" s="66" t="n">
        <v>8</v>
      </c>
      <c r="F628" s="21" t="str">
        <f aca="false">CONCATENATE(B628,"_",C628, TEXT(E628, "000"))</f>
        <v>NFWB_M. nasutus008</v>
      </c>
      <c r="G628" s="21" t="s">
        <v>485</v>
      </c>
      <c r="H628" s="18" t="n">
        <v>1</v>
      </c>
      <c r="I628" s="22" t="n">
        <v>44693</v>
      </c>
      <c r="J628" s="2" t="s">
        <v>981</v>
      </c>
      <c r="L628" s="2" t="n">
        <v>1</v>
      </c>
      <c r="M628" s="2" t="n">
        <v>1</v>
      </c>
      <c r="N628" s="3" t="n">
        <v>44842</v>
      </c>
      <c r="O628" s="2" t="n">
        <v>0.116</v>
      </c>
      <c r="Q628" s="62" t="str">
        <f aca="false">IF(ISBLANK(N628),"",IF(N628&lt;DATE(2023,5,1),"OLD","NEW"))</f>
        <v>OLD</v>
      </c>
      <c r="S628" s="33" t="n">
        <f aca="false">IF(COUNTIF('[1]Plate_1-2_LongFormat'!$A$2:$A$193,G628)&gt;0,1,0)</f>
        <v>1</v>
      </c>
      <c r="T628" s="33" t="n">
        <f aca="false">IF(COUNTIF([2]Attached_indexes!$C$2:$C$193,G628)&gt;0,1,0)</f>
        <v>1</v>
      </c>
      <c r="U628" s="59"/>
      <c r="V628" s="1" t="s">
        <v>982</v>
      </c>
    </row>
    <row r="629" customFormat="false" ht="15.75" hidden="false" customHeight="true" outlineLevel="0" collapsed="false">
      <c r="A629" s="18" t="s">
        <v>449</v>
      </c>
      <c r="B629" s="18" t="s">
        <v>449</v>
      </c>
      <c r="C629" s="18" t="s">
        <v>159</v>
      </c>
      <c r="E629" s="66" t="n">
        <v>9</v>
      </c>
      <c r="F629" s="21" t="str">
        <f aca="false">CONCATENATE(B629,"_",C629, TEXT(E629, "000"))</f>
        <v>NFWB_M. nasutus009</v>
      </c>
      <c r="G629" s="21" t="s">
        <v>486</v>
      </c>
      <c r="H629" s="18" t="n">
        <v>1</v>
      </c>
      <c r="I629" s="22" t="n">
        <v>44693</v>
      </c>
      <c r="J629" s="2" t="s">
        <v>981</v>
      </c>
      <c r="L629" s="2" t="n">
        <v>1</v>
      </c>
      <c r="M629" s="2" t="n">
        <v>1</v>
      </c>
      <c r="N629" s="3" t="n">
        <v>44914</v>
      </c>
      <c r="O629" s="2" t="n">
        <v>11.8</v>
      </c>
      <c r="P629" s="2" t="n">
        <v>2</v>
      </c>
      <c r="Q629" s="62" t="str">
        <f aca="false">IF(ISBLANK(N629),"",IF(N629&lt;DATE(2023,5,1),"OLD","NEW"))</f>
        <v>OLD</v>
      </c>
      <c r="S629" s="33" t="n">
        <f aca="false">IF(COUNTIF('[1]Plate_1-2_LongFormat'!$A$2:$A$193,G629)&gt;0,1,0)</f>
        <v>1</v>
      </c>
      <c r="T629" s="33" t="n">
        <f aca="false">IF(COUNTIF([2]Attached_indexes!$C$2:$C$193,G629)&gt;0,1,0)</f>
        <v>1</v>
      </c>
      <c r="U629" s="59"/>
      <c r="V629" s="1" t="s">
        <v>982</v>
      </c>
    </row>
    <row r="630" customFormat="false" ht="15.75" hidden="false" customHeight="true" outlineLevel="0" collapsed="false">
      <c r="A630" s="18" t="s">
        <v>449</v>
      </c>
      <c r="B630" s="18" t="s">
        <v>449</v>
      </c>
      <c r="C630" s="18" t="s">
        <v>159</v>
      </c>
      <c r="E630" s="66" t="n">
        <v>9</v>
      </c>
      <c r="F630" s="21" t="str">
        <f aca="false">CONCATENATE(B630,"_",C630, TEXT(E630, "000"))</f>
        <v>NFWB_M. nasutus009</v>
      </c>
      <c r="G630" s="21" t="s">
        <v>486</v>
      </c>
      <c r="H630" s="18" t="n">
        <v>1</v>
      </c>
      <c r="I630" s="22" t="n">
        <v>44693</v>
      </c>
      <c r="J630" s="2" t="s">
        <v>981</v>
      </c>
      <c r="L630" s="2" t="n">
        <v>1</v>
      </c>
      <c r="M630" s="2" t="n">
        <v>1</v>
      </c>
      <c r="N630" s="3" t="n">
        <v>44914</v>
      </c>
      <c r="O630" s="2" t="n">
        <v>11.8</v>
      </c>
      <c r="P630" s="2" t="n">
        <v>2</v>
      </c>
      <c r="Q630" s="62" t="str">
        <f aca="false">IF(ISBLANK(N630),"",IF(N630&lt;DATE(2023,5,1),"OLD","NEW"))</f>
        <v>OLD</v>
      </c>
      <c r="S630" s="33" t="n">
        <f aca="false">IF(COUNTIF('[1]Plate_1-2_LongFormat'!$A$2:$A$193,G630)&gt;0,1,0)</f>
        <v>1</v>
      </c>
      <c r="T630" s="33" t="n">
        <f aca="false">IF(COUNTIF([2]Attached_indexes!$C$2:$C$193,G630)&gt;0,1,0)</f>
        <v>1</v>
      </c>
      <c r="U630" s="59"/>
      <c r="V630" s="1" t="s">
        <v>982</v>
      </c>
    </row>
    <row r="631" customFormat="false" ht="15.75" hidden="false" customHeight="true" outlineLevel="0" collapsed="false">
      <c r="A631" s="18" t="s">
        <v>449</v>
      </c>
      <c r="B631" s="18" t="s">
        <v>449</v>
      </c>
      <c r="C631" s="18" t="s">
        <v>159</v>
      </c>
      <c r="E631" s="66" t="n">
        <v>9</v>
      </c>
      <c r="F631" s="21" t="str">
        <f aca="false">CONCATENATE(B631,"_",C631, TEXT(E631, "000"))</f>
        <v>NFWB_M. nasutus009</v>
      </c>
      <c r="G631" s="21" t="s">
        <v>486</v>
      </c>
      <c r="H631" s="18" t="n">
        <v>1</v>
      </c>
      <c r="I631" s="22" t="n">
        <v>44693</v>
      </c>
      <c r="J631" s="2" t="s">
        <v>981</v>
      </c>
      <c r="L631" s="2" t="n">
        <v>1</v>
      </c>
      <c r="M631" s="2" t="n">
        <v>1</v>
      </c>
      <c r="N631" s="3" t="n">
        <v>44914</v>
      </c>
      <c r="O631" s="2" t="n">
        <v>11.8</v>
      </c>
      <c r="P631" s="2" t="n">
        <v>2</v>
      </c>
      <c r="Q631" s="62" t="str">
        <f aca="false">IF(ISBLANK(N631),"",IF(N631&lt;DATE(2023,5,1),"OLD","NEW"))</f>
        <v>OLD</v>
      </c>
      <c r="S631" s="33" t="n">
        <f aca="false">IF(COUNTIF('[1]Plate_1-2_LongFormat'!$A$2:$A$193,G631)&gt;0,1,0)</f>
        <v>1</v>
      </c>
      <c r="T631" s="33" t="n">
        <f aca="false">IF(COUNTIF([2]Attached_indexes!$C$2:$C$193,G631)&gt;0,1,0)</f>
        <v>1</v>
      </c>
      <c r="U631" s="59"/>
      <c r="V631" s="1" t="s">
        <v>982</v>
      </c>
    </row>
    <row r="632" customFormat="false" ht="15.75" hidden="false" customHeight="true" outlineLevel="0" collapsed="false">
      <c r="A632" s="18" t="s">
        <v>820</v>
      </c>
      <c r="B632" s="18" t="s">
        <v>820</v>
      </c>
      <c r="C632" s="2" t="s">
        <v>31</v>
      </c>
      <c r="E632" s="66" t="n">
        <v>1</v>
      </c>
      <c r="F632" s="21" t="str">
        <f aca="false">CONCATENATE(B632,"_",C632, TEXT(E632, "000"))</f>
        <v>OPNZ_M. laciniatus001</v>
      </c>
      <c r="G632" s="21" t="s">
        <v>738</v>
      </c>
      <c r="I632" s="22" t="n">
        <v>44394</v>
      </c>
      <c r="J632" s="2"/>
      <c r="L632" s="2"/>
      <c r="M632" s="2"/>
      <c r="N632" s="3"/>
      <c r="O632" s="2"/>
      <c r="P632" s="2"/>
      <c r="Q632" s="62" t="str">
        <f aca="false">IF(ISBLANK(N632),"",IF(N632&lt;DATE(2023,5,1),"OLD","NEW"))</f>
        <v/>
      </c>
      <c r="S632" s="33" t="n">
        <f aca="false">IF(COUNTIF('[1]Plate_1-2_LongFormat'!$A$2:$A$193,G632)&gt;0,1,0)</f>
        <v>0</v>
      </c>
      <c r="T632" s="33" t="n">
        <f aca="false">IF(COUNTIF([2]Attached_indexes!$C$2:$C$193,G632)&gt;0,1,0)</f>
        <v>0</v>
      </c>
      <c r="U632" s="59"/>
      <c r="V632" s="1" t="s">
        <v>982</v>
      </c>
    </row>
    <row r="633" customFormat="false" ht="15.75" hidden="false" customHeight="true" outlineLevel="0" collapsed="false">
      <c r="A633" s="18" t="s">
        <v>820</v>
      </c>
      <c r="B633" s="18" t="s">
        <v>820</v>
      </c>
      <c r="C633" s="2" t="s">
        <v>31</v>
      </c>
      <c r="E633" s="66" t="n">
        <v>1</v>
      </c>
      <c r="F633" s="21" t="str">
        <f aca="false">CONCATENATE(B633,"_",C633, TEXT(E633, "000"))</f>
        <v>OPNZ_M. laciniatus001</v>
      </c>
      <c r="G633" s="21" t="s">
        <v>738</v>
      </c>
      <c r="I633" s="22" t="n">
        <v>44394</v>
      </c>
      <c r="J633" s="2"/>
      <c r="L633" s="2"/>
      <c r="M633" s="2"/>
      <c r="N633" s="3"/>
      <c r="O633" s="2"/>
      <c r="P633" s="2"/>
      <c r="Q633" s="62" t="str">
        <f aca="false">IF(ISBLANK(N633),"",IF(N633&lt;DATE(2023,5,1),"OLD","NEW"))</f>
        <v/>
      </c>
      <c r="S633" s="33" t="n">
        <f aca="false">IF(COUNTIF('[1]Plate_1-2_LongFormat'!$A$2:$A$193,G633)&gt;0,1,0)</f>
        <v>0</v>
      </c>
      <c r="T633" s="33" t="n">
        <f aca="false">IF(COUNTIF([2]Attached_indexes!$C$2:$C$193,G633)&gt;0,1,0)</f>
        <v>0</v>
      </c>
      <c r="U633" s="59"/>
      <c r="V633" s="1" t="s">
        <v>982</v>
      </c>
    </row>
    <row r="634" customFormat="false" ht="15.75" hidden="false" customHeight="true" outlineLevel="0" collapsed="false">
      <c r="A634" s="18" t="s">
        <v>820</v>
      </c>
      <c r="B634" s="18" t="s">
        <v>820</v>
      </c>
      <c r="C634" s="2" t="s">
        <v>31</v>
      </c>
      <c r="E634" s="66" t="n">
        <v>1</v>
      </c>
      <c r="F634" s="21" t="str">
        <f aca="false">CONCATENATE(B634,"_",C634, TEXT(E634, "000"))</f>
        <v>OPNZ_M. laciniatus001</v>
      </c>
      <c r="G634" s="21" t="s">
        <v>738</v>
      </c>
      <c r="I634" s="22" t="n">
        <v>44394</v>
      </c>
      <c r="J634" s="2"/>
      <c r="L634" s="2"/>
      <c r="M634" s="2"/>
      <c r="N634" s="3"/>
      <c r="O634" s="2"/>
      <c r="P634" s="2"/>
      <c r="Q634" s="62" t="str">
        <f aca="false">IF(ISBLANK(N634),"",IF(N634&lt;DATE(2023,5,1),"OLD","NEW"))</f>
        <v/>
      </c>
      <c r="S634" s="33" t="n">
        <f aca="false">IF(COUNTIF('[1]Plate_1-2_LongFormat'!$A$2:$A$193,G634)&gt;0,1,0)</f>
        <v>0</v>
      </c>
      <c r="T634" s="33" t="n">
        <f aca="false">IF(COUNTIF([2]Attached_indexes!$C$2:$C$193,G634)&gt;0,1,0)</f>
        <v>0</v>
      </c>
      <c r="U634" s="59"/>
      <c r="V634" s="1" t="s">
        <v>982</v>
      </c>
    </row>
    <row r="635" customFormat="false" ht="15.75" hidden="false" customHeight="true" outlineLevel="0" collapsed="false">
      <c r="A635" s="18" t="s">
        <v>820</v>
      </c>
      <c r="B635" s="18" t="s">
        <v>820</v>
      </c>
      <c r="C635" s="2" t="s">
        <v>31</v>
      </c>
      <c r="E635" s="66" t="n">
        <v>2</v>
      </c>
      <c r="F635" s="21" t="str">
        <f aca="false">CONCATENATE(B635,"_",C635, TEXT(E635, "000"))</f>
        <v>OPNZ_M. laciniatus002</v>
      </c>
      <c r="G635" s="21" t="s">
        <v>740</v>
      </c>
      <c r="I635" s="22" t="n">
        <v>44394</v>
      </c>
      <c r="J635" s="2"/>
      <c r="L635" s="2"/>
      <c r="M635" s="2"/>
      <c r="N635" s="3"/>
      <c r="O635" s="2"/>
      <c r="P635" s="2"/>
      <c r="Q635" s="62" t="str">
        <f aca="false">IF(ISBLANK(N635),"",IF(N635&lt;DATE(2023,5,1),"OLD","NEW"))</f>
        <v/>
      </c>
      <c r="S635" s="33" t="n">
        <f aca="false">IF(COUNTIF('[1]Plate_1-2_LongFormat'!$A$2:$A$193,G635)&gt;0,1,0)</f>
        <v>0</v>
      </c>
      <c r="T635" s="33" t="n">
        <f aca="false">IF(COUNTIF([2]Attached_indexes!$C$2:$C$193,G635)&gt;0,1,0)</f>
        <v>0</v>
      </c>
      <c r="U635" s="59"/>
      <c r="V635" s="1" t="s">
        <v>982</v>
      </c>
    </row>
    <row r="636" customFormat="false" ht="15.75" hidden="false" customHeight="true" outlineLevel="0" collapsed="false">
      <c r="A636" s="18" t="s">
        <v>820</v>
      </c>
      <c r="B636" s="18" t="s">
        <v>820</v>
      </c>
      <c r="C636" s="2" t="s">
        <v>31</v>
      </c>
      <c r="E636" s="66" t="n">
        <v>2</v>
      </c>
      <c r="F636" s="21" t="str">
        <f aca="false">CONCATENATE(B636,"_",C636, TEXT(E636, "000"))</f>
        <v>OPNZ_M. laciniatus002</v>
      </c>
      <c r="G636" s="21" t="s">
        <v>740</v>
      </c>
      <c r="I636" s="22" t="n">
        <v>44394</v>
      </c>
      <c r="J636" s="2"/>
      <c r="L636" s="2"/>
      <c r="M636" s="2"/>
      <c r="N636" s="3"/>
      <c r="O636" s="2"/>
      <c r="P636" s="2"/>
      <c r="Q636" s="62" t="str">
        <f aca="false">IF(ISBLANK(N636),"",IF(N636&lt;DATE(2023,5,1),"OLD","NEW"))</f>
        <v/>
      </c>
      <c r="S636" s="33" t="n">
        <f aca="false">IF(COUNTIF('[1]Plate_1-2_LongFormat'!$A$2:$A$193,G636)&gt;0,1,0)</f>
        <v>0</v>
      </c>
      <c r="T636" s="33" t="n">
        <f aca="false">IF(COUNTIF([2]Attached_indexes!$C$2:$C$193,G636)&gt;0,1,0)</f>
        <v>0</v>
      </c>
      <c r="U636" s="59"/>
      <c r="V636" s="1" t="s">
        <v>982</v>
      </c>
    </row>
    <row r="637" customFormat="false" ht="15.75" hidden="false" customHeight="true" outlineLevel="0" collapsed="false">
      <c r="A637" s="18" t="s">
        <v>820</v>
      </c>
      <c r="B637" s="18" t="s">
        <v>820</v>
      </c>
      <c r="C637" s="2" t="s">
        <v>31</v>
      </c>
      <c r="E637" s="66" t="n">
        <v>2</v>
      </c>
      <c r="F637" s="21" t="str">
        <f aca="false">CONCATENATE(B637,"_",C637, TEXT(E637, "000"))</f>
        <v>OPNZ_M. laciniatus002</v>
      </c>
      <c r="G637" s="21" t="s">
        <v>740</v>
      </c>
      <c r="I637" s="22" t="n">
        <v>44394</v>
      </c>
      <c r="J637" s="2"/>
      <c r="L637" s="2"/>
      <c r="M637" s="2"/>
      <c r="N637" s="3"/>
      <c r="O637" s="2"/>
      <c r="P637" s="2"/>
      <c r="Q637" s="62" t="str">
        <f aca="false">IF(ISBLANK(N637),"",IF(N637&lt;DATE(2023,5,1),"OLD","NEW"))</f>
        <v/>
      </c>
      <c r="S637" s="33" t="n">
        <f aca="false">IF(COUNTIF('[1]Plate_1-2_LongFormat'!$A$2:$A$193,G637)&gt;0,1,0)</f>
        <v>0</v>
      </c>
      <c r="T637" s="33" t="n">
        <f aca="false">IF(COUNTIF([2]Attached_indexes!$C$2:$C$193,G637)&gt;0,1,0)</f>
        <v>0</v>
      </c>
      <c r="U637" s="59"/>
      <c r="V637" s="1" t="s">
        <v>982</v>
      </c>
    </row>
    <row r="638" customFormat="false" ht="15.75" hidden="false" customHeight="true" outlineLevel="0" collapsed="false">
      <c r="A638" s="18" t="s">
        <v>820</v>
      </c>
      <c r="B638" s="18" t="s">
        <v>820</v>
      </c>
      <c r="C638" s="2" t="s">
        <v>31</v>
      </c>
      <c r="E638" s="66" t="n">
        <v>3</v>
      </c>
      <c r="F638" s="21" t="str">
        <f aca="false">CONCATENATE(B638,"_",C638, TEXT(E638, "000"))</f>
        <v>OPNZ_M. laciniatus003</v>
      </c>
      <c r="G638" s="21" t="s">
        <v>741</v>
      </c>
      <c r="I638" s="22" t="n">
        <v>44394</v>
      </c>
      <c r="J638" s="2"/>
      <c r="L638" s="2"/>
      <c r="M638" s="2"/>
      <c r="N638" s="3"/>
      <c r="O638" s="2"/>
      <c r="P638" s="2"/>
      <c r="Q638" s="62" t="str">
        <f aca="false">IF(ISBLANK(N638),"",IF(N638&lt;DATE(2023,5,1),"OLD","NEW"))</f>
        <v/>
      </c>
      <c r="S638" s="33" t="n">
        <f aca="false">IF(COUNTIF('[1]Plate_1-2_LongFormat'!$A$2:$A$193,G638)&gt;0,1,0)</f>
        <v>0</v>
      </c>
      <c r="T638" s="33" t="n">
        <f aca="false">IF(COUNTIF([2]Attached_indexes!$C$2:$C$193,G638)&gt;0,1,0)</f>
        <v>0</v>
      </c>
      <c r="U638" s="59"/>
      <c r="V638" s="1" t="s">
        <v>982</v>
      </c>
    </row>
    <row r="639" customFormat="false" ht="15.75" hidden="false" customHeight="true" outlineLevel="0" collapsed="false">
      <c r="A639" s="18" t="s">
        <v>820</v>
      </c>
      <c r="B639" s="18" t="s">
        <v>820</v>
      </c>
      <c r="C639" s="2" t="s">
        <v>31</v>
      </c>
      <c r="E639" s="66" t="n">
        <v>3</v>
      </c>
      <c r="F639" s="21" t="str">
        <f aca="false">CONCATENATE(B639,"_",C639, TEXT(E639, "000"))</f>
        <v>OPNZ_M. laciniatus003</v>
      </c>
      <c r="G639" s="21" t="s">
        <v>741</v>
      </c>
      <c r="I639" s="22" t="n">
        <v>44394</v>
      </c>
      <c r="J639" s="2"/>
      <c r="L639" s="2"/>
      <c r="M639" s="2"/>
      <c r="N639" s="3"/>
      <c r="O639" s="2"/>
      <c r="P639" s="2"/>
      <c r="Q639" s="62" t="str">
        <f aca="false">IF(ISBLANK(N639),"",IF(N639&lt;DATE(2023,5,1),"OLD","NEW"))</f>
        <v/>
      </c>
      <c r="S639" s="33" t="n">
        <f aca="false">IF(COUNTIF('[1]Plate_1-2_LongFormat'!$A$2:$A$193,G639)&gt;0,1,0)</f>
        <v>0</v>
      </c>
      <c r="T639" s="33" t="n">
        <f aca="false">IF(COUNTIF([2]Attached_indexes!$C$2:$C$193,G639)&gt;0,1,0)</f>
        <v>0</v>
      </c>
      <c r="U639" s="59"/>
      <c r="V639" s="1" t="s">
        <v>982</v>
      </c>
    </row>
    <row r="640" customFormat="false" ht="15.75" hidden="false" customHeight="true" outlineLevel="0" collapsed="false">
      <c r="A640" s="18" t="s">
        <v>820</v>
      </c>
      <c r="B640" s="18" t="s">
        <v>820</v>
      </c>
      <c r="C640" s="2" t="s">
        <v>31</v>
      </c>
      <c r="E640" s="66" t="n">
        <v>3</v>
      </c>
      <c r="F640" s="21" t="str">
        <f aca="false">CONCATENATE(B640,"_",C640, TEXT(E640, "000"))</f>
        <v>OPNZ_M. laciniatus003</v>
      </c>
      <c r="G640" s="21" t="s">
        <v>741</v>
      </c>
      <c r="I640" s="22" t="n">
        <v>44394</v>
      </c>
      <c r="J640" s="2"/>
      <c r="L640" s="2"/>
      <c r="M640" s="2"/>
      <c r="N640" s="3"/>
      <c r="O640" s="2"/>
      <c r="P640" s="2"/>
      <c r="Q640" s="62" t="str">
        <f aca="false">IF(ISBLANK(N640),"",IF(N640&lt;DATE(2023,5,1),"OLD","NEW"))</f>
        <v/>
      </c>
      <c r="S640" s="33" t="n">
        <f aca="false">IF(COUNTIF('[1]Plate_1-2_LongFormat'!$A$2:$A$193,G640)&gt;0,1,0)</f>
        <v>0</v>
      </c>
      <c r="T640" s="33" t="n">
        <f aca="false">IF(COUNTIF([2]Attached_indexes!$C$2:$C$193,G640)&gt;0,1,0)</f>
        <v>0</v>
      </c>
      <c r="U640" s="59"/>
      <c r="V640" s="1" t="s">
        <v>982</v>
      </c>
    </row>
    <row r="641" customFormat="false" ht="15.75" hidden="false" customHeight="true" outlineLevel="0" collapsed="false">
      <c r="A641" s="18" t="s">
        <v>820</v>
      </c>
      <c r="B641" s="18" t="s">
        <v>820</v>
      </c>
      <c r="C641" s="2" t="s">
        <v>31</v>
      </c>
      <c r="E641" s="66" t="n">
        <v>4</v>
      </c>
      <c r="F641" s="21" t="str">
        <f aca="false">CONCATENATE(B641,"_",C641, TEXT(E641, "000"))</f>
        <v>OPNZ_M. laciniatus004</v>
      </c>
      <c r="G641" s="21" t="s">
        <v>742</v>
      </c>
      <c r="I641" s="22" t="n">
        <v>44394</v>
      </c>
      <c r="J641" s="2"/>
      <c r="L641" s="2"/>
      <c r="M641" s="2"/>
      <c r="N641" s="3"/>
      <c r="O641" s="2"/>
      <c r="P641" s="2"/>
      <c r="Q641" s="62" t="str">
        <f aca="false">IF(ISBLANK(N641),"",IF(N641&lt;DATE(2023,5,1),"OLD","NEW"))</f>
        <v/>
      </c>
      <c r="S641" s="33" t="n">
        <f aca="false">IF(COUNTIF('[1]Plate_1-2_LongFormat'!$A$2:$A$193,G641)&gt;0,1,0)</f>
        <v>0</v>
      </c>
      <c r="T641" s="33" t="n">
        <f aca="false">IF(COUNTIF([2]Attached_indexes!$C$2:$C$193,G641)&gt;0,1,0)</f>
        <v>0</v>
      </c>
      <c r="U641" s="59"/>
      <c r="V641" s="1" t="s">
        <v>982</v>
      </c>
    </row>
    <row r="642" customFormat="false" ht="15.75" hidden="false" customHeight="true" outlineLevel="0" collapsed="false">
      <c r="A642" s="18" t="s">
        <v>820</v>
      </c>
      <c r="B642" s="18" t="s">
        <v>820</v>
      </c>
      <c r="C642" s="2" t="s">
        <v>31</v>
      </c>
      <c r="E642" s="66" t="n">
        <v>4</v>
      </c>
      <c r="F642" s="21" t="str">
        <f aca="false">CONCATENATE(B642,"_",C642, TEXT(E642, "000"))</f>
        <v>OPNZ_M. laciniatus004</v>
      </c>
      <c r="G642" s="21" t="s">
        <v>742</v>
      </c>
      <c r="I642" s="22" t="n">
        <v>44394</v>
      </c>
      <c r="J642" s="2"/>
      <c r="L642" s="2"/>
      <c r="M642" s="2"/>
      <c r="N642" s="3"/>
      <c r="O642" s="2"/>
      <c r="P642" s="2"/>
      <c r="Q642" s="62" t="str">
        <f aca="false">IF(ISBLANK(N642),"",IF(N642&lt;DATE(2023,5,1),"OLD","NEW"))</f>
        <v/>
      </c>
      <c r="S642" s="33" t="n">
        <f aca="false">IF(COUNTIF('[1]Plate_1-2_LongFormat'!$A$2:$A$193,G642)&gt;0,1,0)</f>
        <v>0</v>
      </c>
      <c r="T642" s="33" t="n">
        <f aca="false">IF(COUNTIF([2]Attached_indexes!$C$2:$C$193,G642)&gt;0,1,0)</f>
        <v>0</v>
      </c>
      <c r="U642" s="59"/>
      <c r="V642" s="1" t="s">
        <v>982</v>
      </c>
    </row>
    <row r="643" customFormat="false" ht="15.75" hidden="false" customHeight="true" outlineLevel="0" collapsed="false">
      <c r="A643" s="18" t="s">
        <v>820</v>
      </c>
      <c r="B643" s="18" t="s">
        <v>820</v>
      </c>
      <c r="C643" s="2" t="s">
        <v>31</v>
      </c>
      <c r="E643" s="66" t="n">
        <v>4</v>
      </c>
      <c r="F643" s="21" t="str">
        <f aca="false">CONCATENATE(B643,"_",C643, TEXT(E643, "000"))</f>
        <v>OPNZ_M. laciniatus004</v>
      </c>
      <c r="G643" s="21" t="s">
        <v>742</v>
      </c>
      <c r="I643" s="22" t="n">
        <v>44394</v>
      </c>
      <c r="J643" s="2"/>
      <c r="L643" s="2"/>
      <c r="M643" s="2"/>
      <c r="N643" s="3"/>
      <c r="O643" s="2"/>
      <c r="P643" s="2"/>
      <c r="Q643" s="62" t="str">
        <f aca="false">IF(ISBLANK(N643),"",IF(N643&lt;DATE(2023,5,1),"OLD","NEW"))</f>
        <v/>
      </c>
      <c r="S643" s="33" t="n">
        <f aca="false">IF(COUNTIF('[1]Plate_1-2_LongFormat'!$A$2:$A$193,G643)&gt;0,1,0)</f>
        <v>0</v>
      </c>
      <c r="T643" s="33" t="n">
        <f aca="false">IF(COUNTIF([2]Attached_indexes!$C$2:$C$193,G643)&gt;0,1,0)</f>
        <v>0</v>
      </c>
      <c r="U643" s="59"/>
      <c r="V643" s="1" t="s">
        <v>982</v>
      </c>
    </row>
    <row r="644" customFormat="false" ht="15.75" hidden="false" customHeight="true" outlineLevel="0" collapsed="false">
      <c r="A644" s="18" t="s">
        <v>820</v>
      </c>
      <c r="B644" s="18" t="s">
        <v>820</v>
      </c>
      <c r="C644" s="2" t="s">
        <v>31</v>
      </c>
      <c r="E644" s="66" t="n">
        <v>5</v>
      </c>
      <c r="F644" s="21" t="str">
        <f aca="false">CONCATENATE(B644,"_",C644, TEXT(E644, "000"))</f>
        <v>OPNZ_M. laciniatus005</v>
      </c>
      <c r="G644" s="21" t="s">
        <v>743</v>
      </c>
      <c r="I644" s="22" t="n">
        <v>44394</v>
      </c>
      <c r="J644" s="2"/>
      <c r="L644" s="2"/>
      <c r="M644" s="2"/>
      <c r="N644" s="3"/>
      <c r="O644" s="2"/>
      <c r="P644" s="2"/>
      <c r="Q644" s="62" t="str">
        <f aca="false">IF(ISBLANK(N644),"",IF(N644&lt;DATE(2023,5,1),"OLD","NEW"))</f>
        <v/>
      </c>
      <c r="S644" s="33" t="n">
        <f aca="false">IF(COUNTIF('[1]Plate_1-2_LongFormat'!$A$2:$A$193,G644)&gt;0,1,0)</f>
        <v>0</v>
      </c>
      <c r="T644" s="33" t="n">
        <f aca="false">IF(COUNTIF([2]Attached_indexes!$C$2:$C$193,G644)&gt;0,1,0)</f>
        <v>0</v>
      </c>
      <c r="U644" s="59"/>
      <c r="V644" s="1" t="s">
        <v>982</v>
      </c>
    </row>
    <row r="645" customFormat="false" ht="15.75" hidden="false" customHeight="true" outlineLevel="0" collapsed="false">
      <c r="A645" s="18" t="s">
        <v>820</v>
      </c>
      <c r="B645" s="18" t="s">
        <v>820</v>
      </c>
      <c r="C645" s="2" t="s">
        <v>31</v>
      </c>
      <c r="E645" s="66" t="n">
        <v>5</v>
      </c>
      <c r="F645" s="21" t="str">
        <f aca="false">CONCATENATE(B645,"_",C645, TEXT(E645, "000"))</f>
        <v>OPNZ_M. laciniatus005</v>
      </c>
      <c r="G645" s="21" t="s">
        <v>743</v>
      </c>
      <c r="I645" s="22" t="n">
        <v>44394</v>
      </c>
      <c r="J645" s="2"/>
      <c r="L645" s="2"/>
      <c r="M645" s="2"/>
      <c r="N645" s="3"/>
      <c r="O645" s="2"/>
      <c r="P645" s="2"/>
      <c r="Q645" s="62" t="str">
        <f aca="false">IF(ISBLANK(N645),"",IF(N645&lt;DATE(2023,5,1),"OLD","NEW"))</f>
        <v/>
      </c>
      <c r="S645" s="33" t="n">
        <f aca="false">IF(COUNTIF('[1]Plate_1-2_LongFormat'!$A$2:$A$193,G645)&gt;0,1,0)</f>
        <v>0</v>
      </c>
      <c r="T645" s="33" t="n">
        <f aca="false">IF(COUNTIF([2]Attached_indexes!$C$2:$C$193,G645)&gt;0,1,0)</f>
        <v>0</v>
      </c>
      <c r="U645" s="59"/>
      <c r="V645" s="1" t="s">
        <v>982</v>
      </c>
    </row>
    <row r="646" customFormat="false" ht="15.75" hidden="false" customHeight="true" outlineLevel="0" collapsed="false">
      <c r="A646" s="18" t="s">
        <v>820</v>
      </c>
      <c r="B646" s="18" t="s">
        <v>820</v>
      </c>
      <c r="C646" s="2" t="s">
        <v>31</v>
      </c>
      <c r="E646" s="66" t="n">
        <v>5</v>
      </c>
      <c r="F646" s="21" t="str">
        <f aca="false">CONCATENATE(B646,"_",C646, TEXT(E646, "000"))</f>
        <v>OPNZ_M. laciniatus005</v>
      </c>
      <c r="G646" s="21" t="s">
        <v>743</v>
      </c>
      <c r="I646" s="22" t="n">
        <v>44394</v>
      </c>
      <c r="J646" s="2"/>
      <c r="L646" s="2"/>
      <c r="M646" s="2"/>
      <c r="N646" s="3"/>
      <c r="O646" s="2"/>
      <c r="P646" s="2"/>
      <c r="Q646" s="62" t="str">
        <f aca="false">IF(ISBLANK(N646),"",IF(N646&lt;DATE(2023,5,1),"OLD","NEW"))</f>
        <v/>
      </c>
      <c r="S646" s="33" t="n">
        <f aca="false">IF(COUNTIF('[1]Plate_1-2_LongFormat'!$A$2:$A$193,G646)&gt;0,1,0)</f>
        <v>0</v>
      </c>
      <c r="T646" s="33" t="n">
        <f aca="false">IF(COUNTIF([2]Attached_indexes!$C$2:$C$193,G646)&gt;0,1,0)</f>
        <v>0</v>
      </c>
      <c r="U646" s="59"/>
      <c r="V646" s="1" t="s">
        <v>982</v>
      </c>
    </row>
    <row r="647" customFormat="false" ht="15.75" hidden="false" customHeight="true" outlineLevel="0" collapsed="false">
      <c r="A647" s="18" t="s">
        <v>820</v>
      </c>
      <c r="B647" s="18" t="s">
        <v>820</v>
      </c>
      <c r="C647" s="2" t="s">
        <v>31</v>
      </c>
      <c r="E647" s="66" t="n">
        <v>6</v>
      </c>
      <c r="F647" s="21" t="str">
        <f aca="false">CONCATENATE(B647,"_",C647, TEXT(E647, "000"))</f>
        <v>OPNZ_M. laciniatus006</v>
      </c>
      <c r="G647" s="21" t="s">
        <v>744</v>
      </c>
      <c r="I647" s="22" t="n">
        <v>44394</v>
      </c>
      <c r="J647" s="2"/>
      <c r="L647" s="2"/>
      <c r="M647" s="2"/>
      <c r="N647" s="3"/>
      <c r="O647" s="2"/>
      <c r="P647" s="2"/>
      <c r="Q647" s="62" t="str">
        <f aca="false">IF(ISBLANK(N647),"",IF(N647&lt;DATE(2023,5,1),"OLD","NEW"))</f>
        <v/>
      </c>
      <c r="S647" s="33" t="n">
        <f aca="false">IF(COUNTIF('[1]Plate_1-2_LongFormat'!$A$2:$A$193,G647)&gt;0,1,0)</f>
        <v>0</v>
      </c>
      <c r="T647" s="33" t="n">
        <f aca="false">IF(COUNTIF([2]Attached_indexes!$C$2:$C$193,G647)&gt;0,1,0)</f>
        <v>0</v>
      </c>
      <c r="U647" s="59"/>
      <c r="V647" s="1" t="s">
        <v>982</v>
      </c>
    </row>
    <row r="648" customFormat="false" ht="15.75" hidden="false" customHeight="true" outlineLevel="0" collapsed="false">
      <c r="A648" s="18" t="s">
        <v>820</v>
      </c>
      <c r="B648" s="18" t="s">
        <v>820</v>
      </c>
      <c r="C648" s="2" t="s">
        <v>31</v>
      </c>
      <c r="E648" s="66" t="n">
        <v>6</v>
      </c>
      <c r="F648" s="21" t="str">
        <f aca="false">CONCATENATE(B648,"_",C648, TEXT(E648, "000"))</f>
        <v>OPNZ_M. laciniatus006</v>
      </c>
      <c r="G648" s="21" t="s">
        <v>744</v>
      </c>
      <c r="I648" s="22" t="n">
        <v>44394</v>
      </c>
      <c r="J648" s="2"/>
      <c r="L648" s="2"/>
      <c r="M648" s="2"/>
      <c r="N648" s="3"/>
      <c r="O648" s="2"/>
      <c r="P648" s="2"/>
      <c r="Q648" s="62" t="str">
        <f aca="false">IF(ISBLANK(N648),"",IF(N648&lt;DATE(2023,5,1),"OLD","NEW"))</f>
        <v/>
      </c>
      <c r="S648" s="33" t="n">
        <f aca="false">IF(COUNTIF('[1]Plate_1-2_LongFormat'!$A$2:$A$193,G648)&gt;0,1,0)</f>
        <v>0</v>
      </c>
      <c r="T648" s="33" t="n">
        <f aca="false">IF(COUNTIF([2]Attached_indexes!$C$2:$C$193,G648)&gt;0,1,0)</f>
        <v>0</v>
      </c>
      <c r="U648" s="59"/>
      <c r="V648" s="1" t="s">
        <v>982</v>
      </c>
    </row>
    <row r="649" customFormat="false" ht="15.75" hidden="false" customHeight="true" outlineLevel="0" collapsed="false">
      <c r="A649" s="18" t="s">
        <v>820</v>
      </c>
      <c r="B649" s="18" t="s">
        <v>820</v>
      </c>
      <c r="C649" s="2" t="s">
        <v>31</v>
      </c>
      <c r="E649" s="66" t="n">
        <v>6</v>
      </c>
      <c r="F649" s="21" t="str">
        <f aca="false">CONCATENATE(B649,"_",C649, TEXT(E649, "000"))</f>
        <v>OPNZ_M. laciniatus006</v>
      </c>
      <c r="G649" s="21" t="s">
        <v>744</v>
      </c>
      <c r="I649" s="22" t="n">
        <v>44394</v>
      </c>
      <c r="J649" s="2"/>
      <c r="L649" s="2"/>
      <c r="M649" s="2"/>
      <c r="N649" s="3"/>
      <c r="O649" s="2"/>
      <c r="P649" s="2"/>
      <c r="Q649" s="62" t="str">
        <f aca="false">IF(ISBLANK(N649),"",IF(N649&lt;DATE(2023,5,1),"OLD","NEW"))</f>
        <v/>
      </c>
      <c r="S649" s="33" t="n">
        <f aca="false">IF(COUNTIF('[1]Plate_1-2_LongFormat'!$A$2:$A$193,G649)&gt;0,1,0)</f>
        <v>0</v>
      </c>
      <c r="T649" s="33" t="n">
        <f aca="false">IF(COUNTIF([2]Attached_indexes!$C$2:$C$193,G649)&gt;0,1,0)</f>
        <v>0</v>
      </c>
      <c r="U649" s="59"/>
      <c r="V649" s="1" t="s">
        <v>982</v>
      </c>
    </row>
    <row r="650" customFormat="false" ht="15.75" hidden="false" customHeight="true" outlineLevel="0" collapsed="false">
      <c r="A650" s="18" t="s">
        <v>820</v>
      </c>
      <c r="B650" s="18" t="s">
        <v>820</v>
      </c>
      <c r="C650" s="2" t="s">
        <v>31</v>
      </c>
      <c r="E650" s="66" t="n">
        <v>7</v>
      </c>
      <c r="F650" s="21" t="str">
        <f aca="false">CONCATENATE(B650,"_",C650, TEXT(E650, "000"))</f>
        <v>OPNZ_M. laciniatus007</v>
      </c>
      <c r="G650" s="21" t="s">
        <v>745</v>
      </c>
      <c r="I650" s="22" t="n">
        <v>44394</v>
      </c>
      <c r="J650" s="2"/>
      <c r="L650" s="2"/>
      <c r="M650" s="2"/>
      <c r="N650" s="3"/>
      <c r="O650" s="2"/>
      <c r="P650" s="2"/>
      <c r="Q650" s="62" t="str">
        <f aca="false">IF(ISBLANK(N650),"",IF(N650&lt;DATE(2023,5,1),"OLD","NEW"))</f>
        <v/>
      </c>
      <c r="S650" s="33" t="n">
        <f aca="false">IF(COUNTIF('[1]Plate_1-2_LongFormat'!$A$2:$A$193,G650)&gt;0,1,0)</f>
        <v>0</v>
      </c>
      <c r="T650" s="33" t="n">
        <f aca="false">IF(COUNTIF([2]Attached_indexes!$C$2:$C$193,G650)&gt;0,1,0)</f>
        <v>0</v>
      </c>
      <c r="U650" s="59"/>
      <c r="V650" s="1" t="s">
        <v>982</v>
      </c>
    </row>
    <row r="651" customFormat="false" ht="15.75" hidden="false" customHeight="true" outlineLevel="0" collapsed="false">
      <c r="A651" s="18" t="s">
        <v>820</v>
      </c>
      <c r="B651" s="18" t="s">
        <v>820</v>
      </c>
      <c r="C651" s="2" t="s">
        <v>31</v>
      </c>
      <c r="E651" s="66" t="n">
        <v>7</v>
      </c>
      <c r="F651" s="21" t="str">
        <f aca="false">CONCATENATE(B651,"_",C651, TEXT(E651, "000"))</f>
        <v>OPNZ_M. laciniatus007</v>
      </c>
      <c r="G651" s="21" t="s">
        <v>745</v>
      </c>
      <c r="I651" s="22" t="n">
        <v>44394</v>
      </c>
      <c r="J651" s="2"/>
      <c r="L651" s="2"/>
      <c r="M651" s="2"/>
      <c r="N651" s="3"/>
      <c r="O651" s="2"/>
      <c r="P651" s="2"/>
      <c r="Q651" s="62" t="str">
        <f aca="false">IF(ISBLANK(N651),"",IF(N651&lt;DATE(2023,5,1),"OLD","NEW"))</f>
        <v/>
      </c>
      <c r="S651" s="33" t="n">
        <f aca="false">IF(COUNTIF('[1]Plate_1-2_LongFormat'!$A$2:$A$193,G651)&gt;0,1,0)</f>
        <v>0</v>
      </c>
      <c r="T651" s="33" t="n">
        <f aca="false">IF(COUNTIF([2]Attached_indexes!$C$2:$C$193,G651)&gt;0,1,0)</f>
        <v>0</v>
      </c>
      <c r="U651" s="59"/>
      <c r="V651" s="1" t="s">
        <v>982</v>
      </c>
    </row>
    <row r="652" customFormat="false" ht="15.75" hidden="false" customHeight="true" outlineLevel="0" collapsed="false">
      <c r="A652" s="18" t="s">
        <v>820</v>
      </c>
      <c r="B652" s="18" t="s">
        <v>820</v>
      </c>
      <c r="C652" s="2" t="s">
        <v>31</v>
      </c>
      <c r="E652" s="66" t="n">
        <v>7</v>
      </c>
      <c r="F652" s="21" t="str">
        <f aca="false">CONCATENATE(B652,"_",C652, TEXT(E652, "000"))</f>
        <v>OPNZ_M. laciniatus007</v>
      </c>
      <c r="G652" s="21" t="s">
        <v>745</v>
      </c>
      <c r="I652" s="22" t="n">
        <v>44394</v>
      </c>
      <c r="J652" s="2"/>
      <c r="L652" s="2"/>
      <c r="M652" s="2"/>
      <c r="N652" s="3"/>
      <c r="O652" s="2"/>
      <c r="P652" s="2"/>
      <c r="Q652" s="62" t="str">
        <f aca="false">IF(ISBLANK(N652),"",IF(N652&lt;DATE(2023,5,1),"OLD","NEW"))</f>
        <v/>
      </c>
      <c r="S652" s="33" t="n">
        <f aca="false">IF(COUNTIF('[1]Plate_1-2_LongFormat'!$A$2:$A$193,G652)&gt;0,1,0)</f>
        <v>0</v>
      </c>
      <c r="T652" s="33" t="n">
        <f aca="false">IF(COUNTIF([2]Attached_indexes!$C$2:$C$193,G652)&gt;0,1,0)</f>
        <v>0</v>
      </c>
      <c r="U652" s="59"/>
      <c r="V652" s="1" t="s">
        <v>982</v>
      </c>
    </row>
    <row r="653" customFormat="false" ht="15.75" hidden="false" customHeight="true" outlineLevel="0" collapsed="false">
      <c r="A653" s="18" t="s">
        <v>820</v>
      </c>
      <c r="B653" s="18" t="s">
        <v>820</v>
      </c>
      <c r="C653" s="2" t="s">
        <v>31</v>
      </c>
      <c r="E653" s="66" t="n">
        <v>8</v>
      </c>
      <c r="F653" s="21" t="str">
        <f aca="false">CONCATENATE(B653,"_",C653, TEXT(E653, "000"))</f>
        <v>OPNZ_M. laciniatus008</v>
      </c>
      <c r="G653" s="21" t="s">
        <v>746</v>
      </c>
      <c r="I653" s="22" t="n">
        <v>44394</v>
      </c>
      <c r="J653" s="2"/>
      <c r="L653" s="2"/>
      <c r="M653" s="2"/>
      <c r="N653" s="3"/>
      <c r="O653" s="2"/>
      <c r="P653" s="2"/>
      <c r="Q653" s="62" t="str">
        <f aca="false">IF(ISBLANK(N653),"",IF(N653&lt;DATE(2023,5,1),"OLD","NEW"))</f>
        <v/>
      </c>
      <c r="S653" s="33" t="n">
        <f aca="false">IF(COUNTIF('[1]Plate_1-2_LongFormat'!$A$2:$A$193,G653)&gt;0,1,0)</f>
        <v>0</v>
      </c>
      <c r="T653" s="33" t="n">
        <f aca="false">IF(COUNTIF([2]Attached_indexes!$C$2:$C$193,G653)&gt;0,1,0)</f>
        <v>0</v>
      </c>
      <c r="U653" s="59"/>
      <c r="V653" s="1" t="s">
        <v>982</v>
      </c>
    </row>
    <row r="654" customFormat="false" ht="15.75" hidden="false" customHeight="true" outlineLevel="0" collapsed="false">
      <c r="A654" s="18" t="s">
        <v>820</v>
      </c>
      <c r="B654" s="18" t="s">
        <v>820</v>
      </c>
      <c r="C654" s="2" t="s">
        <v>31</v>
      </c>
      <c r="E654" s="66" t="n">
        <v>8</v>
      </c>
      <c r="F654" s="21" t="str">
        <f aca="false">CONCATENATE(B654,"_",C654, TEXT(E654, "000"))</f>
        <v>OPNZ_M. laciniatus008</v>
      </c>
      <c r="G654" s="21" t="s">
        <v>746</v>
      </c>
      <c r="I654" s="22" t="n">
        <v>44394</v>
      </c>
      <c r="J654" s="2"/>
      <c r="L654" s="2"/>
      <c r="M654" s="2"/>
      <c r="N654" s="3"/>
      <c r="O654" s="2"/>
      <c r="P654" s="2"/>
      <c r="Q654" s="62" t="str">
        <f aca="false">IF(ISBLANK(N654),"",IF(N654&lt;DATE(2023,5,1),"OLD","NEW"))</f>
        <v/>
      </c>
      <c r="S654" s="33" t="n">
        <f aca="false">IF(COUNTIF('[1]Plate_1-2_LongFormat'!$A$2:$A$193,G654)&gt;0,1,0)</f>
        <v>0</v>
      </c>
      <c r="T654" s="33" t="n">
        <f aca="false">IF(COUNTIF([2]Attached_indexes!$C$2:$C$193,G654)&gt;0,1,0)</f>
        <v>0</v>
      </c>
      <c r="U654" s="59"/>
      <c r="V654" s="1" t="s">
        <v>982</v>
      </c>
    </row>
    <row r="655" customFormat="false" ht="15.75" hidden="false" customHeight="true" outlineLevel="0" collapsed="false">
      <c r="A655" s="18" t="s">
        <v>820</v>
      </c>
      <c r="B655" s="18" t="s">
        <v>820</v>
      </c>
      <c r="C655" s="2" t="s">
        <v>31</v>
      </c>
      <c r="E655" s="66" t="n">
        <v>8</v>
      </c>
      <c r="F655" s="21" t="str">
        <f aca="false">CONCATENATE(B655,"_",C655, TEXT(E655, "000"))</f>
        <v>OPNZ_M. laciniatus008</v>
      </c>
      <c r="G655" s="21" t="s">
        <v>746</v>
      </c>
      <c r="I655" s="22" t="n">
        <v>44394</v>
      </c>
      <c r="J655" s="2"/>
      <c r="L655" s="2"/>
      <c r="M655" s="2"/>
      <c r="N655" s="3"/>
      <c r="O655" s="2"/>
      <c r="P655" s="2"/>
      <c r="Q655" s="62" t="str">
        <f aca="false">IF(ISBLANK(N655),"",IF(N655&lt;DATE(2023,5,1),"OLD","NEW"))</f>
        <v/>
      </c>
      <c r="S655" s="33" t="n">
        <f aca="false">IF(COUNTIF('[1]Plate_1-2_LongFormat'!$A$2:$A$193,G655)&gt;0,1,0)</f>
        <v>0</v>
      </c>
      <c r="T655" s="33" t="n">
        <f aca="false">IF(COUNTIF([2]Attached_indexes!$C$2:$C$193,G655)&gt;0,1,0)</f>
        <v>0</v>
      </c>
      <c r="U655" s="59"/>
      <c r="V655" s="1" t="s">
        <v>982</v>
      </c>
    </row>
    <row r="656" customFormat="false" ht="15.75" hidden="false" customHeight="true" outlineLevel="0" collapsed="false">
      <c r="A656" s="18" t="s">
        <v>820</v>
      </c>
      <c r="B656" s="18" t="s">
        <v>820</v>
      </c>
      <c r="C656" s="2" t="s">
        <v>31</v>
      </c>
      <c r="E656" s="66" t="n">
        <v>9</v>
      </c>
      <c r="F656" s="21" t="str">
        <f aca="false">CONCATENATE(B656,"_",C656, TEXT(E656, "000"))</f>
        <v>OPNZ_M. laciniatus009</v>
      </c>
      <c r="G656" s="21" t="s">
        <v>747</v>
      </c>
      <c r="I656" s="22" t="n">
        <v>44394</v>
      </c>
      <c r="J656" s="2"/>
      <c r="L656" s="2"/>
      <c r="M656" s="2"/>
      <c r="N656" s="3"/>
      <c r="O656" s="2"/>
      <c r="P656" s="2"/>
      <c r="Q656" s="62" t="str">
        <f aca="false">IF(ISBLANK(N656),"",IF(N656&lt;DATE(2023,5,1),"OLD","NEW"))</f>
        <v/>
      </c>
      <c r="S656" s="33" t="n">
        <f aca="false">IF(COUNTIF('[1]Plate_1-2_LongFormat'!$A$2:$A$193,G656)&gt;0,1,0)</f>
        <v>0</v>
      </c>
      <c r="T656" s="33" t="n">
        <f aca="false">IF(COUNTIF([2]Attached_indexes!$C$2:$C$193,G656)&gt;0,1,0)</f>
        <v>0</v>
      </c>
      <c r="U656" s="59"/>
      <c r="V656" s="1" t="s">
        <v>982</v>
      </c>
    </row>
    <row r="657" customFormat="false" ht="15.75" hidden="false" customHeight="true" outlineLevel="0" collapsed="false">
      <c r="A657" s="18" t="s">
        <v>820</v>
      </c>
      <c r="B657" s="18" t="s">
        <v>820</v>
      </c>
      <c r="C657" s="2" t="s">
        <v>31</v>
      </c>
      <c r="E657" s="66" t="n">
        <v>9</v>
      </c>
      <c r="F657" s="21" t="str">
        <f aca="false">CONCATENATE(B657,"_",C657, TEXT(E657, "000"))</f>
        <v>OPNZ_M. laciniatus009</v>
      </c>
      <c r="G657" s="21" t="s">
        <v>747</v>
      </c>
      <c r="I657" s="22" t="n">
        <v>44394</v>
      </c>
      <c r="J657" s="2"/>
      <c r="L657" s="2"/>
      <c r="M657" s="2"/>
      <c r="N657" s="3"/>
      <c r="O657" s="2"/>
      <c r="P657" s="2"/>
      <c r="Q657" s="62" t="str">
        <f aca="false">IF(ISBLANK(N657),"",IF(N657&lt;DATE(2023,5,1),"OLD","NEW"))</f>
        <v/>
      </c>
      <c r="S657" s="33" t="n">
        <f aca="false">IF(COUNTIF('[1]Plate_1-2_LongFormat'!$A$2:$A$193,G657)&gt;0,1,0)</f>
        <v>0</v>
      </c>
      <c r="T657" s="33" t="n">
        <f aca="false">IF(COUNTIF([2]Attached_indexes!$C$2:$C$193,G657)&gt;0,1,0)</f>
        <v>0</v>
      </c>
      <c r="U657" s="59"/>
      <c r="V657" s="1" t="s">
        <v>982</v>
      </c>
    </row>
    <row r="658" customFormat="false" ht="15.75" hidden="false" customHeight="true" outlineLevel="0" collapsed="false">
      <c r="A658" s="18" t="s">
        <v>820</v>
      </c>
      <c r="B658" s="18" t="s">
        <v>820</v>
      </c>
      <c r="C658" s="2" t="s">
        <v>31</v>
      </c>
      <c r="E658" s="66" t="n">
        <v>9</v>
      </c>
      <c r="F658" s="21" t="str">
        <f aca="false">CONCATENATE(B658,"_",C658, TEXT(E658, "000"))</f>
        <v>OPNZ_M. laciniatus009</v>
      </c>
      <c r="G658" s="21" t="s">
        <v>747</v>
      </c>
      <c r="I658" s="22" t="n">
        <v>44394</v>
      </c>
      <c r="J658" s="2"/>
      <c r="L658" s="2"/>
      <c r="M658" s="2"/>
      <c r="N658" s="3"/>
      <c r="O658" s="2"/>
      <c r="P658" s="2"/>
      <c r="Q658" s="62" t="str">
        <f aca="false">IF(ISBLANK(N658),"",IF(N658&lt;DATE(2023,5,1),"OLD","NEW"))</f>
        <v/>
      </c>
      <c r="S658" s="33" t="n">
        <f aca="false">IF(COUNTIF('[1]Plate_1-2_LongFormat'!$A$2:$A$193,G658)&gt;0,1,0)</f>
        <v>0</v>
      </c>
      <c r="T658" s="33" t="n">
        <f aca="false">IF(COUNTIF([2]Attached_indexes!$C$2:$C$193,G658)&gt;0,1,0)</f>
        <v>0</v>
      </c>
      <c r="U658" s="59"/>
      <c r="V658" s="1" t="s">
        <v>982</v>
      </c>
    </row>
    <row r="659" customFormat="false" ht="15.75" hidden="false" customHeight="true" outlineLevel="0" collapsed="false">
      <c r="A659" s="18" t="s">
        <v>820</v>
      </c>
      <c r="B659" s="18" t="s">
        <v>820</v>
      </c>
      <c r="C659" s="2" t="s">
        <v>31</v>
      </c>
      <c r="E659" s="66" t="n">
        <v>10</v>
      </c>
      <c r="F659" s="21" t="str">
        <f aca="false">CONCATENATE(B659,"_",C659, TEXT(E659, "000"))</f>
        <v>OPNZ_M. laciniatus010</v>
      </c>
      <c r="G659" s="21" t="s">
        <v>748</v>
      </c>
      <c r="I659" s="22" t="n">
        <v>44394</v>
      </c>
      <c r="J659" s="2"/>
      <c r="L659" s="2" t="n">
        <v>1</v>
      </c>
      <c r="M659" s="2" t="n">
        <v>1</v>
      </c>
      <c r="N659" s="3" t="n">
        <v>44938</v>
      </c>
      <c r="O659" s="2" t="n">
        <v>0</v>
      </c>
      <c r="P659" s="2"/>
      <c r="Q659" s="62" t="str">
        <f aca="false">IF(ISBLANK(N659),"",IF(N659&lt;DATE(2023,5,1),"OLD","NEW"))</f>
        <v>OLD</v>
      </c>
      <c r="S659" s="33" t="n">
        <f aca="false">IF(COUNTIF('[1]Plate_1-2_LongFormat'!$A$2:$A$193,G659)&gt;0,1,0)</f>
        <v>1</v>
      </c>
      <c r="T659" s="33" t="n">
        <f aca="false">IF(COUNTIF([2]Attached_indexes!$C$2:$C$193,G659)&gt;0,1,0)</f>
        <v>1</v>
      </c>
      <c r="U659" s="59"/>
      <c r="V659" s="1" t="s">
        <v>982</v>
      </c>
    </row>
    <row r="660" customFormat="false" ht="15.75" hidden="false" customHeight="true" outlineLevel="0" collapsed="false">
      <c r="A660" s="18" t="s">
        <v>820</v>
      </c>
      <c r="B660" s="18" t="s">
        <v>820</v>
      </c>
      <c r="C660" s="2" t="s">
        <v>31</v>
      </c>
      <c r="E660" s="66" t="n">
        <v>10</v>
      </c>
      <c r="F660" s="21" t="str">
        <f aca="false">CONCATENATE(B660,"_",C660, TEXT(E660, "000"))</f>
        <v>OPNZ_M. laciniatus010</v>
      </c>
      <c r="G660" s="21" t="s">
        <v>748</v>
      </c>
      <c r="I660" s="22" t="n">
        <v>44394</v>
      </c>
      <c r="J660" s="2"/>
      <c r="L660" s="2" t="n">
        <v>1</v>
      </c>
      <c r="M660" s="2" t="n">
        <v>1</v>
      </c>
      <c r="N660" s="3" t="n">
        <v>44938</v>
      </c>
      <c r="O660" s="2" t="n">
        <v>0</v>
      </c>
      <c r="P660" s="2"/>
      <c r="Q660" s="62" t="str">
        <f aca="false">IF(ISBLANK(N660),"",IF(N660&lt;DATE(2023,5,1),"OLD","NEW"))</f>
        <v>OLD</v>
      </c>
      <c r="S660" s="33" t="n">
        <f aca="false">IF(COUNTIF('[1]Plate_1-2_LongFormat'!$A$2:$A$193,G660)&gt;0,1,0)</f>
        <v>1</v>
      </c>
      <c r="T660" s="33" t="n">
        <f aca="false">IF(COUNTIF([2]Attached_indexes!$C$2:$C$193,G660)&gt;0,1,0)</f>
        <v>1</v>
      </c>
      <c r="U660" s="59"/>
      <c r="V660" s="1" t="s">
        <v>982</v>
      </c>
    </row>
    <row r="661" customFormat="false" ht="15.75" hidden="false" customHeight="true" outlineLevel="0" collapsed="false">
      <c r="A661" s="18" t="s">
        <v>820</v>
      </c>
      <c r="B661" s="18" t="s">
        <v>820</v>
      </c>
      <c r="C661" s="2" t="s">
        <v>31</v>
      </c>
      <c r="E661" s="66" t="n">
        <v>10</v>
      </c>
      <c r="F661" s="21" t="str">
        <f aca="false">CONCATENATE(B661,"_",C661, TEXT(E661, "000"))</f>
        <v>OPNZ_M. laciniatus010</v>
      </c>
      <c r="G661" s="21" t="s">
        <v>748</v>
      </c>
      <c r="I661" s="22" t="n">
        <v>44394</v>
      </c>
      <c r="J661" s="2"/>
      <c r="L661" s="2" t="n">
        <v>1</v>
      </c>
      <c r="M661" s="2" t="n">
        <v>1</v>
      </c>
      <c r="N661" s="3" t="n">
        <v>44938</v>
      </c>
      <c r="O661" s="2" t="n">
        <v>0</v>
      </c>
      <c r="P661" s="2"/>
      <c r="Q661" s="62" t="str">
        <f aca="false">IF(ISBLANK(N661),"",IF(N661&lt;DATE(2023,5,1),"OLD","NEW"))</f>
        <v>OLD</v>
      </c>
      <c r="S661" s="33" t="n">
        <f aca="false">IF(COUNTIF('[1]Plate_1-2_LongFormat'!$A$2:$A$193,G661)&gt;0,1,0)</f>
        <v>1</v>
      </c>
      <c r="T661" s="33" t="n">
        <f aca="false">IF(COUNTIF([2]Attached_indexes!$C$2:$C$193,G661)&gt;0,1,0)</f>
        <v>1</v>
      </c>
      <c r="U661" s="59"/>
      <c r="V661" s="1" t="s">
        <v>982</v>
      </c>
    </row>
    <row r="662" customFormat="false" ht="15.75" hidden="false" customHeight="true" outlineLevel="0" collapsed="false">
      <c r="A662" s="18" t="s">
        <v>820</v>
      </c>
      <c r="B662" s="18" t="s">
        <v>820</v>
      </c>
      <c r="C662" s="2" t="s">
        <v>31</v>
      </c>
      <c r="E662" s="66" t="n">
        <v>101</v>
      </c>
      <c r="F662" s="21" t="str">
        <f aca="false">CONCATENATE(B662,"_",C662, TEXT(E662, "000"))</f>
        <v>OPNZ_M. laciniatus101</v>
      </c>
      <c r="G662" s="21" t="s">
        <v>722</v>
      </c>
      <c r="H662" s="18" t="n">
        <v>1</v>
      </c>
      <c r="I662" s="22" t="n">
        <v>44726</v>
      </c>
      <c r="J662" s="2" t="s">
        <v>981</v>
      </c>
      <c r="L662" s="2" t="n">
        <v>1</v>
      </c>
      <c r="M662" s="2" t="n">
        <v>1</v>
      </c>
      <c r="N662" s="3" t="n">
        <v>44945</v>
      </c>
      <c r="O662" s="2" t="n">
        <v>7</v>
      </c>
      <c r="P662" s="2" t="n">
        <v>2</v>
      </c>
      <c r="Q662" s="62" t="str">
        <f aca="false">IF(ISBLANK(N662),"",IF(N662&lt;DATE(2023,5,1),"OLD","NEW"))</f>
        <v>OLD</v>
      </c>
      <c r="S662" s="33" t="n">
        <f aca="false">IF(COUNTIF('[1]Plate_1-2_LongFormat'!$A$2:$A$193,G662)&gt;0,1,0)</f>
        <v>1</v>
      </c>
      <c r="T662" s="33" t="n">
        <f aca="false">IF(COUNTIF([2]Attached_indexes!$C$2:$C$193,G662)&gt;0,1,0)</f>
        <v>1</v>
      </c>
      <c r="U662" s="59"/>
      <c r="V662" s="1" t="s">
        <v>982</v>
      </c>
    </row>
    <row r="663" customFormat="false" ht="15.75" hidden="false" customHeight="true" outlineLevel="0" collapsed="false">
      <c r="A663" s="18" t="s">
        <v>820</v>
      </c>
      <c r="B663" s="18" t="s">
        <v>820</v>
      </c>
      <c r="C663" s="2" t="s">
        <v>31</v>
      </c>
      <c r="E663" s="66" t="n">
        <v>101</v>
      </c>
      <c r="F663" s="21" t="str">
        <f aca="false">CONCATENATE(B663,"_",C663, TEXT(E663, "000"))</f>
        <v>OPNZ_M. laciniatus101</v>
      </c>
      <c r="G663" s="21" t="s">
        <v>722</v>
      </c>
      <c r="H663" s="18" t="n">
        <v>1</v>
      </c>
      <c r="I663" s="22" t="n">
        <v>44726</v>
      </c>
      <c r="J663" s="2" t="s">
        <v>981</v>
      </c>
      <c r="L663" s="2" t="n">
        <v>1</v>
      </c>
      <c r="M663" s="2" t="n">
        <v>1</v>
      </c>
      <c r="N663" s="3" t="n">
        <v>44945</v>
      </c>
      <c r="O663" s="2" t="n">
        <v>7</v>
      </c>
      <c r="P663" s="2" t="n">
        <v>2</v>
      </c>
      <c r="Q663" s="62" t="str">
        <f aca="false">IF(ISBLANK(N663),"",IF(N663&lt;DATE(2023,5,1),"OLD","NEW"))</f>
        <v>OLD</v>
      </c>
      <c r="S663" s="33" t="n">
        <f aca="false">IF(COUNTIF('[1]Plate_1-2_LongFormat'!$A$2:$A$193,G663)&gt;0,1,0)</f>
        <v>1</v>
      </c>
      <c r="T663" s="33" t="n">
        <f aca="false">IF(COUNTIF([2]Attached_indexes!$C$2:$C$193,G663)&gt;0,1,0)</f>
        <v>1</v>
      </c>
      <c r="U663" s="59"/>
      <c r="V663" s="1" t="s">
        <v>982</v>
      </c>
    </row>
    <row r="664" customFormat="false" ht="15.75" hidden="false" customHeight="true" outlineLevel="0" collapsed="false">
      <c r="A664" s="18" t="s">
        <v>820</v>
      </c>
      <c r="B664" s="18" t="s">
        <v>820</v>
      </c>
      <c r="C664" s="2" t="s">
        <v>31</v>
      </c>
      <c r="E664" s="66" t="n">
        <v>101</v>
      </c>
      <c r="F664" s="21" t="str">
        <f aca="false">CONCATENATE(B664,"_",C664, TEXT(E664, "000"))</f>
        <v>OPNZ_M. laciniatus101</v>
      </c>
      <c r="G664" s="21" t="s">
        <v>722</v>
      </c>
      <c r="H664" s="18" t="n">
        <v>1</v>
      </c>
      <c r="I664" s="22" t="n">
        <v>44726</v>
      </c>
      <c r="J664" s="2" t="s">
        <v>981</v>
      </c>
      <c r="L664" s="2" t="n">
        <v>1</v>
      </c>
      <c r="M664" s="2" t="n">
        <v>1</v>
      </c>
      <c r="N664" s="3" t="n">
        <v>44945</v>
      </c>
      <c r="O664" s="2" t="n">
        <v>7</v>
      </c>
      <c r="P664" s="2" t="n">
        <v>2</v>
      </c>
      <c r="Q664" s="62" t="str">
        <f aca="false">IF(ISBLANK(N664),"",IF(N664&lt;DATE(2023,5,1),"OLD","NEW"))</f>
        <v>OLD</v>
      </c>
      <c r="S664" s="33" t="n">
        <f aca="false">IF(COUNTIF('[1]Plate_1-2_LongFormat'!$A$2:$A$193,G664)&gt;0,1,0)</f>
        <v>1</v>
      </c>
      <c r="T664" s="33" t="n">
        <f aca="false">IF(COUNTIF([2]Attached_indexes!$C$2:$C$193,G664)&gt;0,1,0)</f>
        <v>1</v>
      </c>
      <c r="U664" s="59"/>
      <c r="V664" s="1" t="s">
        <v>982</v>
      </c>
    </row>
    <row r="665" customFormat="false" ht="15.75" hidden="false" customHeight="true" outlineLevel="0" collapsed="false">
      <c r="A665" s="18" t="s">
        <v>820</v>
      </c>
      <c r="B665" s="18" t="s">
        <v>820</v>
      </c>
      <c r="C665" s="2" t="s">
        <v>31</v>
      </c>
      <c r="E665" s="66" t="n">
        <v>102</v>
      </c>
      <c r="F665" s="21" t="str">
        <f aca="false">CONCATENATE(B665,"_",C665, TEXT(E665, "000"))</f>
        <v>OPNZ_M. laciniatus102</v>
      </c>
      <c r="G665" s="21" t="s">
        <v>724</v>
      </c>
      <c r="H665" s="18" t="n">
        <v>1</v>
      </c>
      <c r="I665" s="22" t="n">
        <v>44726</v>
      </c>
      <c r="J665" s="2" t="s">
        <v>981</v>
      </c>
      <c r="L665" s="2" t="n">
        <v>1</v>
      </c>
      <c r="M665" s="2" t="n">
        <v>1</v>
      </c>
      <c r="N665" s="3" t="n">
        <v>44999</v>
      </c>
      <c r="O665" s="2" t="n">
        <v>7.2</v>
      </c>
      <c r="P665" s="2" t="n">
        <v>3</v>
      </c>
      <c r="Q665" s="62" t="str">
        <f aca="false">IF(ISBLANK(N665),"",IF(N665&lt;DATE(2023,5,1),"OLD","NEW"))</f>
        <v>OLD</v>
      </c>
      <c r="S665" s="33" t="n">
        <f aca="false">IF(COUNTIF('[1]Plate_1-2_LongFormat'!$A$2:$A$193,G665)&gt;0,1,0)</f>
        <v>0</v>
      </c>
      <c r="T665" s="33" t="n">
        <f aca="false">IF(COUNTIF([2]Attached_indexes!$C$2:$C$193,G665)&gt;0,1,0)</f>
        <v>0</v>
      </c>
      <c r="U665" s="59"/>
      <c r="V665" s="1" t="s">
        <v>982</v>
      </c>
    </row>
    <row r="666" customFormat="false" ht="15.75" hidden="false" customHeight="true" outlineLevel="0" collapsed="false">
      <c r="A666" s="18" t="s">
        <v>820</v>
      </c>
      <c r="B666" s="18" t="s">
        <v>820</v>
      </c>
      <c r="C666" s="2" t="s">
        <v>31</v>
      </c>
      <c r="E666" s="66" t="n">
        <v>102</v>
      </c>
      <c r="F666" s="21" t="str">
        <f aca="false">CONCATENATE(B666,"_",C666, TEXT(E666, "000"))</f>
        <v>OPNZ_M. laciniatus102</v>
      </c>
      <c r="G666" s="21" t="s">
        <v>724</v>
      </c>
      <c r="H666" s="18" t="n">
        <v>1</v>
      </c>
      <c r="I666" s="22" t="n">
        <v>44726</v>
      </c>
      <c r="J666" s="2" t="s">
        <v>981</v>
      </c>
      <c r="L666" s="2" t="n">
        <v>1</v>
      </c>
      <c r="M666" s="2" t="n">
        <v>1</v>
      </c>
      <c r="N666" s="3" t="n">
        <v>44999</v>
      </c>
      <c r="O666" s="2" t="n">
        <v>7.2</v>
      </c>
      <c r="P666" s="2" t="n">
        <v>3</v>
      </c>
      <c r="Q666" s="62" t="str">
        <f aca="false">IF(ISBLANK(N666),"",IF(N666&lt;DATE(2023,5,1),"OLD","NEW"))</f>
        <v>OLD</v>
      </c>
      <c r="S666" s="33" t="n">
        <f aca="false">IF(COUNTIF('[1]Plate_1-2_LongFormat'!$A$2:$A$193,G666)&gt;0,1,0)</f>
        <v>0</v>
      </c>
      <c r="T666" s="33" t="n">
        <f aca="false">IF(COUNTIF([2]Attached_indexes!$C$2:$C$193,G666)&gt;0,1,0)</f>
        <v>0</v>
      </c>
      <c r="U666" s="59"/>
      <c r="V666" s="1" t="s">
        <v>982</v>
      </c>
    </row>
    <row r="667" customFormat="false" ht="15.75" hidden="false" customHeight="true" outlineLevel="0" collapsed="false">
      <c r="A667" s="18" t="s">
        <v>820</v>
      </c>
      <c r="B667" s="18" t="s">
        <v>820</v>
      </c>
      <c r="C667" s="2" t="s">
        <v>31</v>
      </c>
      <c r="E667" s="66" t="n">
        <v>102</v>
      </c>
      <c r="F667" s="21" t="str">
        <f aca="false">CONCATENATE(B667,"_",C667, TEXT(E667, "000"))</f>
        <v>OPNZ_M. laciniatus102</v>
      </c>
      <c r="G667" s="21" t="s">
        <v>724</v>
      </c>
      <c r="H667" s="18" t="n">
        <v>1</v>
      </c>
      <c r="I667" s="22" t="n">
        <v>44726</v>
      </c>
      <c r="J667" s="2" t="s">
        <v>981</v>
      </c>
      <c r="L667" s="2" t="n">
        <v>1</v>
      </c>
      <c r="M667" s="2" t="n">
        <v>1</v>
      </c>
      <c r="N667" s="3" t="n">
        <v>44999</v>
      </c>
      <c r="O667" s="2" t="n">
        <v>7.2</v>
      </c>
      <c r="P667" s="2" t="n">
        <v>3</v>
      </c>
      <c r="Q667" s="62" t="str">
        <f aca="false">IF(ISBLANK(N667),"",IF(N667&lt;DATE(2023,5,1),"OLD","NEW"))</f>
        <v>OLD</v>
      </c>
      <c r="S667" s="33" t="n">
        <f aca="false">IF(COUNTIF('[1]Plate_1-2_LongFormat'!$A$2:$A$193,G667)&gt;0,1,0)</f>
        <v>0</v>
      </c>
      <c r="T667" s="33" t="n">
        <f aca="false">IF(COUNTIF([2]Attached_indexes!$C$2:$C$193,G667)&gt;0,1,0)</f>
        <v>0</v>
      </c>
      <c r="U667" s="59"/>
      <c r="V667" s="1" t="s">
        <v>982</v>
      </c>
    </row>
    <row r="668" customFormat="false" ht="15.75" hidden="false" customHeight="true" outlineLevel="0" collapsed="false">
      <c r="A668" s="18" t="s">
        <v>820</v>
      </c>
      <c r="B668" s="18" t="s">
        <v>820</v>
      </c>
      <c r="C668" s="2" t="s">
        <v>31</v>
      </c>
      <c r="E668" s="66" t="n">
        <v>103</v>
      </c>
      <c r="F668" s="21" t="str">
        <f aca="false">CONCATENATE(B668,"_",C668, TEXT(E668, "000"))</f>
        <v>OPNZ_M. laciniatus103</v>
      </c>
      <c r="G668" s="21" t="s">
        <v>725</v>
      </c>
      <c r="H668" s="18" t="n">
        <v>1</v>
      </c>
      <c r="I668" s="22" t="n">
        <v>44726</v>
      </c>
      <c r="J668" s="2" t="s">
        <v>981</v>
      </c>
      <c r="L668" s="2" t="n">
        <v>1</v>
      </c>
      <c r="M668" s="2" t="n">
        <v>1</v>
      </c>
      <c r="N668" s="3" t="n">
        <v>44799</v>
      </c>
      <c r="O668" s="64" t="n">
        <v>0.503</v>
      </c>
      <c r="P668" s="64" t="n">
        <v>1</v>
      </c>
      <c r="Q668" s="62" t="str">
        <f aca="false">IF(ISBLANK(N668),"",IF(N668&lt;DATE(2023,5,1),"OLD","NEW"))</f>
        <v>OLD</v>
      </c>
      <c r="S668" s="33" t="n">
        <f aca="false">IF(COUNTIF('[1]Plate_1-2_LongFormat'!$A$2:$A$193,G668)&gt;0,1,0)</f>
        <v>1</v>
      </c>
      <c r="T668" s="33" t="n">
        <f aca="false">IF(COUNTIF([2]Attached_indexes!$C$2:$C$193,G668)&gt;0,1,0)</f>
        <v>1</v>
      </c>
      <c r="U668" s="59"/>
      <c r="V668" s="1" t="s">
        <v>982</v>
      </c>
    </row>
    <row r="669" customFormat="false" ht="15.75" hidden="false" customHeight="true" outlineLevel="0" collapsed="false">
      <c r="A669" s="18" t="s">
        <v>820</v>
      </c>
      <c r="B669" s="18" t="s">
        <v>820</v>
      </c>
      <c r="C669" s="2" t="s">
        <v>31</v>
      </c>
      <c r="E669" s="66" t="n">
        <v>103</v>
      </c>
      <c r="F669" s="21" t="str">
        <f aca="false">CONCATENATE(B669,"_",C669, TEXT(E669, "000"))</f>
        <v>OPNZ_M. laciniatus103</v>
      </c>
      <c r="G669" s="21" t="s">
        <v>725</v>
      </c>
      <c r="H669" s="18" t="n">
        <v>1</v>
      </c>
      <c r="I669" s="22" t="n">
        <v>44726</v>
      </c>
      <c r="J669" s="2" t="s">
        <v>981</v>
      </c>
      <c r="L669" s="2" t="n">
        <v>1</v>
      </c>
      <c r="M669" s="2" t="n">
        <v>1</v>
      </c>
      <c r="N669" s="3" t="n">
        <v>44799</v>
      </c>
      <c r="O669" s="64" t="n">
        <v>0.503</v>
      </c>
      <c r="P669" s="64" t="n">
        <v>1</v>
      </c>
      <c r="Q669" s="62" t="str">
        <f aca="false">IF(ISBLANK(N669),"",IF(N669&lt;DATE(2023,5,1),"OLD","NEW"))</f>
        <v>OLD</v>
      </c>
      <c r="S669" s="33" t="n">
        <f aca="false">IF(COUNTIF('[1]Plate_1-2_LongFormat'!$A$2:$A$193,G669)&gt;0,1,0)</f>
        <v>1</v>
      </c>
      <c r="T669" s="33" t="n">
        <f aca="false">IF(COUNTIF([2]Attached_indexes!$C$2:$C$193,G669)&gt;0,1,0)</f>
        <v>1</v>
      </c>
      <c r="U669" s="59"/>
      <c r="V669" s="1" t="s">
        <v>982</v>
      </c>
    </row>
    <row r="670" customFormat="false" ht="15.75" hidden="false" customHeight="true" outlineLevel="0" collapsed="false">
      <c r="A670" s="18" t="s">
        <v>820</v>
      </c>
      <c r="B670" s="18" t="s">
        <v>820</v>
      </c>
      <c r="C670" s="2" t="s">
        <v>31</v>
      </c>
      <c r="E670" s="66" t="n">
        <v>103</v>
      </c>
      <c r="F670" s="21" t="str">
        <f aca="false">CONCATENATE(B670,"_",C670, TEXT(E670, "000"))</f>
        <v>OPNZ_M. laciniatus103</v>
      </c>
      <c r="G670" s="21" t="s">
        <v>725</v>
      </c>
      <c r="H670" s="18" t="n">
        <v>1</v>
      </c>
      <c r="I670" s="22" t="n">
        <v>44726</v>
      </c>
      <c r="J670" s="2" t="s">
        <v>981</v>
      </c>
      <c r="L670" s="2" t="n">
        <v>1</v>
      </c>
      <c r="M670" s="2" t="n">
        <v>1</v>
      </c>
      <c r="N670" s="3" t="n">
        <v>44799</v>
      </c>
      <c r="O670" s="64" t="n">
        <v>0.503</v>
      </c>
      <c r="P670" s="64" t="n">
        <v>1</v>
      </c>
      <c r="Q670" s="62" t="str">
        <f aca="false">IF(ISBLANK(N670),"",IF(N670&lt;DATE(2023,5,1),"OLD","NEW"))</f>
        <v>OLD</v>
      </c>
      <c r="S670" s="33" t="n">
        <f aca="false">IF(COUNTIF('[1]Plate_1-2_LongFormat'!$A$2:$A$193,G670)&gt;0,1,0)</f>
        <v>1</v>
      </c>
      <c r="T670" s="33" t="n">
        <f aca="false">IF(COUNTIF([2]Attached_indexes!$C$2:$C$193,G670)&gt;0,1,0)</f>
        <v>1</v>
      </c>
      <c r="U670" s="59"/>
      <c r="V670" s="1" t="s">
        <v>982</v>
      </c>
    </row>
    <row r="671" customFormat="false" ht="15.75" hidden="false" customHeight="true" outlineLevel="0" collapsed="false">
      <c r="A671" s="18" t="s">
        <v>820</v>
      </c>
      <c r="B671" s="18" t="s">
        <v>820</v>
      </c>
      <c r="C671" s="2" t="s">
        <v>31</v>
      </c>
      <c r="E671" s="66" t="n">
        <v>104</v>
      </c>
      <c r="F671" s="21" t="str">
        <f aca="false">CONCATENATE(B671,"_",C671, TEXT(E671, "000"))</f>
        <v>OPNZ_M. laciniatus104</v>
      </c>
      <c r="G671" s="21" t="s">
        <v>726</v>
      </c>
      <c r="H671" s="18" t="n">
        <v>1</v>
      </c>
      <c r="I671" s="22" t="n">
        <v>44726</v>
      </c>
      <c r="J671" s="2" t="s">
        <v>981</v>
      </c>
      <c r="L671" s="2" t="n">
        <v>1</v>
      </c>
      <c r="M671" s="2" t="n">
        <v>1</v>
      </c>
      <c r="N671" s="3" t="n">
        <v>44870</v>
      </c>
      <c r="O671" s="64" t="n">
        <v>7.07</v>
      </c>
      <c r="P671" s="64" t="n">
        <v>1</v>
      </c>
      <c r="Q671" s="62" t="str">
        <f aca="false">IF(ISBLANK(N671),"",IF(N671&lt;DATE(2023,5,1),"OLD","NEW"))</f>
        <v>OLD</v>
      </c>
      <c r="S671" s="33" t="n">
        <f aca="false">IF(COUNTIF('[1]Plate_1-2_LongFormat'!$A$2:$A$193,G671)&gt;0,1,0)</f>
        <v>1</v>
      </c>
      <c r="T671" s="33" t="n">
        <f aca="false">IF(COUNTIF([2]Attached_indexes!$C$2:$C$193,G671)&gt;0,1,0)</f>
        <v>1</v>
      </c>
      <c r="U671" s="59"/>
      <c r="V671" s="1" t="s">
        <v>982</v>
      </c>
    </row>
    <row r="672" customFormat="false" ht="15.75" hidden="false" customHeight="true" outlineLevel="0" collapsed="false">
      <c r="A672" s="18" t="s">
        <v>820</v>
      </c>
      <c r="B672" s="18" t="s">
        <v>820</v>
      </c>
      <c r="C672" s="2" t="s">
        <v>31</v>
      </c>
      <c r="E672" s="66" t="n">
        <v>104</v>
      </c>
      <c r="F672" s="21" t="str">
        <f aca="false">CONCATENATE(B672,"_",C672, TEXT(E672, "000"))</f>
        <v>OPNZ_M. laciniatus104</v>
      </c>
      <c r="G672" s="21" t="s">
        <v>726</v>
      </c>
      <c r="H672" s="18" t="n">
        <v>1</v>
      </c>
      <c r="I672" s="22" t="n">
        <v>44726</v>
      </c>
      <c r="J672" s="2" t="s">
        <v>981</v>
      </c>
      <c r="L672" s="2" t="n">
        <v>1</v>
      </c>
      <c r="M672" s="2" t="n">
        <v>1</v>
      </c>
      <c r="N672" s="3" t="n">
        <v>44870</v>
      </c>
      <c r="O672" s="64" t="n">
        <v>7.07</v>
      </c>
      <c r="P672" s="64" t="n">
        <v>1</v>
      </c>
      <c r="Q672" s="62" t="str">
        <f aca="false">IF(ISBLANK(N672),"",IF(N672&lt;DATE(2023,5,1),"OLD","NEW"))</f>
        <v>OLD</v>
      </c>
      <c r="S672" s="33" t="n">
        <f aca="false">IF(COUNTIF('[1]Plate_1-2_LongFormat'!$A$2:$A$193,G672)&gt;0,1,0)</f>
        <v>1</v>
      </c>
      <c r="T672" s="33" t="n">
        <f aca="false">IF(COUNTIF([2]Attached_indexes!$C$2:$C$193,G672)&gt;0,1,0)</f>
        <v>1</v>
      </c>
      <c r="U672" s="59"/>
      <c r="V672" s="1" t="s">
        <v>982</v>
      </c>
    </row>
    <row r="673" customFormat="false" ht="15.75" hidden="false" customHeight="true" outlineLevel="0" collapsed="false">
      <c r="A673" s="18" t="s">
        <v>820</v>
      </c>
      <c r="B673" s="18" t="s">
        <v>820</v>
      </c>
      <c r="C673" s="2" t="s">
        <v>31</v>
      </c>
      <c r="E673" s="66" t="n">
        <v>104</v>
      </c>
      <c r="F673" s="21" t="str">
        <f aca="false">CONCATENATE(B673,"_",C673, TEXT(E673, "000"))</f>
        <v>OPNZ_M. laciniatus104</v>
      </c>
      <c r="G673" s="21" t="s">
        <v>726</v>
      </c>
      <c r="H673" s="18" t="n">
        <v>1</v>
      </c>
      <c r="I673" s="22" t="n">
        <v>44726</v>
      </c>
      <c r="J673" s="2" t="s">
        <v>981</v>
      </c>
      <c r="L673" s="2" t="n">
        <v>1</v>
      </c>
      <c r="M673" s="2" t="n">
        <v>1</v>
      </c>
      <c r="N673" s="3" t="n">
        <v>44870</v>
      </c>
      <c r="O673" s="64" t="n">
        <v>7.07</v>
      </c>
      <c r="P673" s="64" t="n">
        <v>1</v>
      </c>
      <c r="Q673" s="62" t="str">
        <f aca="false">IF(ISBLANK(N673),"",IF(N673&lt;DATE(2023,5,1),"OLD","NEW"))</f>
        <v>OLD</v>
      </c>
      <c r="S673" s="33" t="n">
        <f aca="false">IF(COUNTIF('[1]Plate_1-2_LongFormat'!$A$2:$A$193,G673)&gt;0,1,0)</f>
        <v>1</v>
      </c>
      <c r="T673" s="33" t="n">
        <f aca="false">IF(COUNTIF([2]Attached_indexes!$C$2:$C$193,G673)&gt;0,1,0)</f>
        <v>1</v>
      </c>
      <c r="U673" s="59"/>
      <c r="V673" s="1" t="s">
        <v>982</v>
      </c>
    </row>
    <row r="674" customFormat="false" ht="15.75" hidden="false" customHeight="true" outlineLevel="0" collapsed="false">
      <c r="A674" s="18" t="s">
        <v>820</v>
      </c>
      <c r="B674" s="18" t="s">
        <v>820</v>
      </c>
      <c r="C674" s="2" t="s">
        <v>31</v>
      </c>
      <c r="E674" s="66" t="n">
        <v>105</v>
      </c>
      <c r="F674" s="21" t="str">
        <f aca="false">CONCATENATE(B674,"_",C674, TEXT(E674, "000"))</f>
        <v>OPNZ_M. laciniatus105</v>
      </c>
      <c r="G674" s="21" t="s">
        <v>727</v>
      </c>
      <c r="H674" s="18" t="n">
        <v>1</v>
      </c>
      <c r="I674" s="22" t="n">
        <v>44726</v>
      </c>
      <c r="J674" s="2" t="s">
        <v>981</v>
      </c>
      <c r="L674" s="2" t="n">
        <v>1</v>
      </c>
      <c r="M674" s="2" t="n">
        <v>1</v>
      </c>
      <c r="N674" s="3" t="n">
        <v>44870</v>
      </c>
      <c r="O674" s="64" t="n">
        <v>7.6</v>
      </c>
      <c r="P674" s="64" t="n">
        <v>1</v>
      </c>
      <c r="Q674" s="62" t="str">
        <f aca="false">IF(ISBLANK(N674),"",IF(N674&lt;DATE(2023,5,1),"OLD","NEW"))</f>
        <v>OLD</v>
      </c>
      <c r="S674" s="33" t="n">
        <f aca="false">IF(COUNTIF('[1]Plate_1-2_LongFormat'!$A$2:$A$193,G674)&gt;0,1,0)</f>
        <v>1</v>
      </c>
      <c r="T674" s="33" t="n">
        <f aca="false">IF(COUNTIF([2]Attached_indexes!$C$2:$C$193,G674)&gt;0,1,0)</f>
        <v>1</v>
      </c>
      <c r="U674" s="59"/>
      <c r="V674" s="1" t="s">
        <v>982</v>
      </c>
    </row>
    <row r="675" customFormat="false" ht="15.75" hidden="false" customHeight="true" outlineLevel="0" collapsed="false">
      <c r="A675" s="18" t="s">
        <v>820</v>
      </c>
      <c r="B675" s="18" t="s">
        <v>820</v>
      </c>
      <c r="C675" s="2" t="s">
        <v>31</v>
      </c>
      <c r="E675" s="66" t="n">
        <v>105</v>
      </c>
      <c r="F675" s="21" t="str">
        <f aca="false">CONCATENATE(B675,"_",C675, TEXT(E675, "000"))</f>
        <v>OPNZ_M. laciniatus105</v>
      </c>
      <c r="G675" s="21" t="s">
        <v>727</v>
      </c>
      <c r="H675" s="18" t="n">
        <v>1</v>
      </c>
      <c r="I675" s="22" t="n">
        <v>44726</v>
      </c>
      <c r="J675" s="2" t="s">
        <v>981</v>
      </c>
      <c r="L675" s="2" t="n">
        <v>1</v>
      </c>
      <c r="M675" s="2" t="n">
        <v>1</v>
      </c>
      <c r="N675" s="3" t="n">
        <v>44870</v>
      </c>
      <c r="O675" s="64" t="n">
        <v>7.6</v>
      </c>
      <c r="P675" s="64" t="n">
        <v>1</v>
      </c>
      <c r="Q675" s="62" t="str">
        <f aca="false">IF(ISBLANK(N675),"",IF(N675&lt;DATE(2023,5,1),"OLD","NEW"))</f>
        <v>OLD</v>
      </c>
      <c r="S675" s="33" t="n">
        <f aca="false">IF(COUNTIF('[1]Plate_1-2_LongFormat'!$A$2:$A$193,G675)&gt;0,1,0)</f>
        <v>1</v>
      </c>
      <c r="T675" s="33" t="n">
        <f aca="false">IF(COUNTIF([2]Attached_indexes!$C$2:$C$193,G675)&gt;0,1,0)</f>
        <v>1</v>
      </c>
      <c r="U675" s="59"/>
      <c r="V675" s="1" t="s">
        <v>982</v>
      </c>
    </row>
    <row r="676" customFormat="false" ht="15.75" hidden="false" customHeight="true" outlineLevel="0" collapsed="false">
      <c r="A676" s="18" t="s">
        <v>820</v>
      </c>
      <c r="B676" s="18" t="s">
        <v>820</v>
      </c>
      <c r="C676" s="2" t="s">
        <v>31</v>
      </c>
      <c r="E676" s="66" t="n">
        <v>105</v>
      </c>
      <c r="F676" s="21" t="str">
        <f aca="false">CONCATENATE(B676,"_",C676, TEXT(E676, "000"))</f>
        <v>OPNZ_M. laciniatus105</v>
      </c>
      <c r="G676" s="21" t="s">
        <v>727</v>
      </c>
      <c r="H676" s="18" t="n">
        <v>1</v>
      </c>
      <c r="I676" s="22" t="n">
        <v>44726</v>
      </c>
      <c r="J676" s="2" t="s">
        <v>981</v>
      </c>
      <c r="L676" s="2" t="n">
        <v>1</v>
      </c>
      <c r="M676" s="2" t="n">
        <v>1</v>
      </c>
      <c r="N676" s="3" t="n">
        <v>44870</v>
      </c>
      <c r="O676" s="64" t="n">
        <v>7.6</v>
      </c>
      <c r="P676" s="64" t="n">
        <v>1</v>
      </c>
      <c r="Q676" s="62" t="str">
        <f aca="false">IF(ISBLANK(N676),"",IF(N676&lt;DATE(2023,5,1),"OLD","NEW"))</f>
        <v>OLD</v>
      </c>
      <c r="S676" s="33" t="n">
        <f aca="false">IF(COUNTIF('[1]Plate_1-2_LongFormat'!$A$2:$A$193,G676)&gt;0,1,0)</f>
        <v>1</v>
      </c>
      <c r="T676" s="33" t="n">
        <f aca="false">IF(COUNTIF([2]Attached_indexes!$C$2:$C$193,G676)&gt;0,1,0)</f>
        <v>1</v>
      </c>
      <c r="U676" s="59"/>
      <c r="V676" s="1" t="s">
        <v>982</v>
      </c>
    </row>
    <row r="677" customFormat="false" ht="15.75" hidden="false" customHeight="true" outlineLevel="0" collapsed="false">
      <c r="A677" s="18" t="s">
        <v>820</v>
      </c>
      <c r="B677" s="18" t="s">
        <v>820</v>
      </c>
      <c r="C677" s="2" t="s">
        <v>31</v>
      </c>
      <c r="E677" s="66" t="n">
        <v>106</v>
      </c>
      <c r="F677" s="21" t="str">
        <f aca="false">CONCATENATE(B677,"_",C677, TEXT(E677, "000"))</f>
        <v>OPNZ_M. laciniatus106</v>
      </c>
      <c r="G677" s="21" t="s">
        <v>729</v>
      </c>
      <c r="H677" s="18" t="n">
        <v>1</v>
      </c>
      <c r="I677" s="22" t="n">
        <v>44726</v>
      </c>
      <c r="J677" s="2" t="s">
        <v>981</v>
      </c>
      <c r="K677" s="68" t="s">
        <v>1019</v>
      </c>
      <c r="L677" s="2" t="n">
        <v>1</v>
      </c>
      <c r="M677" s="2" t="n">
        <v>1</v>
      </c>
      <c r="N677" s="3" t="n">
        <v>45058</v>
      </c>
      <c r="O677" s="64" t="n">
        <v>12.7</v>
      </c>
      <c r="P677" s="64" t="n">
        <v>3</v>
      </c>
      <c r="Q677" s="62" t="str">
        <f aca="false">IF(ISBLANK(N677),"",IF(N677&lt;DATE(2023,5,1),"OLD","NEW"))</f>
        <v>NEW</v>
      </c>
      <c r="S677" s="33" t="n">
        <f aca="false">IF(COUNTIF('[1]Plate_1-2_LongFormat'!$A$2:$A$193,G677)&gt;0,1,0)</f>
        <v>0</v>
      </c>
      <c r="T677" s="33" t="n">
        <f aca="false">IF(COUNTIF([2]Attached_indexes!$C$2:$C$193,G677)&gt;0,1,0)</f>
        <v>0</v>
      </c>
      <c r="U677" s="59"/>
      <c r="V677" s="1" t="s">
        <v>982</v>
      </c>
    </row>
    <row r="678" customFormat="false" ht="15.75" hidden="false" customHeight="true" outlineLevel="0" collapsed="false">
      <c r="A678" s="18" t="s">
        <v>820</v>
      </c>
      <c r="B678" s="18" t="s">
        <v>820</v>
      </c>
      <c r="C678" s="2" t="s">
        <v>31</v>
      </c>
      <c r="E678" s="66" t="n">
        <v>106</v>
      </c>
      <c r="F678" s="21" t="str">
        <f aca="false">CONCATENATE(B678,"_",C678, TEXT(E678, "000"))</f>
        <v>OPNZ_M. laciniatus106</v>
      </c>
      <c r="G678" s="21" t="s">
        <v>729</v>
      </c>
      <c r="H678" s="18" t="n">
        <v>1</v>
      </c>
      <c r="I678" s="22" t="n">
        <v>44726</v>
      </c>
      <c r="J678" s="2" t="s">
        <v>981</v>
      </c>
      <c r="K678" s="68" t="s">
        <v>1019</v>
      </c>
      <c r="L678" s="2" t="n">
        <v>1</v>
      </c>
      <c r="M678" s="2" t="n">
        <v>1</v>
      </c>
      <c r="N678" s="3" t="n">
        <v>45058</v>
      </c>
      <c r="O678" s="64" t="n">
        <v>12.7</v>
      </c>
      <c r="P678" s="64" t="n">
        <v>3</v>
      </c>
      <c r="Q678" s="62" t="str">
        <f aca="false">IF(ISBLANK(N678),"",IF(N678&lt;DATE(2023,5,1),"OLD","NEW"))</f>
        <v>NEW</v>
      </c>
      <c r="S678" s="33" t="n">
        <f aca="false">IF(COUNTIF('[1]Plate_1-2_LongFormat'!$A$2:$A$193,G678)&gt;0,1,0)</f>
        <v>0</v>
      </c>
      <c r="T678" s="33" t="n">
        <f aca="false">IF(COUNTIF([2]Attached_indexes!$C$2:$C$193,G678)&gt;0,1,0)</f>
        <v>0</v>
      </c>
      <c r="U678" s="59"/>
      <c r="V678" s="1" t="s">
        <v>982</v>
      </c>
    </row>
    <row r="679" customFormat="false" ht="15.75" hidden="false" customHeight="true" outlineLevel="0" collapsed="false">
      <c r="A679" s="18" t="s">
        <v>820</v>
      </c>
      <c r="B679" s="18" t="s">
        <v>820</v>
      </c>
      <c r="C679" s="2" t="s">
        <v>31</v>
      </c>
      <c r="E679" s="66" t="n">
        <v>106</v>
      </c>
      <c r="F679" s="21" t="str">
        <f aca="false">CONCATENATE(B679,"_",C679, TEXT(E679, "000"))</f>
        <v>OPNZ_M. laciniatus106</v>
      </c>
      <c r="G679" s="21" t="s">
        <v>729</v>
      </c>
      <c r="H679" s="18" t="n">
        <v>1</v>
      </c>
      <c r="I679" s="22" t="n">
        <v>44726</v>
      </c>
      <c r="J679" s="2" t="s">
        <v>981</v>
      </c>
      <c r="K679" s="68" t="s">
        <v>1019</v>
      </c>
      <c r="L679" s="2" t="n">
        <v>1</v>
      </c>
      <c r="M679" s="2" t="n">
        <v>1</v>
      </c>
      <c r="N679" s="3" t="n">
        <v>45058</v>
      </c>
      <c r="O679" s="64" t="n">
        <v>12.7</v>
      </c>
      <c r="P679" s="64" t="n">
        <v>3</v>
      </c>
      <c r="Q679" s="62" t="str">
        <f aca="false">IF(ISBLANK(N679),"",IF(N679&lt;DATE(2023,5,1),"OLD","NEW"))</f>
        <v>NEW</v>
      </c>
      <c r="S679" s="33" t="n">
        <f aca="false">IF(COUNTIF('[1]Plate_1-2_LongFormat'!$A$2:$A$193,G679)&gt;0,1,0)</f>
        <v>0</v>
      </c>
      <c r="T679" s="33" t="n">
        <f aca="false">IF(COUNTIF([2]Attached_indexes!$C$2:$C$193,G679)&gt;0,1,0)</f>
        <v>0</v>
      </c>
      <c r="U679" s="59"/>
      <c r="V679" s="1" t="s">
        <v>982</v>
      </c>
    </row>
    <row r="680" customFormat="false" ht="15.75" hidden="false" customHeight="true" outlineLevel="0" collapsed="false">
      <c r="A680" s="18" t="s">
        <v>820</v>
      </c>
      <c r="B680" s="18" t="s">
        <v>820</v>
      </c>
      <c r="C680" s="2" t="s">
        <v>31</v>
      </c>
      <c r="E680" s="66" t="n">
        <v>107</v>
      </c>
      <c r="F680" s="21" t="str">
        <f aca="false">CONCATENATE(B680,"_",C680, TEXT(E680, "000"))</f>
        <v>OPNZ_M. laciniatus107</v>
      </c>
      <c r="G680" s="21" t="s">
        <v>730</v>
      </c>
      <c r="H680" s="18" t="n">
        <v>1</v>
      </c>
      <c r="I680" s="22" t="n">
        <v>44726</v>
      </c>
      <c r="J680" s="2" t="s">
        <v>981</v>
      </c>
      <c r="L680" s="2" t="n">
        <v>1</v>
      </c>
      <c r="M680" s="2" t="n">
        <v>1</v>
      </c>
      <c r="N680" s="3" t="n">
        <v>44938</v>
      </c>
      <c r="O680" s="2" t="n">
        <v>0.853</v>
      </c>
      <c r="P680" s="2" t="n">
        <v>2</v>
      </c>
      <c r="Q680" s="62" t="str">
        <f aca="false">IF(ISBLANK(N680),"",IF(N680&lt;DATE(2023,5,1),"OLD","NEW"))</f>
        <v>OLD</v>
      </c>
      <c r="S680" s="33" t="n">
        <f aca="false">IF(COUNTIF('[1]Plate_1-2_LongFormat'!$A$2:$A$193,G680)&gt;0,1,0)</f>
        <v>1</v>
      </c>
      <c r="T680" s="33" t="n">
        <f aca="false">IF(COUNTIF([2]Attached_indexes!$C$2:$C$193,G680)&gt;0,1,0)</f>
        <v>1</v>
      </c>
      <c r="U680" s="59"/>
      <c r="V680" s="1" t="s">
        <v>982</v>
      </c>
    </row>
    <row r="681" customFormat="false" ht="15.75" hidden="false" customHeight="true" outlineLevel="0" collapsed="false">
      <c r="A681" s="18" t="s">
        <v>820</v>
      </c>
      <c r="B681" s="18" t="s">
        <v>820</v>
      </c>
      <c r="C681" s="2" t="s">
        <v>31</v>
      </c>
      <c r="E681" s="66" t="n">
        <v>107</v>
      </c>
      <c r="F681" s="21" t="str">
        <f aca="false">CONCATENATE(B681,"_",C681, TEXT(E681, "000"))</f>
        <v>OPNZ_M. laciniatus107</v>
      </c>
      <c r="G681" s="21" t="s">
        <v>730</v>
      </c>
      <c r="H681" s="18" t="n">
        <v>1</v>
      </c>
      <c r="I681" s="22" t="n">
        <v>44726</v>
      </c>
      <c r="J681" s="2" t="s">
        <v>981</v>
      </c>
      <c r="L681" s="2" t="n">
        <v>1</v>
      </c>
      <c r="M681" s="2" t="n">
        <v>1</v>
      </c>
      <c r="N681" s="3" t="n">
        <v>44938</v>
      </c>
      <c r="O681" s="2" t="n">
        <v>0.853</v>
      </c>
      <c r="P681" s="2" t="n">
        <v>2</v>
      </c>
      <c r="Q681" s="62" t="str">
        <f aca="false">IF(ISBLANK(N681),"",IF(N681&lt;DATE(2023,5,1),"OLD","NEW"))</f>
        <v>OLD</v>
      </c>
      <c r="S681" s="33" t="n">
        <f aca="false">IF(COUNTIF('[1]Plate_1-2_LongFormat'!$A$2:$A$193,G681)&gt;0,1,0)</f>
        <v>1</v>
      </c>
      <c r="T681" s="33" t="n">
        <f aca="false">IF(COUNTIF([2]Attached_indexes!$C$2:$C$193,G681)&gt;0,1,0)</f>
        <v>1</v>
      </c>
      <c r="U681" s="59"/>
      <c r="V681" s="1" t="s">
        <v>982</v>
      </c>
    </row>
    <row r="682" customFormat="false" ht="15.75" hidden="false" customHeight="true" outlineLevel="0" collapsed="false">
      <c r="A682" s="18" t="s">
        <v>820</v>
      </c>
      <c r="B682" s="18" t="s">
        <v>820</v>
      </c>
      <c r="C682" s="2" t="s">
        <v>31</v>
      </c>
      <c r="E682" s="66" t="n">
        <v>107</v>
      </c>
      <c r="F682" s="21" t="str">
        <f aca="false">CONCATENATE(B682,"_",C682, TEXT(E682, "000"))</f>
        <v>OPNZ_M. laciniatus107</v>
      </c>
      <c r="G682" s="21" t="s">
        <v>730</v>
      </c>
      <c r="H682" s="18" t="n">
        <v>1</v>
      </c>
      <c r="I682" s="22" t="n">
        <v>44726</v>
      </c>
      <c r="J682" s="2" t="s">
        <v>981</v>
      </c>
      <c r="L682" s="2" t="n">
        <v>1</v>
      </c>
      <c r="M682" s="2" t="n">
        <v>1</v>
      </c>
      <c r="N682" s="3" t="n">
        <v>44938</v>
      </c>
      <c r="O682" s="2" t="n">
        <v>0.853</v>
      </c>
      <c r="P682" s="2" t="n">
        <v>2</v>
      </c>
      <c r="Q682" s="62" t="str">
        <f aca="false">IF(ISBLANK(N682),"",IF(N682&lt;DATE(2023,5,1),"OLD","NEW"))</f>
        <v>OLD</v>
      </c>
      <c r="S682" s="33" t="n">
        <f aca="false">IF(COUNTIF('[1]Plate_1-2_LongFormat'!$A$2:$A$193,G682)&gt;0,1,0)</f>
        <v>1</v>
      </c>
      <c r="T682" s="33" t="n">
        <f aca="false">IF(COUNTIF([2]Attached_indexes!$C$2:$C$193,G682)&gt;0,1,0)</f>
        <v>1</v>
      </c>
      <c r="U682" s="59"/>
      <c r="V682" s="1" t="s">
        <v>982</v>
      </c>
    </row>
    <row r="683" customFormat="false" ht="15.75" hidden="false" customHeight="true" outlineLevel="0" collapsed="false">
      <c r="A683" s="18" t="s">
        <v>820</v>
      </c>
      <c r="B683" s="18" t="s">
        <v>820</v>
      </c>
      <c r="C683" s="2" t="s">
        <v>31</v>
      </c>
      <c r="E683" s="66" t="n">
        <v>108</v>
      </c>
      <c r="F683" s="21" t="str">
        <f aca="false">CONCATENATE(B683,"_",C683, TEXT(E683, "000"))</f>
        <v>OPNZ_M. laciniatus108</v>
      </c>
      <c r="G683" s="21" t="s">
        <v>731</v>
      </c>
      <c r="H683" s="18" t="n">
        <v>1</v>
      </c>
      <c r="I683" s="22" t="n">
        <v>44726</v>
      </c>
      <c r="J683" s="2" t="s">
        <v>981</v>
      </c>
      <c r="L683" s="2" t="n">
        <v>1</v>
      </c>
      <c r="M683" s="2" t="n">
        <v>1</v>
      </c>
      <c r="N683" s="3" t="n">
        <v>45058</v>
      </c>
      <c r="O683" s="2" t="n">
        <v>20</v>
      </c>
      <c r="P683" s="2" t="n">
        <v>3</v>
      </c>
      <c r="Q683" s="62" t="str">
        <f aca="false">IF(ISBLANK(N683),"",IF(N683&lt;DATE(2023,5,1),"OLD","NEW"))</f>
        <v>NEW</v>
      </c>
      <c r="S683" s="33" t="n">
        <f aca="false">IF(COUNTIF('[1]Plate_1-2_LongFormat'!$A$2:$A$193,G683)&gt;0,1,0)</f>
        <v>0</v>
      </c>
      <c r="T683" s="33" t="n">
        <f aca="false">IF(COUNTIF([2]Attached_indexes!$C$2:$C$193,G683)&gt;0,1,0)</f>
        <v>0</v>
      </c>
      <c r="U683" s="59"/>
      <c r="V683" s="1" t="s">
        <v>982</v>
      </c>
    </row>
    <row r="684" customFormat="false" ht="15.75" hidden="false" customHeight="true" outlineLevel="0" collapsed="false">
      <c r="A684" s="18" t="s">
        <v>820</v>
      </c>
      <c r="B684" s="18" t="s">
        <v>820</v>
      </c>
      <c r="C684" s="2" t="s">
        <v>31</v>
      </c>
      <c r="E684" s="66" t="n">
        <v>108</v>
      </c>
      <c r="F684" s="21" t="str">
        <f aca="false">CONCATENATE(B684,"_",C684, TEXT(E684, "000"))</f>
        <v>OPNZ_M. laciniatus108</v>
      </c>
      <c r="G684" s="21" t="s">
        <v>731</v>
      </c>
      <c r="H684" s="18" t="n">
        <v>1</v>
      </c>
      <c r="I684" s="22" t="n">
        <v>44726</v>
      </c>
      <c r="J684" s="2" t="s">
        <v>981</v>
      </c>
      <c r="L684" s="2" t="n">
        <v>1</v>
      </c>
      <c r="M684" s="2" t="n">
        <v>1</v>
      </c>
      <c r="N684" s="3" t="n">
        <v>45058</v>
      </c>
      <c r="O684" s="2" t="n">
        <v>20</v>
      </c>
      <c r="P684" s="2" t="n">
        <v>3</v>
      </c>
      <c r="Q684" s="62" t="str">
        <f aca="false">IF(ISBLANK(N684),"",IF(N684&lt;DATE(2023,5,1),"OLD","NEW"))</f>
        <v>NEW</v>
      </c>
      <c r="S684" s="33" t="n">
        <f aca="false">IF(COUNTIF('[1]Plate_1-2_LongFormat'!$A$2:$A$193,G684)&gt;0,1,0)</f>
        <v>0</v>
      </c>
      <c r="T684" s="33" t="n">
        <f aca="false">IF(COUNTIF([2]Attached_indexes!$C$2:$C$193,G684)&gt;0,1,0)</f>
        <v>0</v>
      </c>
      <c r="U684" s="59"/>
      <c r="V684" s="1" t="s">
        <v>982</v>
      </c>
    </row>
    <row r="685" customFormat="false" ht="15.75" hidden="false" customHeight="true" outlineLevel="0" collapsed="false">
      <c r="A685" s="18" t="s">
        <v>820</v>
      </c>
      <c r="B685" s="18" t="s">
        <v>820</v>
      </c>
      <c r="C685" s="2" t="s">
        <v>31</v>
      </c>
      <c r="E685" s="66" t="n">
        <v>108</v>
      </c>
      <c r="F685" s="21" t="str">
        <f aca="false">CONCATENATE(B685,"_",C685, TEXT(E685, "000"))</f>
        <v>OPNZ_M. laciniatus108</v>
      </c>
      <c r="G685" s="21" t="s">
        <v>731</v>
      </c>
      <c r="H685" s="18" t="n">
        <v>1</v>
      </c>
      <c r="I685" s="22" t="n">
        <v>44726</v>
      </c>
      <c r="J685" s="2" t="s">
        <v>981</v>
      </c>
      <c r="L685" s="2" t="n">
        <v>1</v>
      </c>
      <c r="M685" s="2" t="n">
        <v>1</v>
      </c>
      <c r="N685" s="3" t="n">
        <v>45058</v>
      </c>
      <c r="O685" s="2" t="n">
        <v>20</v>
      </c>
      <c r="P685" s="2" t="n">
        <v>3</v>
      </c>
      <c r="Q685" s="62" t="str">
        <f aca="false">IF(ISBLANK(N685),"",IF(N685&lt;DATE(2023,5,1),"OLD","NEW"))</f>
        <v>NEW</v>
      </c>
      <c r="S685" s="33" t="n">
        <f aca="false">IF(COUNTIF('[1]Plate_1-2_LongFormat'!$A$2:$A$193,G685)&gt;0,1,0)</f>
        <v>0</v>
      </c>
      <c r="T685" s="33" t="n">
        <f aca="false">IF(COUNTIF([2]Attached_indexes!$C$2:$C$193,G685)&gt;0,1,0)</f>
        <v>0</v>
      </c>
      <c r="U685" s="59"/>
      <c r="V685" s="1" t="s">
        <v>982</v>
      </c>
    </row>
    <row r="686" customFormat="false" ht="15.75" hidden="false" customHeight="true" outlineLevel="0" collapsed="false">
      <c r="A686" s="18" t="s">
        <v>820</v>
      </c>
      <c r="B686" s="18" t="s">
        <v>820</v>
      </c>
      <c r="C686" s="2" t="s">
        <v>31</v>
      </c>
      <c r="E686" s="66" t="n">
        <v>109</v>
      </c>
      <c r="F686" s="21" t="str">
        <f aca="false">CONCATENATE(B686,"_",C686, TEXT(E686, "000"))</f>
        <v>OPNZ_M. laciniatus109</v>
      </c>
      <c r="G686" s="21" t="s">
        <v>733</v>
      </c>
      <c r="H686" s="18" t="n">
        <v>1</v>
      </c>
      <c r="I686" s="22" t="n">
        <v>44726</v>
      </c>
      <c r="J686" s="2" t="s">
        <v>981</v>
      </c>
      <c r="K686" s="68" t="s">
        <v>988</v>
      </c>
      <c r="L686" s="2" t="n">
        <v>1</v>
      </c>
      <c r="M686" s="2" t="n">
        <v>1</v>
      </c>
      <c r="N686" s="3" t="n">
        <v>45071</v>
      </c>
      <c r="O686" s="2" t="n">
        <v>4.56</v>
      </c>
      <c r="P686" s="2" t="n">
        <v>4</v>
      </c>
      <c r="Q686" s="62" t="str">
        <f aca="false">IF(ISBLANK(N686),"",IF(N686&lt;DATE(2023,5,1),"OLD","NEW"))</f>
        <v>NEW</v>
      </c>
      <c r="S686" s="33" t="n">
        <f aca="false">IF(COUNTIF('[1]Plate_1-2_LongFormat'!$A$2:$A$193,G686)&gt;0,1,0)</f>
        <v>0</v>
      </c>
      <c r="T686" s="33" t="n">
        <f aca="false">IF(COUNTIF([2]Attached_indexes!$C$2:$C$193,G686)&gt;0,1,0)</f>
        <v>0</v>
      </c>
      <c r="U686" s="59"/>
      <c r="V686" s="1" t="s">
        <v>982</v>
      </c>
    </row>
    <row r="687" customFormat="false" ht="15.75" hidden="false" customHeight="true" outlineLevel="0" collapsed="false">
      <c r="A687" s="18" t="s">
        <v>820</v>
      </c>
      <c r="B687" s="18" t="s">
        <v>820</v>
      </c>
      <c r="C687" s="2" t="s">
        <v>31</v>
      </c>
      <c r="E687" s="66" t="n">
        <v>109</v>
      </c>
      <c r="F687" s="21" t="str">
        <f aca="false">CONCATENATE(B687,"_",C687, TEXT(E687, "000"))</f>
        <v>OPNZ_M. laciniatus109</v>
      </c>
      <c r="G687" s="21" t="s">
        <v>733</v>
      </c>
      <c r="H687" s="18" t="n">
        <v>1</v>
      </c>
      <c r="I687" s="22" t="n">
        <v>44726</v>
      </c>
      <c r="J687" s="2" t="s">
        <v>981</v>
      </c>
      <c r="K687" s="68" t="s">
        <v>988</v>
      </c>
      <c r="L687" s="2" t="n">
        <v>1</v>
      </c>
      <c r="M687" s="2" t="n">
        <v>1</v>
      </c>
      <c r="N687" s="3" t="n">
        <v>45071</v>
      </c>
      <c r="O687" s="2" t="n">
        <v>4.56</v>
      </c>
      <c r="P687" s="2" t="n">
        <v>4</v>
      </c>
      <c r="Q687" s="62" t="str">
        <f aca="false">IF(ISBLANK(N687),"",IF(N687&lt;DATE(2023,5,1),"OLD","NEW"))</f>
        <v>NEW</v>
      </c>
      <c r="S687" s="33" t="n">
        <f aca="false">IF(COUNTIF('[1]Plate_1-2_LongFormat'!$A$2:$A$193,G687)&gt;0,1,0)</f>
        <v>0</v>
      </c>
      <c r="T687" s="33" t="n">
        <f aca="false">IF(COUNTIF([2]Attached_indexes!$C$2:$C$193,G687)&gt;0,1,0)</f>
        <v>0</v>
      </c>
      <c r="U687" s="59"/>
      <c r="V687" s="1" t="s">
        <v>982</v>
      </c>
    </row>
    <row r="688" customFormat="false" ht="15.75" hidden="false" customHeight="true" outlineLevel="0" collapsed="false">
      <c r="A688" s="18" t="s">
        <v>820</v>
      </c>
      <c r="B688" s="18" t="s">
        <v>820</v>
      </c>
      <c r="C688" s="2" t="s">
        <v>31</v>
      </c>
      <c r="E688" s="66" t="n">
        <v>109</v>
      </c>
      <c r="F688" s="21" t="str">
        <f aca="false">CONCATENATE(B688,"_",C688, TEXT(E688, "000"))</f>
        <v>OPNZ_M. laciniatus109</v>
      </c>
      <c r="G688" s="21" t="s">
        <v>733</v>
      </c>
      <c r="H688" s="18" t="n">
        <v>1</v>
      </c>
      <c r="I688" s="22" t="n">
        <v>44726</v>
      </c>
      <c r="J688" s="2" t="s">
        <v>981</v>
      </c>
      <c r="K688" s="68" t="s">
        <v>988</v>
      </c>
      <c r="L688" s="2" t="n">
        <v>1</v>
      </c>
      <c r="M688" s="2" t="n">
        <v>1</v>
      </c>
      <c r="N688" s="3" t="n">
        <v>45071</v>
      </c>
      <c r="O688" s="2" t="n">
        <v>4.56</v>
      </c>
      <c r="P688" s="2" t="n">
        <v>4</v>
      </c>
      <c r="Q688" s="62" t="str">
        <f aca="false">IF(ISBLANK(N688),"",IF(N688&lt;DATE(2023,5,1),"OLD","NEW"))</f>
        <v>NEW</v>
      </c>
      <c r="S688" s="33" t="n">
        <f aca="false">IF(COUNTIF('[1]Plate_1-2_LongFormat'!$A$2:$A$193,G688)&gt;0,1,0)</f>
        <v>0</v>
      </c>
      <c r="T688" s="33" t="n">
        <f aca="false">IF(COUNTIF([2]Attached_indexes!$C$2:$C$193,G688)&gt;0,1,0)</f>
        <v>0</v>
      </c>
      <c r="U688" s="59"/>
      <c r="V688" s="1" t="s">
        <v>982</v>
      </c>
    </row>
    <row r="689" customFormat="false" ht="15.75" hidden="false" customHeight="true" outlineLevel="0" collapsed="false">
      <c r="A689" s="18" t="s">
        <v>820</v>
      </c>
      <c r="B689" s="18" t="s">
        <v>820</v>
      </c>
      <c r="C689" s="2" t="s">
        <v>31</v>
      </c>
      <c r="E689" s="66" t="n">
        <v>110</v>
      </c>
      <c r="F689" s="21" t="str">
        <f aca="false">CONCATENATE(B689,"_",C689, TEXT(E689, "000"))</f>
        <v>OPNZ_M. laciniatus110</v>
      </c>
      <c r="G689" s="21" t="s">
        <v>735</v>
      </c>
      <c r="H689" s="18" t="n">
        <v>1</v>
      </c>
      <c r="I689" s="22" t="n">
        <v>44726</v>
      </c>
      <c r="J689" s="2" t="s">
        <v>981</v>
      </c>
      <c r="L689" s="2" t="n">
        <v>1</v>
      </c>
      <c r="M689" s="2" t="n">
        <v>1</v>
      </c>
      <c r="N689" s="3" t="n">
        <v>44914</v>
      </c>
      <c r="O689" s="2" t="n">
        <v>8</v>
      </c>
      <c r="P689" s="2" t="n">
        <v>2</v>
      </c>
      <c r="Q689" s="62" t="str">
        <f aca="false">IF(ISBLANK(N689),"",IF(N689&lt;DATE(2023,5,1),"OLD","NEW"))</f>
        <v>OLD</v>
      </c>
      <c r="S689" s="33" t="n">
        <f aca="false">IF(COUNTIF('[1]Plate_1-2_LongFormat'!$A$2:$A$193,G689)&gt;0,1,0)</f>
        <v>0</v>
      </c>
      <c r="T689" s="33" t="n">
        <f aca="false">IF(COUNTIF([2]Attached_indexes!$C$2:$C$193,G689)&gt;0,1,0)</f>
        <v>0</v>
      </c>
      <c r="U689" s="59"/>
      <c r="V689" s="1" t="s">
        <v>982</v>
      </c>
    </row>
    <row r="690" customFormat="false" ht="15.75" hidden="false" customHeight="true" outlineLevel="0" collapsed="false">
      <c r="A690" s="18" t="s">
        <v>820</v>
      </c>
      <c r="B690" s="18" t="s">
        <v>820</v>
      </c>
      <c r="C690" s="2" t="s">
        <v>31</v>
      </c>
      <c r="E690" s="66" t="n">
        <v>110</v>
      </c>
      <c r="F690" s="21" t="str">
        <f aca="false">CONCATENATE(B690,"_",C690, TEXT(E690, "000"))</f>
        <v>OPNZ_M. laciniatus110</v>
      </c>
      <c r="G690" s="21" t="s">
        <v>735</v>
      </c>
      <c r="H690" s="18" t="n">
        <v>1</v>
      </c>
      <c r="I690" s="22" t="n">
        <v>44726</v>
      </c>
      <c r="J690" s="2" t="s">
        <v>981</v>
      </c>
      <c r="L690" s="2" t="n">
        <v>1</v>
      </c>
      <c r="M690" s="2" t="n">
        <v>1</v>
      </c>
      <c r="N690" s="3" t="n">
        <v>44914</v>
      </c>
      <c r="O690" s="2" t="n">
        <v>8</v>
      </c>
      <c r="P690" s="2" t="n">
        <v>2</v>
      </c>
      <c r="Q690" s="62" t="str">
        <f aca="false">IF(ISBLANK(N690),"",IF(N690&lt;DATE(2023,5,1),"OLD","NEW"))</f>
        <v>OLD</v>
      </c>
      <c r="S690" s="33" t="n">
        <f aca="false">IF(COUNTIF('[1]Plate_1-2_LongFormat'!$A$2:$A$193,G690)&gt;0,1,0)</f>
        <v>0</v>
      </c>
      <c r="T690" s="33" t="n">
        <f aca="false">IF(COUNTIF([2]Attached_indexes!$C$2:$C$193,G690)&gt;0,1,0)</f>
        <v>0</v>
      </c>
      <c r="U690" s="59"/>
      <c r="V690" s="1" t="s">
        <v>982</v>
      </c>
    </row>
    <row r="691" customFormat="false" ht="15.75" hidden="false" customHeight="true" outlineLevel="0" collapsed="false">
      <c r="A691" s="18" t="s">
        <v>820</v>
      </c>
      <c r="B691" s="18" t="s">
        <v>820</v>
      </c>
      <c r="C691" s="2" t="s">
        <v>31</v>
      </c>
      <c r="E691" s="66" t="n">
        <v>110</v>
      </c>
      <c r="F691" s="21" t="str">
        <f aca="false">CONCATENATE(B691,"_",C691, TEXT(E691, "000"))</f>
        <v>OPNZ_M. laciniatus110</v>
      </c>
      <c r="G691" s="21" t="s">
        <v>735</v>
      </c>
      <c r="H691" s="18" t="n">
        <v>1</v>
      </c>
      <c r="I691" s="22" t="n">
        <v>44726</v>
      </c>
      <c r="J691" s="2" t="s">
        <v>981</v>
      </c>
      <c r="L691" s="2" t="n">
        <v>1</v>
      </c>
      <c r="M691" s="2" t="n">
        <v>1</v>
      </c>
      <c r="N691" s="3" t="n">
        <v>44914</v>
      </c>
      <c r="O691" s="2" t="n">
        <v>8</v>
      </c>
      <c r="P691" s="2" t="n">
        <v>2</v>
      </c>
      <c r="Q691" s="62" t="str">
        <f aca="false">IF(ISBLANK(N691),"",IF(N691&lt;DATE(2023,5,1),"OLD","NEW"))</f>
        <v>OLD</v>
      </c>
      <c r="S691" s="33" t="n">
        <f aca="false">IF(COUNTIF('[1]Plate_1-2_LongFormat'!$A$2:$A$193,G691)&gt;0,1,0)</f>
        <v>0</v>
      </c>
      <c r="T691" s="33" t="n">
        <f aca="false">IF(COUNTIF([2]Attached_indexes!$C$2:$C$193,G691)&gt;0,1,0)</f>
        <v>0</v>
      </c>
      <c r="U691" s="59"/>
      <c r="V691" s="1" t="s">
        <v>982</v>
      </c>
    </row>
    <row r="692" customFormat="false" ht="15.75" hidden="false" customHeight="true" outlineLevel="0" collapsed="false">
      <c r="A692" s="18" t="s">
        <v>654</v>
      </c>
      <c r="B692" s="18" t="s">
        <v>654</v>
      </c>
      <c r="C692" s="18" t="s">
        <v>31</v>
      </c>
      <c r="E692" s="66" t="n">
        <v>1</v>
      </c>
      <c r="F692" s="21" t="str">
        <f aca="false">CONCATENATE(B692,"_",C692, TEXT(E692, "000"))</f>
        <v>OSKB_M. laciniatus001</v>
      </c>
      <c r="G692" s="21" t="s">
        <v>655</v>
      </c>
      <c r="H692" s="18" t="n">
        <v>1</v>
      </c>
      <c r="I692" s="22" t="n">
        <v>44714</v>
      </c>
      <c r="J692" s="2" t="s">
        <v>981</v>
      </c>
      <c r="L692" s="2" t="n">
        <v>1</v>
      </c>
      <c r="M692" s="2" t="n">
        <v>1</v>
      </c>
      <c r="N692" s="3" t="n">
        <v>44842</v>
      </c>
      <c r="O692" s="2" t="n">
        <v>10.5</v>
      </c>
      <c r="Q692" s="62" t="str">
        <f aca="false">IF(ISBLANK(N692),"",IF(N692&lt;DATE(2023,5,1),"OLD","NEW"))</f>
        <v>OLD</v>
      </c>
      <c r="S692" s="33" t="n">
        <f aca="false">IF(COUNTIF('[1]Plate_1-2_LongFormat'!$A$2:$A$193,G692)&gt;0,1,0)</f>
        <v>1</v>
      </c>
      <c r="T692" s="33" t="n">
        <f aca="false">IF(COUNTIF([2]Attached_indexes!$C$2:$C$193,G692)&gt;0,1,0)</f>
        <v>1</v>
      </c>
      <c r="U692" s="59"/>
      <c r="V692" s="1" t="s">
        <v>982</v>
      </c>
    </row>
    <row r="693" customFormat="false" ht="15.75" hidden="false" customHeight="true" outlineLevel="0" collapsed="false">
      <c r="A693" s="18" t="s">
        <v>654</v>
      </c>
      <c r="B693" s="18" t="s">
        <v>654</v>
      </c>
      <c r="C693" s="18" t="s">
        <v>31</v>
      </c>
      <c r="E693" s="66" t="n">
        <v>1</v>
      </c>
      <c r="F693" s="21" t="str">
        <f aca="false">CONCATENATE(B693,"_",C693, TEXT(E693, "000"))</f>
        <v>OSKB_M. laciniatus001</v>
      </c>
      <c r="G693" s="21" t="s">
        <v>655</v>
      </c>
      <c r="H693" s="18" t="n">
        <v>1</v>
      </c>
      <c r="I693" s="22" t="n">
        <v>44714</v>
      </c>
      <c r="J693" s="2" t="s">
        <v>981</v>
      </c>
      <c r="K693" s="61"/>
      <c r="L693" s="2" t="n">
        <v>1</v>
      </c>
      <c r="M693" s="2" t="n">
        <v>1</v>
      </c>
      <c r="N693" s="3" t="n">
        <v>44842</v>
      </c>
      <c r="O693" s="2" t="n">
        <v>10.5</v>
      </c>
      <c r="Q693" s="62" t="str">
        <f aca="false">IF(ISBLANK(N693),"",IF(N693&lt;DATE(2023,5,1),"OLD","NEW"))</f>
        <v>OLD</v>
      </c>
      <c r="S693" s="33" t="n">
        <f aca="false">IF(COUNTIF('[1]Plate_1-2_LongFormat'!$A$2:$A$193,G693)&gt;0,1,0)</f>
        <v>1</v>
      </c>
      <c r="T693" s="33" t="n">
        <f aca="false">IF(COUNTIF([2]Attached_indexes!$C$2:$C$193,G693)&gt;0,1,0)</f>
        <v>1</v>
      </c>
      <c r="U693" s="59"/>
      <c r="V693" s="1" t="s">
        <v>982</v>
      </c>
    </row>
    <row r="694" customFormat="false" ht="15.75" hidden="false" customHeight="true" outlineLevel="0" collapsed="false">
      <c r="A694" s="18" t="s">
        <v>654</v>
      </c>
      <c r="B694" s="18" t="s">
        <v>654</v>
      </c>
      <c r="C694" s="18" t="s">
        <v>31</v>
      </c>
      <c r="E694" s="66" t="n">
        <v>1</v>
      </c>
      <c r="F694" s="21" t="str">
        <f aca="false">CONCATENATE(B694,"_",C694, TEXT(E694, "000"))</f>
        <v>OSKB_M. laciniatus001</v>
      </c>
      <c r="G694" s="21" t="s">
        <v>655</v>
      </c>
      <c r="H694" s="18" t="n">
        <v>1</v>
      </c>
      <c r="I694" s="22" t="n">
        <v>44714</v>
      </c>
      <c r="J694" s="2" t="s">
        <v>981</v>
      </c>
      <c r="K694" s="61"/>
      <c r="L694" s="2" t="n">
        <v>1</v>
      </c>
      <c r="M694" s="2" t="n">
        <v>1</v>
      </c>
      <c r="N694" s="3" t="n">
        <v>44842</v>
      </c>
      <c r="O694" s="2" t="n">
        <v>10.5</v>
      </c>
      <c r="Q694" s="62" t="str">
        <f aca="false">IF(ISBLANK(N694),"",IF(N694&lt;DATE(2023,5,1),"OLD","NEW"))</f>
        <v>OLD</v>
      </c>
      <c r="S694" s="33" t="n">
        <f aca="false">IF(COUNTIF('[1]Plate_1-2_LongFormat'!$A$2:$A$193,G694)&gt;0,1,0)</f>
        <v>1</v>
      </c>
      <c r="T694" s="33" t="n">
        <f aca="false">IF(COUNTIF([2]Attached_indexes!$C$2:$C$193,G694)&gt;0,1,0)</f>
        <v>1</v>
      </c>
      <c r="U694" s="59"/>
      <c r="V694" s="1" t="s">
        <v>982</v>
      </c>
    </row>
    <row r="695" customFormat="false" ht="15.75" hidden="false" customHeight="true" outlineLevel="0" collapsed="false">
      <c r="A695" s="18" t="s">
        <v>654</v>
      </c>
      <c r="B695" s="18" t="s">
        <v>654</v>
      </c>
      <c r="C695" s="18" t="s">
        <v>31</v>
      </c>
      <c r="E695" s="66" t="n">
        <v>2</v>
      </c>
      <c r="F695" s="21" t="str">
        <f aca="false">CONCATENATE(B695,"_",C695, TEXT(E695, "000"))</f>
        <v>OSKB_M. laciniatus002</v>
      </c>
      <c r="G695" s="21" t="s">
        <v>660</v>
      </c>
      <c r="H695" s="18" t="n">
        <v>1</v>
      </c>
      <c r="I695" s="22" t="n">
        <v>44714</v>
      </c>
      <c r="J695" s="2" t="s">
        <v>981</v>
      </c>
      <c r="K695" s="61"/>
      <c r="L695" s="2" t="n">
        <v>1</v>
      </c>
      <c r="M695" s="2" t="n">
        <v>1</v>
      </c>
      <c r="N695" s="3" t="n">
        <v>44999</v>
      </c>
      <c r="O695" s="2" t="n">
        <v>8.13</v>
      </c>
      <c r="P695" s="2" t="n">
        <v>3</v>
      </c>
      <c r="Q695" s="62" t="str">
        <f aca="false">IF(ISBLANK(N695),"",IF(N695&lt;DATE(2023,5,1),"OLD","NEW"))</f>
        <v>OLD</v>
      </c>
      <c r="S695" s="33" t="n">
        <f aca="false">IF(COUNTIF('[1]Plate_1-2_LongFormat'!$A$2:$A$193,G695)&gt;0,1,0)</f>
        <v>1</v>
      </c>
      <c r="T695" s="33" t="n">
        <f aca="false">IF(COUNTIF([2]Attached_indexes!$C$2:$C$193,G695)&gt;0,1,0)</f>
        <v>1</v>
      </c>
      <c r="U695" s="59"/>
      <c r="V695" s="1" t="s">
        <v>982</v>
      </c>
    </row>
    <row r="696" customFormat="false" ht="15.75" hidden="false" customHeight="true" outlineLevel="0" collapsed="false">
      <c r="A696" s="18" t="s">
        <v>654</v>
      </c>
      <c r="B696" s="18" t="s">
        <v>654</v>
      </c>
      <c r="C696" s="18" t="s">
        <v>31</v>
      </c>
      <c r="E696" s="66" t="n">
        <v>2</v>
      </c>
      <c r="F696" s="21" t="str">
        <f aca="false">CONCATENATE(B696,"_",C696, TEXT(E696, "000"))</f>
        <v>OSKB_M. laciniatus002</v>
      </c>
      <c r="G696" s="21" t="s">
        <v>660</v>
      </c>
      <c r="H696" s="18" t="n">
        <v>1</v>
      </c>
      <c r="I696" s="22" t="n">
        <v>44714</v>
      </c>
      <c r="J696" s="2" t="s">
        <v>981</v>
      </c>
      <c r="K696" s="61"/>
      <c r="L696" s="2" t="n">
        <v>1</v>
      </c>
      <c r="M696" s="2" t="n">
        <v>1</v>
      </c>
      <c r="N696" s="3" t="n">
        <v>44999</v>
      </c>
      <c r="O696" s="2" t="n">
        <v>8.13</v>
      </c>
      <c r="P696" s="2" t="n">
        <v>3</v>
      </c>
      <c r="Q696" s="62" t="str">
        <f aca="false">IF(ISBLANK(N696),"",IF(N696&lt;DATE(2023,5,1),"OLD","NEW"))</f>
        <v>OLD</v>
      </c>
      <c r="S696" s="33" t="n">
        <f aca="false">IF(COUNTIF('[1]Plate_1-2_LongFormat'!$A$2:$A$193,G696)&gt;0,1,0)</f>
        <v>1</v>
      </c>
      <c r="T696" s="33" t="n">
        <f aca="false">IF(COUNTIF([2]Attached_indexes!$C$2:$C$193,G696)&gt;0,1,0)</f>
        <v>1</v>
      </c>
      <c r="U696" s="59"/>
      <c r="V696" s="1" t="s">
        <v>982</v>
      </c>
    </row>
    <row r="697" customFormat="false" ht="15.75" hidden="false" customHeight="true" outlineLevel="0" collapsed="false">
      <c r="A697" s="18" t="s">
        <v>654</v>
      </c>
      <c r="B697" s="18" t="s">
        <v>654</v>
      </c>
      <c r="C697" s="18" t="s">
        <v>31</v>
      </c>
      <c r="E697" s="66" t="n">
        <v>2</v>
      </c>
      <c r="F697" s="21" t="str">
        <f aca="false">CONCATENATE(B697,"_",C697, TEXT(E697, "000"))</f>
        <v>OSKB_M. laciniatus002</v>
      </c>
      <c r="G697" s="21" t="s">
        <v>660</v>
      </c>
      <c r="H697" s="18" t="n">
        <v>1</v>
      </c>
      <c r="I697" s="22" t="n">
        <v>44714</v>
      </c>
      <c r="J697" s="2" t="s">
        <v>981</v>
      </c>
      <c r="K697" s="61"/>
      <c r="L697" s="2" t="n">
        <v>1</v>
      </c>
      <c r="M697" s="2" t="n">
        <v>1</v>
      </c>
      <c r="N697" s="3" t="n">
        <v>44999</v>
      </c>
      <c r="O697" s="2" t="n">
        <v>8.13</v>
      </c>
      <c r="P697" s="2" t="n">
        <v>3</v>
      </c>
      <c r="Q697" s="62" t="str">
        <f aca="false">IF(ISBLANK(N697),"",IF(N697&lt;DATE(2023,5,1),"OLD","NEW"))</f>
        <v>OLD</v>
      </c>
      <c r="S697" s="33" t="n">
        <f aca="false">IF(COUNTIF('[1]Plate_1-2_LongFormat'!$A$2:$A$193,G697)&gt;0,1,0)</f>
        <v>1</v>
      </c>
      <c r="T697" s="33" t="n">
        <f aca="false">IF(COUNTIF([2]Attached_indexes!$C$2:$C$193,G697)&gt;0,1,0)</f>
        <v>1</v>
      </c>
      <c r="U697" s="59"/>
      <c r="V697" s="1" t="s">
        <v>982</v>
      </c>
    </row>
    <row r="698" customFormat="false" ht="15.75" hidden="false" customHeight="true" outlineLevel="0" collapsed="false">
      <c r="A698" s="18" t="s">
        <v>654</v>
      </c>
      <c r="B698" s="18" t="s">
        <v>654</v>
      </c>
      <c r="C698" s="18" t="s">
        <v>31</v>
      </c>
      <c r="E698" s="66" t="n">
        <v>3</v>
      </c>
      <c r="F698" s="21" t="str">
        <f aca="false">CONCATENATE(B698,"_",C698, TEXT(E698, "000"))</f>
        <v>OSKB_M. laciniatus003</v>
      </c>
      <c r="G698" s="21" t="s">
        <v>663</v>
      </c>
      <c r="H698" s="18" t="n">
        <v>1</v>
      </c>
      <c r="I698" s="22" t="n">
        <v>44714</v>
      </c>
      <c r="J698" s="2" t="s">
        <v>981</v>
      </c>
      <c r="K698" s="61"/>
      <c r="L698" s="2" t="n">
        <v>1</v>
      </c>
      <c r="M698" s="2" t="n">
        <v>1</v>
      </c>
      <c r="N698" s="3" t="n">
        <v>45058</v>
      </c>
      <c r="O698" s="2" t="n">
        <v>12.6</v>
      </c>
      <c r="P698" s="2" t="n">
        <v>3</v>
      </c>
      <c r="Q698" s="62" t="str">
        <f aca="false">IF(ISBLANK(N698),"",IF(N698&lt;DATE(2023,5,1),"OLD","NEW"))</f>
        <v>NEW</v>
      </c>
      <c r="S698" s="33" t="n">
        <f aca="false">IF(COUNTIF('[1]Plate_1-2_LongFormat'!$A$2:$A$193,G698)&gt;0,1,0)</f>
        <v>0</v>
      </c>
      <c r="T698" s="33" t="n">
        <f aca="false">IF(COUNTIF([2]Attached_indexes!$C$2:$C$193,G698)&gt;0,1,0)</f>
        <v>0</v>
      </c>
      <c r="U698" s="59"/>
      <c r="V698" s="1" t="s">
        <v>982</v>
      </c>
    </row>
    <row r="699" customFormat="false" ht="15.75" hidden="false" customHeight="true" outlineLevel="0" collapsed="false">
      <c r="A699" s="18" t="s">
        <v>654</v>
      </c>
      <c r="B699" s="18" t="s">
        <v>654</v>
      </c>
      <c r="C699" s="18" t="s">
        <v>31</v>
      </c>
      <c r="E699" s="66" t="n">
        <v>3</v>
      </c>
      <c r="F699" s="21" t="str">
        <f aca="false">CONCATENATE(B699,"_",C699, TEXT(E699, "000"))</f>
        <v>OSKB_M. laciniatus003</v>
      </c>
      <c r="G699" s="21" t="s">
        <v>663</v>
      </c>
      <c r="H699" s="18" t="n">
        <v>1</v>
      </c>
      <c r="I699" s="22" t="n">
        <v>44714</v>
      </c>
      <c r="J699" s="2" t="s">
        <v>981</v>
      </c>
      <c r="K699" s="61"/>
      <c r="L699" s="2" t="n">
        <v>1</v>
      </c>
      <c r="M699" s="2" t="n">
        <v>1</v>
      </c>
      <c r="N699" s="3" t="n">
        <v>45058</v>
      </c>
      <c r="O699" s="2" t="n">
        <v>12.6</v>
      </c>
      <c r="P699" s="2" t="n">
        <v>3</v>
      </c>
      <c r="Q699" s="62" t="str">
        <f aca="false">IF(ISBLANK(N699),"",IF(N699&lt;DATE(2023,5,1),"OLD","NEW"))</f>
        <v>NEW</v>
      </c>
      <c r="S699" s="33" t="n">
        <f aca="false">IF(COUNTIF('[1]Plate_1-2_LongFormat'!$A$2:$A$193,G699)&gt;0,1,0)</f>
        <v>0</v>
      </c>
      <c r="T699" s="33" t="n">
        <f aca="false">IF(COUNTIF([2]Attached_indexes!$C$2:$C$193,G699)&gt;0,1,0)</f>
        <v>0</v>
      </c>
      <c r="U699" s="59"/>
      <c r="V699" s="1" t="s">
        <v>982</v>
      </c>
    </row>
    <row r="700" customFormat="false" ht="15.75" hidden="false" customHeight="true" outlineLevel="0" collapsed="false">
      <c r="A700" s="18" t="s">
        <v>654</v>
      </c>
      <c r="B700" s="18" t="s">
        <v>654</v>
      </c>
      <c r="C700" s="18" t="s">
        <v>31</v>
      </c>
      <c r="E700" s="66" t="n">
        <v>3</v>
      </c>
      <c r="F700" s="21" t="str">
        <f aca="false">CONCATENATE(B700,"_",C700, TEXT(E700, "000"))</f>
        <v>OSKB_M. laciniatus003</v>
      </c>
      <c r="G700" s="21" t="s">
        <v>663</v>
      </c>
      <c r="H700" s="18" t="n">
        <v>1</v>
      </c>
      <c r="I700" s="22" t="n">
        <v>44714</v>
      </c>
      <c r="J700" s="2" t="s">
        <v>981</v>
      </c>
      <c r="K700" s="61"/>
      <c r="L700" s="2" t="n">
        <v>1</v>
      </c>
      <c r="M700" s="2" t="n">
        <v>1</v>
      </c>
      <c r="N700" s="3" t="n">
        <v>45058</v>
      </c>
      <c r="O700" s="2" t="n">
        <v>12.6</v>
      </c>
      <c r="P700" s="2" t="n">
        <v>3</v>
      </c>
      <c r="Q700" s="62" t="str">
        <f aca="false">IF(ISBLANK(N700),"",IF(N700&lt;DATE(2023,5,1),"OLD","NEW"))</f>
        <v>NEW</v>
      </c>
      <c r="S700" s="33" t="n">
        <f aca="false">IF(COUNTIF('[1]Plate_1-2_LongFormat'!$A$2:$A$193,G700)&gt;0,1,0)</f>
        <v>0</v>
      </c>
      <c r="T700" s="33" t="n">
        <f aca="false">IF(COUNTIF([2]Attached_indexes!$C$2:$C$193,G700)&gt;0,1,0)</f>
        <v>0</v>
      </c>
      <c r="U700" s="59"/>
      <c r="V700" s="1" t="s">
        <v>982</v>
      </c>
    </row>
    <row r="701" customFormat="false" ht="15.75" hidden="false" customHeight="true" outlineLevel="0" collapsed="false">
      <c r="A701" s="18" t="s">
        <v>654</v>
      </c>
      <c r="B701" s="18" t="s">
        <v>654</v>
      </c>
      <c r="C701" s="18" t="s">
        <v>31</v>
      </c>
      <c r="E701" s="66" t="n">
        <v>4</v>
      </c>
      <c r="F701" s="21" t="str">
        <f aca="false">CONCATENATE(B701,"_",C701, TEXT(E701, "000"))</f>
        <v>OSKB_M. laciniatus004</v>
      </c>
      <c r="G701" s="21" t="s">
        <v>665</v>
      </c>
      <c r="H701" s="18" t="n">
        <v>1</v>
      </c>
      <c r="I701" s="22" t="n">
        <v>44714</v>
      </c>
      <c r="J701" s="2" t="s">
        <v>981</v>
      </c>
      <c r="K701" s="67" t="s">
        <v>985</v>
      </c>
      <c r="L701" s="2" t="n">
        <v>1</v>
      </c>
      <c r="M701" s="2" t="n">
        <v>1</v>
      </c>
      <c r="N701" s="3" t="n">
        <v>44945</v>
      </c>
      <c r="O701" s="2" t="n">
        <v>6.61</v>
      </c>
      <c r="P701" s="2" t="n">
        <v>2</v>
      </c>
      <c r="Q701" s="62" t="str">
        <f aca="false">IF(ISBLANK(N701),"",IF(N701&lt;DATE(2023,5,1),"OLD","NEW"))</f>
        <v>OLD</v>
      </c>
      <c r="S701" s="33" t="n">
        <f aca="false">IF(COUNTIF('[1]Plate_1-2_LongFormat'!$A$2:$A$193,G701)&gt;0,1,0)</f>
        <v>1</v>
      </c>
      <c r="T701" s="33" t="n">
        <f aca="false">IF(COUNTIF([2]Attached_indexes!$C$2:$C$193,G701)&gt;0,1,0)</f>
        <v>1</v>
      </c>
      <c r="U701" s="59"/>
      <c r="V701" s="1" t="s">
        <v>982</v>
      </c>
    </row>
    <row r="702" customFormat="false" ht="15.75" hidden="false" customHeight="true" outlineLevel="0" collapsed="false">
      <c r="A702" s="18" t="s">
        <v>654</v>
      </c>
      <c r="B702" s="18" t="s">
        <v>654</v>
      </c>
      <c r="C702" s="18" t="s">
        <v>31</v>
      </c>
      <c r="E702" s="66" t="n">
        <v>4</v>
      </c>
      <c r="F702" s="21" t="str">
        <f aca="false">CONCATENATE(B702,"_",C702, TEXT(E702, "000"))</f>
        <v>OSKB_M. laciniatus004</v>
      </c>
      <c r="G702" s="21" t="s">
        <v>665</v>
      </c>
      <c r="H702" s="18" t="n">
        <v>1</v>
      </c>
      <c r="I702" s="22" t="n">
        <v>44714</v>
      </c>
      <c r="J702" s="2" t="s">
        <v>981</v>
      </c>
      <c r="K702" s="67" t="s">
        <v>985</v>
      </c>
      <c r="L702" s="2" t="n">
        <v>1</v>
      </c>
      <c r="M702" s="2" t="n">
        <v>1</v>
      </c>
      <c r="N702" s="3" t="n">
        <v>44945</v>
      </c>
      <c r="O702" s="2" t="n">
        <v>6.61</v>
      </c>
      <c r="P702" s="2" t="n">
        <v>2</v>
      </c>
      <c r="Q702" s="62" t="str">
        <f aca="false">IF(ISBLANK(N702),"",IF(N702&lt;DATE(2023,5,1),"OLD","NEW"))</f>
        <v>OLD</v>
      </c>
      <c r="S702" s="33" t="n">
        <f aca="false">IF(COUNTIF('[1]Plate_1-2_LongFormat'!$A$2:$A$193,G702)&gt;0,1,0)</f>
        <v>1</v>
      </c>
      <c r="T702" s="33" t="n">
        <f aca="false">IF(COUNTIF([2]Attached_indexes!$C$2:$C$193,G702)&gt;0,1,0)</f>
        <v>1</v>
      </c>
      <c r="U702" s="59"/>
      <c r="V702" s="1" t="s">
        <v>982</v>
      </c>
    </row>
    <row r="703" customFormat="false" ht="15.75" hidden="false" customHeight="true" outlineLevel="0" collapsed="false">
      <c r="A703" s="18" t="s">
        <v>654</v>
      </c>
      <c r="B703" s="18" t="s">
        <v>654</v>
      </c>
      <c r="C703" s="18" t="s">
        <v>31</v>
      </c>
      <c r="E703" s="66" t="n">
        <v>4</v>
      </c>
      <c r="F703" s="21" t="str">
        <f aca="false">CONCATENATE(B703,"_",C703, TEXT(E703, "000"))</f>
        <v>OSKB_M. laciniatus004</v>
      </c>
      <c r="G703" s="21" t="s">
        <v>665</v>
      </c>
      <c r="H703" s="18" t="n">
        <v>1</v>
      </c>
      <c r="I703" s="22" t="n">
        <v>44714</v>
      </c>
      <c r="J703" s="2" t="s">
        <v>981</v>
      </c>
      <c r="K703" s="67" t="s">
        <v>985</v>
      </c>
      <c r="L703" s="2" t="n">
        <v>1</v>
      </c>
      <c r="M703" s="2" t="n">
        <v>1</v>
      </c>
      <c r="N703" s="3" t="n">
        <v>44945</v>
      </c>
      <c r="O703" s="2" t="n">
        <v>6.61</v>
      </c>
      <c r="P703" s="2" t="n">
        <v>2</v>
      </c>
      <c r="Q703" s="62" t="str">
        <f aca="false">IF(ISBLANK(N703),"",IF(N703&lt;DATE(2023,5,1),"OLD","NEW"))</f>
        <v>OLD</v>
      </c>
      <c r="S703" s="33" t="n">
        <f aca="false">IF(COUNTIF('[1]Plate_1-2_LongFormat'!$A$2:$A$193,G703)&gt;0,1,0)</f>
        <v>1</v>
      </c>
      <c r="T703" s="33" t="n">
        <f aca="false">IF(COUNTIF([2]Attached_indexes!$C$2:$C$193,G703)&gt;0,1,0)</f>
        <v>1</v>
      </c>
      <c r="U703" s="59"/>
      <c r="V703" s="1" t="s">
        <v>982</v>
      </c>
    </row>
    <row r="704" customFormat="false" ht="15.75" hidden="false" customHeight="true" outlineLevel="0" collapsed="false">
      <c r="A704" s="18" t="s">
        <v>654</v>
      </c>
      <c r="B704" s="18" t="s">
        <v>654</v>
      </c>
      <c r="C704" s="18" t="s">
        <v>31</v>
      </c>
      <c r="E704" s="66" t="n">
        <v>5</v>
      </c>
      <c r="F704" s="21" t="str">
        <f aca="false">CONCATENATE(B704,"_",C704, TEXT(E704, "000"))</f>
        <v>OSKB_M. laciniatus005</v>
      </c>
      <c r="G704" s="21" t="s">
        <v>667</v>
      </c>
      <c r="H704" s="18" t="n">
        <v>1</v>
      </c>
      <c r="I704" s="22" t="n">
        <v>44714</v>
      </c>
      <c r="J704" s="2" t="s">
        <v>981</v>
      </c>
      <c r="K704" s="67" t="s">
        <v>1024</v>
      </c>
      <c r="L704" s="2" t="n">
        <v>1</v>
      </c>
      <c r="M704" s="2" t="n">
        <v>1</v>
      </c>
      <c r="N704" s="3" t="n">
        <v>44938</v>
      </c>
      <c r="O704" s="2" t="n">
        <v>4.71</v>
      </c>
      <c r="P704" s="2" t="n">
        <v>2</v>
      </c>
      <c r="Q704" s="62" t="str">
        <f aca="false">IF(ISBLANK(N704),"",IF(N704&lt;DATE(2023,5,1),"OLD","NEW"))</f>
        <v>OLD</v>
      </c>
      <c r="S704" s="33" t="n">
        <f aca="false">IF(COUNTIF('[1]Plate_1-2_LongFormat'!$A$2:$A$193,G704)&gt;0,1,0)</f>
        <v>1</v>
      </c>
      <c r="T704" s="33" t="n">
        <f aca="false">IF(COUNTIF([2]Attached_indexes!$C$2:$C$193,G704)&gt;0,1,0)</f>
        <v>1</v>
      </c>
      <c r="U704" s="59"/>
      <c r="V704" s="1" t="s">
        <v>982</v>
      </c>
    </row>
    <row r="705" customFormat="false" ht="15.75" hidden="false" customHeight="true" outlineLevel="0" collapsed="false">
      <c r="A705" s="18" t="s">
        <v>654</v>
      </c>
      <c r="B705" s="18" t="s">
        <v>654</v>
      </c>
      <c r="C705" s="18" t="s">
        <v>31</v>
      </c>
      <c r="E705" s="66" t="n">
        <v>5</v>
      </c>
      <c r="F705" s="21" t="str">
        <f aca="false">CONCATENATE(B705,"_",C705, TEXT(E705, "000"))</f>
        <v>OSKB_M. laciniatus005</v>
      </c>
      <c r="G705" s="21" t="s">
        <v>667</v>
      </c>
      <c r="H705" s="18" t="n">
        <v>1</v>
      </c>
      <c r="I705" s="22" t="n">
        <v>44714</v>
      </c>
      <c r="J705" s="2" t="s">
        <v>981</v>
      </c>
      <c r="K705" s="67" t="s">
        <v>1024</v>
      </c>
      <c r="L705" s="2" t="n">
        <v>1</v>
      </c>
      <c r="M705" s="2" t="n">
        <v>1</v>
      </c>
      <c r="N705" s="3" t="n">
        <v>44938</v>
      </c>
      <c r="O705" s="2" t="n">
        <v>4.71</v>
      </c>
      <c r="P705" s="2" t="n">
        <v>2</v>
      </c>
      <c r="Q705" s="62" t="str">
        <f aca="false">IF(ISBLANK(N705),"",IF(N705&lt;DATE(2023,5,1),"OLD","NEW"))</f>
        <v>OLD</v>
      </c>
      <c r="S705" s="33" t="n">
        <f aca="false">IF(COUNTIF('[1]Plate_1-2_LongFormat'!$A$2:$A$193,G705)&gt;0,1,0)</f>
        <v>1</v>
      </c>
      <c r="T705" s="33" t="n">
        <f aca="false">IF(COUNTIF([2]Attached_indexes!$C$2:$C$193,G705)&gt;0,1,0)</f>
        <v>1</v>
      </c>
      <c r="U705" s="59"/>
      <c r="V705" s="1" t="s">
        <v>982</v>
      </c>
    </row>
    <row r="706" customFormat="false" ht="15.75" hidden="false" customHeight="true" outlineLevel="0" collapsed="false">
      <c r="A706" s="18" t="s">
        <v>654</v>
      </c>
      <c r="B706" s="18" t="s">
        <v>654</v>
      </c>
      <c r="C706" s="18" t="s">
        <v>31</v>
      </c>
      <c r="E706" s="66" t="n">
        <v>5</v>
      </c>
      <c r="F706" s="21" t="str">
        <f aca="false">CONCATENATE(B706,"_",C706, TEXT(E706, "000"))</f>
        <v>OSKB_M. laciniatus005</v>
      </c>
      <c r="G706" s="21" t="s">
        <v>667</v>
      </c>
      <c r="H706" s="18" t="n">
        <v>1</v>
      </c>
      <c r="I706" s="22" t="n">
        <v>44714</v>
      </c>
      <c r="J706" s="2" t="s">
        <v>981</v>
      </c>
      <c r="K706" s="67" t="s">
        <v>1024</v>
      </c>
      <c r="L706" s="2" t="n">
        <v>1</v>
      </c>
      <c r="M706" s="2" t="n">
        <v>1</v>
      </c>
      <c r="N706" s="3" t="n">
        <v>44938</v>
      </c>
      <c r="O706" s="2" t="n">
        <v>4.71</v>
      </c>
      <c r="P706" s="2" t="n">
        <v>2</v>
      </c>
      <c r="Q706" s="62" t="str">
        <f aca="false">IF(ISBLANK(N706),"",IF(N706&lt;DATE(2023,5,1),"OLD","NEW"))</f>
        <v>OLD</v>
      </c>
      <c r="S706" s="33" t="n">
        <f aca="false">IF(COUNTIF('[1]Plate_1-2_LongFormat'!$A$2:$A$193,G706)&gt;0,1,0)</f>
        <v>1</v>
      </c>
      <c r="T706" s="33" t="n">
        <f aca="false">IF(COUNTIF([2]Attached_indexes!$C$2:$C$193,G706)&gt;0,1,0)</f>
        <v>1</v>
      </c>
      <c r="U706" s="59"/>
      <c r="V706" s="1" t="s">
        <v>982</v>
      </c>
    </row>
    <row r="707" customFormat="false" ht="15.75" hidden="false" customHeight="true" outlineLevel="0" collapsed="false">
      <c r="A707" s="18" t="s">
        <v>654</v>
      </c>
      <c r="B707" s="18" t="s">
        <v>654</v>
      </c>
      <c r="C707" s="18" t="s">
        <v>31</v>
      </c>
      <c r="E707" s="66" t="n">
        <v>6</v>
      </c>
      <c r="F707" s="21" t="str">
        <f aca="false">CONCATENATE(B707,"_",C707, TEXT(E707, "000"))</f>
        <v>OSKB_M. laciniatus006</v>
      </c>
      <c r="G707" s="21" t="s">
        <v>669</v>
      </c>
      <c r="H707" s="18" t="n">
        <v>1</v>
      </c>
      <c r="I707" s="22" t="n">
        <v>44714</v>
      </c>
      <c r="J707" s="2" t="s">
        <v>981</v>
      </c>
      <c r="K707" s="67" t="s">
        <v>991</v>
      </c>
      <c r="L707" s="2" t="n">
        <v>1</v>
      </c>
      <c r="M707" s="2" t="n">
        <v>1</v>
      </c>
      <c r="N707" s="3" t="n">
        <v>45053</v>
      </c>
      <c r="O707" s="2" t="n">
        <v>7.6</v>
      </c>
      <c r="P707" s="2" t="n">
        <v>3</v>
      </c>
      <c r="Q707" s="62" t="str">
        <f aca="false">IF(ISBLANK(N707),"",IF(N707&lt;DATE(2023,5,1),"OLD","NEW"))</f>
        <v>NEW</v>
      </c>
      <c r="S707" s="33" t="n">
        <f aca="false">IF(COUNTIF('[1]Plate_1-2_LongFormat'!$A$2:$A$193,G707)&gt;0,1,0)</f>
        <v>0</v>
      </c>
      <c r="T707" s="33" t="n">
        <f aca="false">IF(COUNTIF([2]Attached_indexes!$C$2:$C$193,G707)&gt;0,1,0)</f>
        <v>0</v>
      </c>
      <c r="U707" s="59"/>
      <c r="V707" s="1" t="s">
        <v>982</v>
      </c>
    </row>
    <row r="708" customFormat="false" ht="15.75" hidden="false" customHeight="true" outlineLevel="0" collapsed="false">
      <c r="A708" s="18" t="s">
        <v>654</v>
      </c>
      <c r="B708" s="18" t="s">
        <v>654</v>
      </c>
      <c r="C708" s="18" t="s">
        <v>31</v>
      </c>
      <c r="E708" s="66" t="n">
        <v>6</v>
      </c>
      <c r="F708" s="21" t="str">
        <f aca="false">CONCATENATE(B708,"_",C708, TEXT(E708, "000"))</f>
        <v>OSKB_M. laciniatus006</v>
      </c>
      <c r="G708" s="21" t="s">
        <v>669</v>
      </c>
      <c r="H708" s="18" t="n">
        <v>1</v>
      </c>
      <c r="I708" s="22" t="n">
        <v>44714</v>
      </c>
      <c r="J708" s="2" t="s">
        <v>981</v>
      </c>
      <c r="K708" s="67" t="s">
        <v>991</v>
      </c>
      <c r="L708" s="2" t="n">
        <v>1</v>
      </c>
      <c r="M708" s="2" t="n">
        <v>1</v>
      </c>
      <c r="N708" s="3" t="n">
        <v>45053</v>
      </c>
      <c r="O708" s="2" t="n">
        <v>7.6</v>
      </c>
      <c r="P708" s="2" t="n">
        <v>3</v>
      </c>
      <c r="Q708" s="62" t="str">
        <f aca="false">IF(ISBLANK(N708),"",IF(N708&lt;DATE(2023,5,1),"OLD","NEW"))</f>
        <v>NEW</v>
      </c>
      <c r="S708" s="33" t="n">
        <f aca="false">IF(COUNTIF('[1]Plate_1-2_LongFormat'!$A$2:$A$193,G708)&gt;0,1,0)</f>
        <v>0</v>
      </c>
      <c r="T708" s="33" t="n">
        <f aca="false">IF(COUNTIF([2]Attached_indexes!$C$2:$C$193,G708)&gt;0,1,0)</f>
        <v>0</v>
      </c>
      <c r="U708" s="59"/>
      <c r="V708" s="1" t="s">
        <v>982</v>
      </c>
    </row>
    <row r="709" customFormat="false" ht="15.75" hidden="false" customHeight="true" outlineLevel="0" collapsed="false">
      <c r="A709" s="18" t="s">
        <v>654</v>
      </c>
      <c r="B709" s="18" t="s">
        <v>654</v>
      </c>
      <c r="C709" s="18" t="s">
        <v>31</v>
      </c>
      <c r="E709" s="66" t="n">
        <v>6</v>
      </c>
      <c r="F709" s="21" t="str">
        <f aca="false">CONCATENATE(B709,"_",C709, TEXT(E709, "000"))</f>
        <v>OSKB_M. laciniatus006</v>
      </c>
      <c r="G709" s="21" t="s">
        <v>669</v>
      </c>
      <c r="H709" s="18" t="n">
        <v>1</v>
      </c>
      <c r="I709" s="22" t="n">
        <v>44714</v>
      </c>
      <c r="J709" s="2" t="s">
        <v>981</v>
      </c>
      <c r="K709" s="68" t="s">
        <v>991</v>
      </c>
      <c r="L709" s="2" t="n">
        <v>1</v>
      </c>
      <c r="M709" s="2" t="n">
        <v>1</v>
      </c>
      <c r="N709" s="3" t="n">
        <v>45053</v>
      </c>
      <c r="O709" s="2" t="n">
        <v>7.6</v>
      </c>
      <c r="P709" s="2" t="n">
        <v>3</v>
      </c>
      <c r="Q709" s="62" t="str">
        <f aca="false">IF(ISBLANK(N709),"",IF(N709&lt;DATE(2023,5,1),"OLD","NEW"))</f>
        <v>NEW</v>
      </c>
      <c r="S709" s="33" t="n">
        <f aca="false">IF(COUNTIF('[1]Plate_1-2_LongFormat'!$A$2:$A$193,G709)&gt;0,1,0)</f>
        <v>0</v>
      </c>
      <c r="T709" s="33" t="n">
        <f aca="false">IF(COUNTIF([2]Attached_indexes!$C$2:$C$193,G709)&gt;0,1,0)</f>
        <v>0</v>
      </c>
      <c r="U709" s="59"/>
      <c r="V709" s="1" t="s">
        <v>982</v>
      </c>
    </row>
    <row r="710" customFormat="false" ht="15.75" hidden="false" customHeight="true" outlineLevel="0" collapsed="false">
      <c r="A710" s="18" t="s">
        <v>654</v>
      </c>
      <c r="B710" s="18" t="s">
        <v>654</v>
      </c>
      <c r="C710" s="18" t="s">
        <v>31</v>
      </c>
      <c r="E710" s="66" t="n">
        <v>7</v>
      </c>
      <c r="F710" s="21" t="str">
        <f aca="false">CONCATENATE(B710,"_",C710, TEXT(E710, "000"))</f>
        <v>OSKB_M. laciniatus007</v>
      </c>
      <c r="G710" s="21" t="s">
        <v>671</v>
      </c>
      <c r="H710" s="18" t="n">
        <v>1</v>
      </c>
      <c r="I710" s="22" t="n">
        <v>44714</v>
      </c>
      <c r="J710" s="2" t="s">
        <v>981</v>
      </c>
      <c r="K710" s="68" t="s">
        <v>1039</v>
      </c>
      <c r="L710" s="2" t="n">
        <v>1</v>
      </c>
      <c r="M710" s="2" t="n">
        <v>1</v>
      </c>
      <c r="N710" s="3" t="n">
        <v>44961</v>
      </c>
      <c r="O710" s="2" t="n">
        <v>2.28</v>
      </c>
      <c r="P710" s="2" t="n">
        <v>2</v>
      </c>
      <c r="Q710" s="62" t="str">
        <f aca="false">IF(ISBLANK(N710),"",IF(N710&lt;DATE(2023,5,1),"OLD","NEW"))</f>
        <v>OLD</v>
      </c>
      <c r="S710" s="33" t="n">
        <f aca="false">IF(COUNTIF('[1]Plate_1-2_LongFormat'!$A$2:$A$193,G710)&gt;0,1,0)</f>
        <v>1</v>
      </c>
      <c r="T710" s="33" t="n">
        <f aca="false">IF(COUNTIF([2]Attached_indexes!$C$2:$C$193,G710)&gt;0,1,0)</f>
        <v>1</v>
      </c>
      <c r="U710" s="59"/>
      <c r="V710" s="1" t="s">
        <v>982</v>
      </c>
    </row>
    <row r="711" customFormat="false" ht="15.75" hidden="false" customHeight="true" outlineLevel="0" collapsed="false">
      <c r="A711" s="18" t="s">
        <v>654</v>
      </c>
      <c r="B711" s="18" t="s">
        <v>654</v>
      </c>
      <c r="C711" s="18" t="s">
        <v>31</v>
      </c>
      <c r="E711" s="66" t="n">
        <v>7</v>
      </c>
      <c r="F711" s="21" t="str">
        <f aca="false">CONCATENATE(B711,"_",C711, TEXT(E711, "000"))</f>
        <v>OSKB_M. laciniatus007</v>
      </c>
      <c r="G711" s="21" t="s">
        <v>671</v>
      </c>
      <c r="H711" s="18" t="n">
        <v>1</v>
      </c>
      <c r="I711" s="22" t="n">
        <v>44714</v>
      </c>
      <c r="J711" s="2" t="s">
        <v>981</v>
      </c>
      <c r="K711" s="68" t="s">
        <v>1039</v>
      </c>
      <c r="L711" s="2" t="n">
        <v>1</v>
      </c>
      <c r="M711" s="2" t="n">
        <v>1</v>
      </c>
      <c r="N711" s="3" t="n">
        <v>44961</v>
      </c>
      <c r="O711" s="2" t="n">
        <v>2.28</v>
      </c>
      <c r="P711" s="2" t="n">
        <v>2</v>
      </c>
      <c r="Q711" s="62" t="str">
        <f aca="false">IF(ISBLANK(N711),"",IF(N711&lt;DATE(2023,5,1),"OLD","NEW"))</f>
        <v>OLD</v>
      </c>
      <c r="S711" s="33" t="n">
        <f aca="false">IF(COUNTIF('[1]Plate_1-2_LongFormat'!$A$2:$A$193,G711)&gt;0,1,0)</f>
        <v>1</v>
      </c>
      <c r="T711" s="33" t="n">
        <f aca="false">IF(COUNTIF([2]Attached_indexes!$C$2:$C$193,G711)&gt;0,1,0)</f>
        <v>1</v>
      </c>
      <c r="U711" s="59"/>
      <c r="V711" s="1" t="s">
        <v>982</v>
      </c>
    </row>
    <row r="712" customFormat="false" ht="15.75" hidden="false" customHeight="true" outlineLevel="0" collapsed="false">
      <c r="A712" s="18" t="s">
        <v>654</v>
      </c>
      <c r="B712" s="18" t="s">
        <v>654</v>
      </c>
      <c r="C712" s="18" t="s">
        <v>31</v>
      </c>
      <c r="E712" s="66" t="n">
        <v>7</v>
      </c>
      <c r="F712" s="21" t="str">
        <f aca="false">CONCATENATE(B712,"_",C712, TEXT(E712, "000"))</f>
        <v>OSKB_M. laciniatus007</v>
      </c>
      <c r="G712" s="21" t="s">
        <v>671</v>
      </c>
      <c r="H712" s="18" t="n">
        <v>1</v>
      </c>
      <c r="I712" s="22" t="n">
        <v>44714</v>
      </c>
      <c r="J712" s="2" t="s">
        <v>981</v>
      </c>
      <c r="K712" s="68" t="s">
        <v>1039</v>
      </c>
      <c r="L712" s="2" t="n">
        <v>1</v>
      </c>
      <c r="M712" s="2" t="n">
        <v>1</v>
      </c>
      <c r="N712" s="3" t="n">
        <v>44961</v>
      </c>
      <c r="O712" s="2" t="n">
        <v>2.28</v>
      </c>
      <c r="P712" s="2" t="n">
        <v>2</v>
      </c>
      <c r="Q712" s="62" t="str">
        <f aca="false">IF(ISBLANK(N712),"",IF(N712&lt;DATE(2023,5,1),"OLD","NEW"))</f>
        <v>OLD</v>
      </c>
      <c r="S712" s="33" t="n">
        <f aca="false">IF(COUNTIF('[1]Plate_1-2_LongFormat'!$A$2:$A$193,G712)&gt;0,1,0)</f>
        <v>1</v>
      </c>
      <c r="T712" s="33" t="n">
        <f aca="false">IF(COUNTIF([2]Attached_indexes!$C$2:$C$193,G712)&gt;0,1,0)</f>
        <v>1</v>
      </c>
      <c r="U712" s="59"/>
      <c r="V712" s="1" t="s">
        <v>982</v>
      </c>
    </row>
    <row r="713" customFormat="false" ht="15.75" hidden="false" customHeight="true" outlineLevel="0" collapsed="false">
      <c r="A713" s="18" t="s">
        <v>559</v>
      </c>
      <c r="B713" s="18" t="s">
        <v>559</v>
      </c>
      <c r="C713" s="18" t="s">
        <v>958</v>
      </c>
      <c r="E713" s="66" t="n">
        <v>1</v>
      </c>
      <c r="F713" s="21" t="str">
        <f aca="false">CONCATENATE(B713,"_",C713, TEXT(E713, "000"))</f>
        <v>SDSB_B001</v>
      </c>
      <c r="G713" s="21" t="s">
        <v>579</v>
      </c>
      <c r="H713" s="18" t="n">
        <v>1</v>
      </c>
      <c r="I713" s="22" t="n">
        <v>44702</v>
      </c>
      <c r="J713" s="2" t="s">
        <v>981</v>
      </c>
      <c r="K713" s="68" t="s">
        <v>985</v>
      </c>
      <c r="L713" s="2" t="n">
        <v>1</v>
      </c>
      <c r="M713" s="2" t="n">
        <v>1</v>
      </c>
      <c r="N713" s="3" t="n">
        <v>44961</v>
      </c>
      <c r="O713" s="2" t="n">
        <v>4.92</v>
      </c>
      <c r="P713" s="2" t="n">
        <v>2</v>
      </c>
      <c r="Q713" s="62" t="str">
        <f aca="false">IF(ISBLANK(N713),"",IF(N713&lt;DATE(2023,5,1),"OLD","NEW"))</f>
        <v>OLD</v>
      </c>
      <c r="S713" s="33" t="n">
        <f aca="false">IF(COUNTIF('[1]Plate_1-2_LongFormat'!$A$2:$A$193,G713)&gt;0,1,0)</f>
        <v>1</v>
      </c>
      <c r="T713" s="33" t="n">
        <f aca="false">IF(COUNTIF([2]Attached_indexes!$C$2:$C$193,G713)&gt;0,1,0)</f>
        <v>1</v>
      </c>
      <c r="U713" s="59"/>
      <c r="V713" s="1" t="s">
        <v>982</v>
      </c>
    </row>
    <row r="714" customFormat="false" ht="15.75" hidden="false" customHeight="true" outlineLevel="0" collapsed="false">
      <c r="A714" s="18" t="s">
        <v>559</v>
      </c>
      <c r="B714" s="18" t="s">
        <v>559</v>
      </c>
      <c r="C714" s="18" t="s">
        <v>958</v>
      </c>
      <c r="E714" s="66" t="n">
        <v>1</v>
      </c>
      <c r="F714" s="21" t="str">
        <f aca="false">CONCATENATE(B714,"_",C714, TEXT(E714, "000"))</f>
        <v>SDSB_B001</v>
      </c>
      <c r="G714" s="21" t="s">
        <v>579</v>
      </c>
      <c r="H714" s="18" t="n">
        <v>1</v>
      </c>
      <c r="I714" s="22" t="n">
        <v>44702</v>
      </c>
      <c r="J714" s="2" t="s">
        <v>981</v>
      </c>
      <c r="K714" s="68" t="s">
        <v>985</v>
      </c>
      <c r="L714" s="2" t="n">
        <v>1</v>
      </c>
      <c r="M714" s="2" t="n">
        <v>1</v>
      </c>
      <c r="N714" s="3" t="n">
        <v>44961</v>
      </c>
      <c r="O714" s="2" t="n">
        <v>4.92</v>
      </c>
      <c r="P714" s="2" t="n">
        <v>2</v>
      </c>
      <c r="Q714" s="62" t="str">
        <f aca="false">IF(ISBLANK(N714),"",IF(N714&lt;DATE(2023,5,1),"OLD","NEW"))</f>
        <v>OLD</v>
      </c>
      <c r="S714" s="33" t="n">
        <f aca="false">IF(COUNTIF('[1]Plate_1-2_LongFormat'!$A$2:$A$193,G714)&gt;0,1,0)</f>
        <v>1</v>
      </c>
      <c r="T714" s="33" t="n">
        <f aca="false">IF(COUNTIF([2]Attached_indexes!$C$2:$C$193,G714)&gt;0,1,0)</f>
        <v>1</v>
      </c>
      <c r="U714" s="59"/>
      <c r="V714" s="1" t="s">
        <v>982</v>
      </c>
    </row>
    <row r="715" customFormat="false" ht="15.75" hidden="false" customHeight="true" outlineLevel="0" collapsed="false">
      <c r="A715" s="18" t="s">
        <v>559</v>
      </c>
      <c r="B715" s="18" t="s">
        <v>559</v>
      </c>
      <c r="C715" s="18" t="s">
        <v>958</v>
      </c>
      <c r="E715" s="66" t="n">
        <v>1</v>
      </c>
      <c r="F715" s="21" t="str">
        <f aca="false">CONCATENATE(B715,"_",C715, TEXT(E715, "000"))</f>
        <v>SDSB_B001</v>
      </c>
      <c r="G715" s="21" t="s">
        <v>579</v>
      </c>
      <c r="H715" s="18" t="n">
        <v>1</v>
      </c>
      <c r="I715" s="22" t="n">
        <v>44702</v>
      </c>
      <c r="J715" s="2" t="s">
        <v>981</v>
      </c>
      <c r="K715" s="68" t="s">
        <v>985</v>
      </c>
      <c r="L715" s="2" t="n">
        <v>1</v>
      </c>
      <c r="M715" s="2" t="n">
        <v>1</v>
      </c>
      <c r="N715" s="3" t="n">
        <v>44961</v>
      </c>
      <c r="O715" s="2" t="n">
        <v>4.92</v>
      </c>
      <c r="P715" s="2" t="n">
        <v>2</v>
      </c>
      <c r="Q715" s="62" t="str">
        <f aca="false">IF(ISBLANK(N715),"",IF(N715&lt;DATE(2023,5,1),"OLD","NEW"))</f>
        <v>OLD</v>
      </c>
      <c r="S715" s="33" t="n">
        <f aca="false">IF(COUNTIF('[1]Plate_1-2_LongFormat'!$A$2:$A$193,G715)&gt;0,1,0)</f>
        <v>1</v>
      </c>
      <c r="T715" s="33" t="n">
        <f aca="false">IF(COUNTIF([2]Attached_indexes!$C$2:$C$193,G715)&gt;0,1,0)</f>
        <v>1</v>
      </c>
      <c r="U715" s="59"/>
      <c r="V715" s="1" t="s">
        <v>982</v>
      </c>
    </row>
    <row r="716" customFormat="false" ht="15.75" hidden="false" customHeight="true" outlineLevel="0" collapsed="false">
      <c r="A716" s="18" t="s">
        <v>559</v>
      </c>
      <c r="B716" s="18" t="s">
        <v>559</v>
      </c>
      <c r="C716" s="18" t="s">
        <v>958</v>
      </c>
      <c r="E716" s="66" t="n">
        <v>2</v>
      </c>
      <c r="F716" s="21" t="str">
        <f aca="false">CONCATENATE(B716,"_",C716, TEXT(E716, "000"))</f>
        <v>SDSB_B002</v>
      </c>
      <c r="G716" s="21" t="s">
        <v>580</v>
      </c>
      <c r="H716" s="18" t="n">
        <v>1</v>
      </c>
      <c r="I716" s="22" t="n">
        <v>44702</v>
      </c>
      <c r="J716" s="2" t="s">
        <v>981</v>
      </c>
      <c r="K716" s="68" t="s">
        <v>986</v>
      </c>
      <c r="L716" s="2" t="n">
        <v>1</v>
      </c>
      <c r="M716" s="2" t="n">
        <v>1</v>
      </c>
      <c r="N716" s="3" t="n">
        <v>44945</v>
      </c>
      <c r="O716" s="2" t="n">
        <v>3.43</v>
      </c>
      <c r="P716" s="2" t="n">
        <v>2</v>
      </c>
      <c r="Q716" s="62" t="str">
        <f aca="false">IF(ISBLANK(N716),"",IF(N716&lt;DATE(2023,5,1),"OLD","NEW"))</f>
        <v>OLD</v>
      </c>
      <c r="S716" s="33" t="n">
        <f aca="false">IF(COUNTIF('[1]Plate_1-2_LongFormat'!$A$2:$A$193,G716)&gt;0,1,0)</f>
        <v>1</v>
      </c>
      <c r="T716" s="33" t="n">
        <f aca="false">IF(COUNTIF([2]Attached_indexes!$C$2:$C$193,G716)&gt;0,1,0)</f>
        <v>1</v>
      </c>
      <c r="U716" s="59"/>
      <c r="V716" s="1" t="s">
        <v>982</v>
      </c>
    </row>
    <row r="717" customFormat="false" ht="15.75" hidden="false" customHeight="true" outlineLevel="0" collapsed="false">
      <c r="A717" s="18" t="s">
        <v>559</v>
      </c>
      <c r="B717" s="18" t="s">
        <v>559</v>
      </c>
      <c r="C717" s="18" t="s">
        <v>958</v>
      </c>
      <c r="E717" s="66" t="n">
        <v>2</v>
      </c>
      <c r="F717" s="21" t="str">
        <f aca="false">CONCATENATE(B717,"_",C717, TEXT(E717, "000"))</f>
        <v>SDSB_B002</v>
      </c>
      <c r="G717" s="21" t="s">
        <v>580</v>
      </c>
      <c r="H717" s="18" t="n">
        <v>1</v>
      </c>
      <c r="I717" s="22" t="n">
        <v>44702</v>
      </c>
      <c r="J717" s="2" t="s">
        <v>981</v>
      </c>
      <c r="K717" s="68" t="s">
        <v>986</v>
      </c>
      <c r="L717" s="2" t="n">
        <v>1</v>
      </c>
      <c r="M717" s="2" t="n">
        <v>1</v>
      </c>
      <c r="N717" s="3" t="n">
        <v>44945</v>
      </c>
      <c r="O717" s="2" t="n">
        <v>3.43</v>
      </c>
      <c r="P717" s="2" t="n">
        <v>2</v>
      </c>
      <c r="Q717" s="62" t="str">
        <f aca="false">IF(ISBLANK(N717),"",IF(N717&lt;DATE(2023,5,1),"OLD","NEW"))</f>
        <v>OLD</v>
      </c>
      <c r="S717" s="33" t="n">
        <f aca="false">IF(COUNTIF('[1]Plate_1-2_LongFormat'!$A$2:$A$193,G717)&gt;0,1,0)</f>
        <v>1</v>
      </c>
      <c r="T717" s="33" t="n">
        <f aca="false">IF(COUNTIF([2]Attached_indexes!$C$2:$C$193,G717)&gt;0,1,0)</f>
        <v>1</v>
      </c>
      <c r="U717" s="59"/>
      <c r="V717" s="1" t="s">
        <v>982</v>
      </c>
    </row>
    <row r="718" customFormat="false" ht="15.75" hidden="false" customHeight="true" outlineLevel="0" collapsed="false">
      <c r="A718" s="18" t="s">
        <v>559</v>
      </c>
      <c r="B718" s="18" t="s">
        <v>559</v>
      </c>
      <c r="C718" s="18" t="s">
        <v>958</v>
      </c>
      <c r="E718" s="66" t="n">
        <v>2</v>
      </c>
      <c r="F718" s="21" t="str">
        <f aca="false">CONCATENATE(B718,"_",C718, TEXT(E718, "000"))</f>
        <v>SDSB_B002</v>
      </c>
      <c r="G718" s="21" t="s">
        <v>580</v>
      </c>
      <c r="H718" s="18" t="n">
        <v>1</v>
      </c>
      <c r="I718" s="22" t="n">
        <v>44702</v>
      </c>
      <c r="J718" s="2" t="s">
        <v>981</v>
      </c>
      <c r="K718" s="68" t="s">
        <v>986</v>
      </c>
      <c r="L718" s="2" t="n">
        <v>1</v>
      </c>
      <c r="M718" s="2" t="n">
        <v>1</v>
      </c>
      <c r="N718" s="3" t="n">
        <v>44945</v>
      </c>
      <c r="O718" s="2" t="n">
        <v>3.43</v>
      </c>
      <c r="P718" s="2" t="n">
        <v>2</v>
      </c>
      <c r="Q718" s="62" t="str">
        <f aca="false">IF(ISBLANK(N718),"",IF(N718&lt;DATE(2023,5,1),"OLD","NEW"))</f>
        <v>OLD</v>
      </c>
      <c r="S718" s="33" t="n">
        <f aca="false">IF(COUNTIF('[1]Plate_1-2_LongFormat'!$A$2:$A$193,G718)&gt;0,1,0)</f>
        <v>1</v>
      </c>
      <c r="T718" s="33" t="n">
        <f aca="false">IF(COUNTIF([2]Attached_indexes!$C$2:$C$193,G718)&gt;0,1,0)</f>
        <v>1</v>
      </c>
      <c r="U718" s="59"/>
      <c r="V718" s="1" t="s">
        <v>982</v>
      </c>
    </row>
    <row r="719" customFormat="false" ht="15.75" hidden="false" customHeight="true" outlineLevel="0" collapsed="false">
      <c r="A719" s="18" t="s">
        <v>559</v>
      </c>
      <c r="B719" s="18" t="s">
        <v>559</v>
      </c>
      <c r="C719" s="18" t="s">
        <v>958</v>
      </c>
      <c r="E719" s="66" t="n">
        <v>3</v>
      </c>
      <c r="F719" s="21" t="str">
        <f aca="false">CONCATENATE(B719,"_",C719, TEXT(E719, "000"))</f>
        <v>SDSB_B003</v>
      </c>
      <c r="G719" s="21" t="s">
        <v>582</v>
      </c>
      <c r="H719" s="18" t="n">
        <v>1</v>
      </c>
      <c r="I719" s="22" t="n">
        <v>44702</v>
      </c>
      <c r="J719" s="2" t="s">
        <v>981</v>
      </c>
      <c r="K719" s="68" t="s">
        <v>1040</v>
      </c>
      <c r="L719" s="2" t="n">
        <v>1</v>
      </c>
      <c r="M719" s="2" t="n">
        <v>1</v>
      </c>
      <c r="N719" s="3" t="n">
        <v>45056</v>
      </c>
      <c r="O719" s="2" t="n">
        <v>4.61</v>
      </c>
      <c r="P719" s="2" t="n">
        <v>3</v>
      </c>
      <c r="Q719" s="62" t="str">
        <f aca="false">IF(ISBLANK(N719),"",IF(N719&lt;DATE(2023,5,1),"OLD","NEW"))</f>
        <v>NEW</v>
      </c>
      <c r="S719" s="33" t="n">
        <f aca="false">IF(COUNTIF('[1]Plate_1-2_LongFormat'!$A$2:$A$193,G719)&gt;0,1,0)</f>
        <v>0</v>
      </c>
      <c r="T719" s="33" t="n">
        <f aca="false">IF(COUNTIF([2]Attached_indexes!$C$2:$C$193,G719)&gt;0,1,0)</f>
        <v>0</v>
      </c>
      <c r="U719" s="59"/>
      <c r="V719" s="1" t="s">
        <v>982</v>
      </c>
    </row>
    <row r="720" customFormat="false" ht="15.75" hidden="false" customHeight="true" outlineLevel="0" collapsed="false">
      <c r="A720" s="18" t="s">
        <v>559</v>
      </c>
      <c r="B720" s="18" t="s">
        <v>559</v>
      </c>
      <c r="C720" s="18" t="s">
        <v>958</v>
      </c>
      <c r="E720" s="66" t="n">
        <v>3</v>
      </c>
      <c r="F720" s="21" t="str">
        <f aca="false">CONCATENATE(B720,"_",C720, TEXT(E720, "000"))</f>
        <v>SDSB_B003</v>
      </c>
      <c r="G720" s="21" t="s">
        <v>582</v>
      </c>
      <c r="H720" s="18" t="n">
        <v>1</v>
      </c>
      <c r="I720" s="22" t="n">
        <v>44702</v>
      </c>
      <c r="J720" s="2" t="s">
        <v>981</v>
      </c>
      <c r="K720" s="68" t="s">
        <v>1040</v>
      </c>
      <c r="L720" s="2" t="n">
        <v>1</v>
      </c>
      <c r="M720" s="2" t="n">
        <v>1</v>
      </c>
      <c r="N720" s="3" t="n">
        <v>45056</v>
      </c>
      <c r="O720" s="2" t="n">
        <v>4.61</v>
      </c>
      <c r="P720" s="2" t="n">
        <v>3</v>
      </c>
      <c r="Q720" s="62" t="str">
        <f aca="false">IF(ISBLANK(N720),"",IF(N720&lt;DATE(2023,5,1),"OLD","NEW"))</f>
        <v>NEW</v>
      </c>
      <c r="S720" s="33" t="n">
        <f aca="false">IF(COUNTIF('[1]Plate_1-2_LongFormat'!$A$2:$A$193,G720)&gt;0,1,0)</f>
        <v>0</v>
      </c>
      <c r="T720" s="33" t="n">
        <f aca="false">IF(COUNTIF([2]Attached_indexes!$C$2:$C$193,G720)&gt;0,1,0)</f>
        <v>0</v>
      </c>
      <c r="U720" s="59"/>
      <c r="V720" s="1" t="s">
        <v>982</v>
      </c>
    </row>
    <row r="721" customFormat="false" ht="15.75" hidden="false" customHeight="true" outlineLevel="0" collapsed="false">
      <c r="A721" s="18" t="s">
        <v>559</v>
      </c>
      <c r="B721" s="18" t="s">
        <v>559</v>
      </c>
      <c r="C721" s="18" t="s">
        <v>958</v>
      </c>
      <c r="E721" s="66" t="n">
        <v>3</v>
      </c>
      <c r="F721" s="21" t="str">
        <f aca="false">CONCATENATE(B721,"_",C721, TEXT(E721, "000"))</f>
        <v>SDSB_B003</v>
      </c>
      <c r="G721" s="21" t="s">
        <v>582</v>
      </c>
      <c r="H721" s="18" t="n">
        <v>1</v>
      </c>
      <c r="I721" s="22" t="n">
        <v>44702</v>
      </c>
      <c r="J721" s="2" t="s">
        <v>981</v>
      </c>
      <c r="K721" s="68" t="s">
        <v>1040</v>
      </c>
      <c r="L721" s="2" t="n">
        <v>1</v>
      </c>
      <c r="M721" s="2" t="n">
        <v>1</v>
      </c>
      <c r="N721" s="3" t="n">
        <v>45056</v>
      </c>
      <c r="O721" s="2" t="n">
        <v>4.61</v>
      </c>
      <c r="P721" s="2" t="n">
        <v>3</v>
      </c>
      <c r="Q721" s="62" t="str">
        <f aca="false">IF(ISBLANK(N721),"",IF(N721&lt;DATE(2023,5,1),"OLD","NEW"))</f>
        <v>NEW</v>
      </c>
      <c r="S721" s="33" t="n">
        <f aca="false">IF(COUNTIF('[1]Plate_1-2_LongFormat'!$A$2:$A$193,G721)&gt;0,1,0)</f>
        <v>0</v>
      </c>
      <c r="T721" s="33" t="n">
        <f aca="false">IF(COUNTIF([2]Attached_indexes!$C$2:$C$193,G721)&gt;0,1,0)</f>
        <v>0</v>
      </c>
      <c r="U721" s="59"/>
      <c r="V721" s="1" t="s">
        <v>982</v>
      </c>
    </row>
    <row r="722" customFormat="false" ht="15.75" hidden="false" customHeight="true" outlineLevel="0" collapsed="false">
      <c r="A722" s="18" t="s">
        <v>559</v>
      </c>
      <c r="B722" s="18" t="s">
        <v>559</v>
      </c>
      <c r="C722" s="18" t="s">
        <v>958</v>
      </c>
      <c r="E722" s="66" t="n">
        <v>4</v>
      </c>
      <c r="F722" s="21" t="str">
        <f aca="false">CONCATENATE(B722,"_",C722, TEXT(E722, "000"))</f>
        <v>SDSB_B004</v>
      </c>
      <c r="G722" s="21" t="s">
        <v>584</v>
      </c>
      <c r="H722" s="18" t="n">
        <v>1</v>
      </c>
      <c r="I722" s="22" t="n">
        <v>44702</v>
      </c>
      <c r="J722" s="2" t="s">
        <v>981</v>
      </c>
      <c r="K722" s="68" t="s">
        <v>1041</v>
      </c>
      <c r="L722" s="2" t="n">
        <v>1</v>
      </c>
      <c r="M722" s="2" t="n">
        <v>1</v>
      </c>
      <c r="N722" s="3" t="n">
        <v>45053</v>
      </c>
      <c r="O722" s="2" t="n">
        <v>16.1</v>
      </c>
      <c r="P722" s="2" t="n">
        <v>3</v>
      </c>
      <c r="Q722" s="62" t="str">
        <f aca="false">IF(ISBLANK(N722),"",IF(N722&lt;DATE(2023,5,1),"OLD","NEW"))</f>
        <v>NEW</v>
      </c>
      <c r="S722" s="33" t="n">
        <f aca="false">IF(COUNTIF('[1]Plate_1-2_LongFormat'!$A$2:$A$193,G722)&gt;0,1,0)</f>
        <v>0</v>
      </c>
      <c r="T722" s="33" t="n">
        <f aca="false">IF(COUNTIF([2]Attached_indexes!$C$2:$C$193,G722)&gt;0,1,0)</f>
        <v>0</v>
      </c>
      <c r="U722" s="59"/>
      <c r="V722" s="1" t="s">
        <v>982</v>
      </c>
    </row>
    <row r="723" customFormat="false" ht="15.75" hidden="false" customHeight="true" outlineLevel="0" collapsed="false">
      <c r="A723" s="18" t="s">
        <v>559</v>
      </c>
      <c r="B723" s="18" t="s">
        <v>559</v>
      </c>
      <c r="C723" s="18" t="s">
        <v>958</v>
      </c>
      <c r="E723" s="66" t="n">
        <v>4</v>
      </c>
      <c r="F723" s="21" t="str">
        <f aca="false">CONCATENATE(B723,"_",C723, TEXT(E723, "000"))</f>
        <v>SDSB_B004</v>
      </c>
      <c r="G723" s="21" t="s">
        <v>584</v>
      </c>
      <c r="H723" s="18" t="n">
        <v>1</v>
      </c>
      <c r="I723" s="22" t="n">
        <v>44702</v>
      </c>
      <c r="J723" s="2" t="s">
        <v>981</v>
      </c>
      <c r="K723" s="68" t="s">
        <v>1041</v>
      </c>
      <c r="L723" s="2" t="n">
        <v>1</v>
      </c>
      <c r="M723" s="2" t="n">
        <v>1</v>
      </c>
      <c r="N723" s="3" t="n">
        <v>45053</v>
      </c>
      <c r="O723" s="2" t="n">
        <v>16.1</v>
      </c>
      <c r="P723" s="2" t="n">
        <v>3</v>
      </c>
      <c r="Q723" s="62" t="str">
        <f aca="false">IF(ISBLANK(N723),"",IF(N723&lt;DATE(2023,5,1),"OLD","NEW"))</f>
        <v>NEW</v>
      </c>
      <c r="S723" s="33" t="n">
        <f aca="false">IF(COUNTIF('[1]Plate_1-2_LongFormat'!$A$2:$A$193,G723)&gt;0,1,0)</f>
        <v>0</v>
      </c>
      <c r="T723" s="33" t="n">
        <f aca="false">IF(COUNTIF([2]Attached_indexes!$C$2:$C$193,G723)&gt;0,1,0)</f>
        <v>0</v>
      </c>
      <c r="U723" s="59"/>
      <c r="V723" s="1" t="s">
        <v>982</v>
      </c>
    </row>
    <row r="724" customFormat="false" ht="15.75" hidden="false" customHeight="true" outlineLevel="0" collapsed="false">
      <c r="A724" s="18" t="s">
        <v>559</v>
      </c>
      <c r="B724" s="18" t="s">
        <v>559</v>
      </c>
      <c r="C724" s="18" t="s">
        <v>958</v>
      </c>
      <c r="E724" s="66" t="n">
        <v>4</v>
      </c>
      <c r="F724" s="21" t="str">
        <f aca="false">CONCATENATE(B724,"_",C724, TEXT(E724, "000"))</f>
        <v>SDSB_B004</v>
      </c>
      <c r="G724" s="21" t="s">
        <v>584</v>
      </c>
      <c r="H724" s="18" t="n">
        <v>1</v>
      </c>
      <c r="I724" s="22" t="n">
        <v>44702</v>
      </c>
      <c r="J724" s="2" t="s">
        <v>981</v>
      </c>
      <c r="K724" s="68" t="s">
        <v>1041</v>
      </c>
      <c r="L724" s="2" t="n">
        <v>1</v>
      </c>
      <c r="M724" s="2" t="n">
        <v>1</v>
      </c>
      <c r="N724" s="3" t="n">
        <v>45053</v>
      </c>
      <c r="O724" s="2" t="n">
        <v>16.1</v>
      </c>
      <c r="P724" s="2" t="n">
        <v>3</v>
      </c>
      <c r="Q724" s="62" t="str">
        <f aca="false">IF(ISBLANK(N724),"",IF(N724&lt;DATE(2023,5,1),"OLD","NEW"))</f>
        <v>NEW</v>
      </c>
      <c r="S724" s="33" t="n">
        <f aca="false">IF(COUNTIF('[1]Plate_1-2_LongFormat'!$A$2:$A$193,G724)&gt;0,1,0)</f>
        <v>0</v>
      </c>
      <c r="T724" s="33" t="n">
        <f aca="false">IF(COUNTIF([2]Attached_indexes!$C$2:$C$193,G724)&gt;0,1,0)</f>
        <v>0</v>
      </c>
      <c r="U724" s="59"/>
      <c r="V724" s="1" t="s">
        <v>982</v>
      </c>
    </row>
    <row r="725" customFormat="false" ht="15.75" hidden="false" customHeight="true" outlineLevel="0" collapsed="false">
      <c r="A725" s="18" t="s">
        <v>559</v>
      </c>
      <c r="B725" s="18" t="s">
        <v>559</v>
      </c>
      <c r="C725" s="18" t="s">
        <v>958</v>
      </c>
      <c r="E725" s="66" t="n">
        <v>5</v>
      </c>
      <c r="F725" s="21" t="str">
        <f aca="false">CONCATENATE(B725,"_",C725, TEXT(E725, "000"))</f>
        <v>SDSB_B005</v>
      </c>
      <c r="G725" s="21" t="s">
        <v>585</v>
      </c>
      <c r="H725" s="18" t="n">
        <v>1</v>
      </c>
      <c r="I725" s="22" t="n">
        <v>44702</v>
      </c>
      <c r="J725" s="2" t="s">
        <v>981</v>
      </c>
      <c r="K725" s="68" t="s">
        <v>989</v>
      </c>
      <c r="L725" s="2" t="n">
        <v>1</v>
      </c>
      <c r="M725" s="2" t="n">
        <v>1</v>
      </c>
      <c r="N725" s="3" t="n">
        <v>44961</v>
      </c>
      <c r="O725" s="2" t="n">
        <v>3.09</v>
      </c>
      <c r="P725" s="2" t="n">
        <v>2</v>
      </c>
      <c r="Q725" s="62" t="str">
        <f aca="false">IF(ISBLANK(N725),"",IF(N725&lt;DATE(2023,5,1),"OLD","NEW"))</f>
        <v>OLD</v>
      </c>
      <c r="S725" s="33" t="n">
        <f aca="false">IF(COUNTIF('[1]Plate_1-2_LongFormat'!$A$2:$A$193,G725)&gt;0,1,0)</f>
        <v>1</v>
      </c>
      <c r="T725" s="33" t="n">
        <f aca="false">IF(COUNTIF([2]Attached_indexes!$C$2:$C$193,G725)&gt;0,1,0)</f>
        <v>1</v>
      </c>
      <c r="U725" s="59"/>
      <c r="V725" s="1" t="s">
        <v>982</v>
      </c>
    </row>
    <row r="726" customFormat="false" ht="15.75" hidden="false" customHeight="true" outlineLevel="0" collapsed="false">
      <c r="A726" s="18" t="s">
        <v>559</v>
      </c>
      <c r="B726" s="18" t="s">
        <v>559</v>
      </c>
      <c r="C726" s="18" t="s">
        <v>958</v>
      </c>
      <c r="E726" s="66" t="n">
        <v>5</v>
      </c>
      <c r="F726" s="21" t="str">
        <f aca="false">CONCATENATE(B726,"_",C726, TEXT(E726, "000"))</f>
        <v>SDSB_B005</v>
      </c>
      <c r="G726" s="21" t="s">
        <v>585</v>
      </c>
      <c r="H726" s="18" t="n">
        <v>1</v>
      </c>
      <c r="I726" s="22" t="n">
        <v>44702</v>
      </c>
      <c r="J726" s="2" t="s">
        <v>981</v>
      </c>
      <c r="K726" s="68" t="s">
        <v>989</v>
      </c>
      <c r="L726" s="2" t="n">
        <v>1</v>
      </c>
      <c r="M726" s="2" t="n">
        <v>1</v>
      </c>
      <c r="N726" s="3" t="n">
        <v>44961</v>
      </c>
      <c r="O726" s="2" t="n">
        <v>3.09</v>
      </c>
      <c r="P726" s="2" t="n">
        <v>2</v>
      </c>
      <c r="Q726" s="62" t="str">
        <f aca="false">IF(ISBLANK(N726),"",IF(N726&lt;DATE(2023,5,1),"OLD","NEW"))</f>
        <v>OLD</v>
      </c>
      <c r="S726" s="33" t="n">
        <f aca="false">IF(COUNTIF('[1]Plate_1-2_LongFormat'!$A$2:$A$193,G726)&gt;0,1,0)</f>
        <v>1</v>
      </c>
      <c r="T726" s="33" t="n">
        <f aca="false">IF(COUNTIF([2]Attached_indexes!$C$2:$C$193,G726)&gt;0,1,0)</f>
        <v>1</v>
      </c>
      <c r="U726" s="59"/>
      <c r="V726" s="1" t="s">
        <v>982</v>
      </c>
    </row>
    <row r="727" customFormat="false" ht="15.75" hidden="false" customHeight="true" outlineLevel="0" collapsed="false">
      <c r="A727" s="18" t="s">
        <v>559</v>
      </c>
      <c r="B727" s="18" t="s">
        <v>559</v>
      </c>
      <c r="C727" s="18" t="s">
        <v>958</v>
      </c>
      <c r="E727" s="66" t="n">
        <v>5</v>
      </c>
      <c r="F727" s="21" t="str">
        <f aca="false">CONCATENATE(B727,"_",C727, TEXT(E727, "000"))</f>
        <v>SDSB_B005</v>
      </c>
      <c r="G727" s="21" t="s">
        <v>585</v>
      </c>
      <c r="H727" s="18" t="n">
        <v>1</v>
      </c>
      <c r="I727" s="22" t="n">
        <v>44702</v>
      </c>
      <c r="J727" s="2" t="s">
        <v>981</v>
      </c>
      <c r="K727" s="68" t="s">
        <v>989</v>
      </c>
      <c r="L727" s="2" t="n">
        <v>1</v>
      </c>
      <c r="M727" s="2" t="n">
        <v>1</v>
      </c>
      <c r="N727" s="3" t="n">
        <v>44961</v>
      </c>
      <c r="O727" s="2" t="n">
        <v>3.09</v>
      </c>
      <c r="P727" s="2" t="n">
        <v>2</v>
      </c>
      <c r="Q727" s="62" t="str">
        <f aca="false">IF(ISBLANK(N727),"",IF(N727&lt;DATE(2023,5,1),"OLD","NEW"))</f>
        <v>OLD</v>
      </c>
      <c r="S727" s="33" t="n">
        <f aca="false">IF(COUNTIF('[1]Plate_1-2_LongFormat'!$A$2:$A$193,G727)&gt;0,1,0)</f>
        <v>1</v>
      </c>
      <c r="T727" s="33" t="n">
        <f aca="false">IF(COUNTIF([2]Attached_indexes!$C$2:$C$193,G727)&gt;0,1,0)</f>
        <v>1</v>
      </c>
      <c r="U727" s="59"/>
      <c r="V727" s="1" t="s">
        <v>982</v>
      </c>
    </row>
    <row r="728" customFormat="false" ht="15.75" hidden="false" customHeight="true" outlineLevel="0" collapsed="false">
      <c r="A728" s="18" t="s">
        <v>559</v>
      </c>
      <c r="B728" s="18" t="s">
        <v>559</v>
      </c>
      <c r="C728" s="18" t="s">
        <v>40</v>
      </c>
      <c r="E728" s="66" t="n">
        <v>1</v>
      </c>
      <c r="F728" s="21" t="str">
        <f aca="false">CONCATENATE(B728,"_",C728, TEXT(E728, "000"))</f>
        <v>SDSB_M. guttatus001</v>
      </c>
      <c r="G728" s="21" t="s">
        <v>560</v>
      </c>
      <c r="H728" s="18" t="n">
        <v>1</v>
      </c>
      <c r="I728" s="22" t="n">
        <v>44702</v>
      </c>
      <c r="J728" s="2" t="s">
        <v>981</v>
      </c>
      <c r="L728" s="2" t="n">
        <v>1</v>
      </c>
      <c r="M728" s="2" t="n">
        <v>1</v>
      </c>
      <c r="N728" s="3" t="n">
        <v>45056</v>
      </c>
      <c r="O728" s="2" t="n">
        <v>10.5</v>
      </c>
      <c r="P728" s="2" t="n">
        <v>3</v>
      </c>
      <c r="Q728" s="62" t="str">
        <f aca="false">IF(ISBLANK(N728),"",IF(N728&lt;DATE(2023,5,1),"OLD","NEW"))</f>
        <v>NEW</v>
      </c>
      <c r="S728" s="33" t="n">
        <f aca="false">IF(COUNTIF('[1]Plate_1-2_LongFormat'!$A$2:$A$193,G728)&gt;0,1,0)</f>
        <v>0</v>
      </c>
      <c r="T728" s="33" t="n">
        <f aca="false">IF(COUNTIF([2]Attached_indexes!$C$2:$C$193,G728)&gt;0,1,0)</f>
        <v>0</v>
      </c>
      <c r="U728" s="59"/>
      <c r="V728" s="1" t="s">
        <v>982</v>
      </c>
    </row>
    <row r="729" customFormat="false" ht="15.75" hidden="false" customHeight="true" outlineLevel="0" collapsed="false">
      <c r="A729" s="18" t="s">
        <v>559</v>
      </c>
      <c r="B729" s="18" t="s">
        <v>559</v>
      </c>
      <c r="C729" s="18" t="s">
        <v>40</v>
      </c>
      <c r="E729" s="66" t="n">
        <v>1</v>
      </c>
      <c r="F729" s="21" t="str">
        <f aca="false">CONCATENATE(B729,"_",C729, TEXT(E729, "000"))</f>
        <v>SDSB_M. guttatus001</v>
      </c>
      <c r="G729" s="21" t="s">
        <v>560</v>
      </c>
      <c r="H729" s="18" t="n">
        <v>1</v>
      </c>
      <c r="I729" s="22" t="n">
        <v>44702</v>
      </c>
      <c r="J729" s="2" t="s">
        <v>981</v>
      </c>
      <c r="L729" s="2" t="n">
        <v>1</v>
      </c>
      <c r="M729" s="2" t="n">
        <v>1</v>
      </c>
      <c r="N729" s="3" t="n">
        <v>45056</v>
      </c>
      <c r="O729" s="2" t="n">
        <v>10.5</v>
      </c>
      <c r="P729" s="2" t="n">
        <v>3</v>
      </c>
      <c r="Q729" s="62" t="str">
        <f aca="false">IF(ISBLANK(N729),"",IF(N729&lt;DATE(2023,5,1),"OLD","NEW"))</f>
        <v>NEW</v>
      </c>
      <c r="S729" s="33" t="n">
        <f aca="false">IF(COUNTIF('[1]Plate_1-2_LongFormat'!$A$2:$A$193,G729)&gt;0,1,0)</f>
        <v>0</v>
      </c>
      <c r="T729" s="33" t="n">
        <f aca="false">IF(COUNTIF([2]Attached_indexes!$C$2:$C$193,G729)&gt;0,1,0)</f>
        <v>0</v>
      </c>
      <c r="U729" s="59"/>
      <c r="V729" s="1" t="s">
        <v>982</v>
      </c>
    </row>
    <row r="730" customFormat="false" ht="15.75" hidden="false" customHeight="true" outlineLevel="0" collapsed="false">
      <c r="A730" s="18" t="s">
        <v>559</v>
      </c>
      <c r="B730" s="18" t="s">
        <v>559</v>
      </c>
      <c r="C730" s="18" t="s">
        <v>40</v>
      </c>
      <c r="E730" s="66" t="n">
        <v>1</v>
      </c>
      <c r="F730" s="21" t="str">
        <f aca="false">CONCATENATE(B730,"_",C730, TEXT(E730, "000"))</f>
        <v>SDSB_M. guttatus001</v>
      </c>
      <c r="G730" s="21" t="s">
        <v>560</v>
      </c>
      <c r="H730" s="18" t="n">
        <v>1</v>
      </c>
      <c r="I730" s="22" t="n">
        <v>44702</v>
      </c>
      <c r="J730" s="2" t="s">
        <v>981</v>
      </c>
      <c r="L730" s="2" t="n">
        <v>1</v>
      </c>
      <c r="M730" s="2" t="n">
        <v>1</v>
      </c>
      <c r="N730" s="3" t="n">
        <v>45056</v>
      </c>
      <c r="O730" s="2" t="n">
        <v>10.5</v>
      </c>
      <c r="P730" s="2" t="n">
        <v>3</v>
      </c>
      <c r="Q730" s="62" t="str">
        <f aca="false">IF(ISBLANK(N730),"",IF(N730&lt;DATE(2023,5,1),"OLD","NEW"))</f>
        <v>NEW</v>
      </c>
      <c r="S730" s="33" t="n">
        <f aca="false">IF(COUNTIF('[1]Plate_1-2_LongFormat'!$A$2:$A$193,G730)&gt;0,1,0)</f>
        <v>0</v>
      </c>
      <c r="T730" s="33" t="n">
        <f aca="false">IF(COUNTIF([2]Attached_indexes!$C$2:$C$193,G730)&gt;0,1,0)</f>
        <v>0</v>
      </c>
      <c r="U730" s="59"/>
      <c r="V730" s="1" t="s">
        <v>982</v>
      </c>
    </row>
    <row r="731" customFormat="false" ht="15.75" hidden="false" customHeight="true" outlineLevel="0" collapsed="false">
      <c r="A731" s="18" t="s">
        <v>559</v>
      </c>
      <c r="B731" s="18" t="s">
        <v>559</v>
      </c>
      <c r="C731" s="18" t="s">
        <v>40</v>
      </c>
      <c r="E731" s="66" t="n">
        <v>10</v>
      </c>
      <c r="F731" s="21" t="str">
        <f aca="false">CONCATENATE(B731,"_",C731, TEXT(E731, "000"))</f>
        <v>SDSB_M. guttatus010</v>
      </c>
      <c r="G731" s="21" t="s">
        <v>577</v>
      </c>
      <c r="H731" s="18" t="n">
        <v>1</v>
      </c>
      <c r="I731" s="22" t="n">
        <v>44702</v>
      </c>
      <c r="J731" s="2" t="s">
        <v>981</v>
      </c>
      <c r="L731" s="2" t="n">
        <v>1</v>
      </c>
      <c r="M731" s="2" t="n">
        <v>1</v>
      </c>
      <c r="N731" s="3" t="n">
        <v>44799</v>
      </c>
      <c r="O731" s="64" t="n">
        <v>0.395</v>
      </c>
      <c r="P731" s="64" t="n">
        <v>1</v>
      </c>
      <c r="Q731" s="62" t="str">
        <f aca="false">IF(ISBLANK(N731),"",IF(N731&lt;DATE(2023,5,1),"OLD","NEW"))</f>
        <v>OLD</v>
      </c>
      <c r="S731" s="33" t="n">
        <f aca="false">IF(COUNTIF('[1]Plate_1-2_LongFormat'!$A$2:$A$193,G731)&gt;0,1,0)</f>
        <v>1</v>
      </c>
      <c r="T731" s="33" t="n">
        <f aca="false">IF(COUNTIF([2]Attached_indexes!$C$2:$C$193,G731)&gt;0,1,0)</f>
        <v>1</v>
      </c>
      <c r="U731" s="59"/>
      <c r="V731" s="1" t="s">
        <v>982</v>
      </c>
    </row>
    <row r="732" customFormat="false" ht="15.75" hidden="false" customHeight="true" outlineLevel="0" collapsed="false">
      <c r="A732" s="18" t="s">
        <v>559</v>
      </c>
      <c r="B732" s="18" t="s">
        <v>559</v>
      </c>
      <c r="C732" s="18" t="s">
        <v>40</v>
      </c>
      <c r="E732" s="66" t="n">
        <v>10</v>
      </c>
      <c r="F732" s="21" t="str">
        <f aca="false">CONCATENATE(B732,"_",C732, TEXT(E732, "000"))</f>
        <v>SDSB_M. guttatus010</v>
      </c>
      <c r="G732" s="21" t="s">
        <v>577</v>
      </c>
      <c r="H732" s="18" t="n">
        <v>1</v>
      </c>
      <c r="I732" s="22" t="n">
        <v>44702</v>
      </c>
      <c r="J732" s="2" t="s">
        <v>981</v>
      </c>
      <c r="L732" s="2" t="n">
        <v>1</v>
      </c>
      <c r="M732" s="2" t="n">
        <v>1</v>
      </c>
      <c r="N732" s="3" t="n">
        <v>44799</v>
      </c>
      <c r="O732" s="64" t="n">
        <v>0.395</v>
      </c>
      <c r="P732" s="64" t="n">
        <v>1</v>
      </c>
      <c r="Q732" s="62" t="str">
        <f aca="false">IF(ISBLANK(N732),"",IF(N732&lt;DATE(2023,5,1),"OLD","NEW"))</f>
        <v>OLD</v>
      </c>
      <c r="S732" s="33" t="n">
        <f aca="false">IF(COUNTIF('[1]Plate_1-2_LongFormat'!$A$2:$A$193,G732)&gt;0,1,0)</f>
        <v>1</v>
      </c>
      <c r="T732" s="33" t="n">
        <f aca="false">IF(COUNTIF([2]Attached_indexes!$C$2:$C$193,G732)&gt;0,1,0)</f>
        <v>1</v>
      </c>
      <c r="U732" s="59"/>
      <c r="V732" s="1" t="s">
        <v>982</v>
      </c>
    </row>
    <row r="733" customFormat="false" ht="15.75" hidden="false" customHeight="true" outlineLevel="0" collapsed="false">
      <c r="A733" s="18" t="s">
        <v>559</v>
      </c>
      <c r="B733" s="18" t="s">
        <v>559</v>
      </c>
      <c r="C733" s="18" t="s">
        <v>40</v>
      </c>
      <c r="E733" s="66" t="n">
        <v>10</v>
      </c>
      <c r="F733" s="21" t="str">
        <f aca="false">CONCATENATE(B733,"_",C733, TEXT(E733, "000"))</f>
        <v>SDSB_M. guttatus010</v>
      </c>
      <c r="G733" s="21" t="s">
        <v>577</v>
      </c>
      <c r="H733" s="18" t="n">
        <v>1</v>
      </c>
      <c r="I733" s="22" t="n">
        <v>44702</v>
      </c>
      <c r="J733" s="2" t="s">
        <v>981</v>
      </c>
      <c r="L733" s="2" t="n">
        <v>1</v>
      </c>
      <c r="M733" s="2" t="n">
        <v>1</v>
      </c>
      <c r="N733" s="3" t="n">
        <v>44799</v>
      </c>
      <c r="O733" s="64" t="n">
        <v>0.395</v>
      </c>
      <c r="P733" s="64" t="n">
        <v>1</v>
      </c>
      <c r="Q733" s="62" t="str">
        <f aca="false">IF(ISBLANK(N733),"",IF(N733&lt;DATE(2023,5,1),"OLD","NEW"))</f>
        <v>OLD</v>
      </c>
      <c r="S733" s="33" t="n">
        <f aca="false">IF(COUNTIF('[1]Plate_1-2_LongFormat'!$A$2:$A$193,G733)&gt;0,1,0)</f>
        <v>1</v>
      </c>
      <c r="T733" s="33" t="n">
        <f aca="false">IF(COUNTIF([2]Attached_indexes!$C$2:$C$193,G733)&gt;0,1,0)</f>
        <v>1</v>
      </c>
      <c r="U733" s="59"/>
      <c r="V733" s="1" t="s">
        <v>982</v>
      </c>
    </row>
    <row r="734" customFormat="false" ht="15.75" hidden="false" customHeight="true" outlineLevel="0" collapsed="false">
      <c r="A734" s="18" t="s">
        <v>559</v>
      </c>
      <c r="B734" s="18" t="s">
        <v>559</v>
      </c>
      <c r="C734" s="18" t="s">
        <v>40</v>
      </c>
      <c r="E734" s="66" t="n">
        <v>2</v>
      </c>
      <c r="F734" s="21" t="str">
        <f aca="false">CONCATENATE(B734,"_",C734, TEXT(E734, "000"))</f>
        <v>SDSB_M. guttatus002</v>
      </c>
      <c r="G734" s="21" t="s">
        <v>564</v>
      </c>
      <c r="H734" s="18" t="n">
        <v>1</v>
      </c>
      <c r="I734" s="22" t="n">
        <v>44702</v>
      </c>
      <c r="J734" s="2" t="s">
        <v>981</v>
      </c>
      <c r="L734" s="2" t="n">
        <v>1</v>
      </c>
      <c r="M734" s="2" t="n">
        <v>1</v>
      </c>
      <c r="N734" s="3" t="n">
        <v>44799</v>
      </c>
      <c r="O734" s="64" t="n">
        <v>0.279</v>
      </c>
      <c r="P734" s="64" t="n">
        <v>1</v>
      </c>
      <c r="Q734" s="62" t="str">
        <f aca="false">IF(ISBLANK(N734),"",IF(N734&lt;DATE(2023,5,1),"OLD","NEW"))</f>
        <v>OLD</v>
      </c>
      <c r="R734" s="2" t="s">
        <v>1016</v>
      </c>
      <c r="S734" s="33" t="n">
        <f aca="false">IF(COUNTIF('[1]Plate_1-2_LongFormat'!$A$2:$A$193,G734)&gt;0,1,0)</f>
        <v>1</v>
      </c>
      <c r="T734" s="33" t="n">
        <f aca="false">IF(COUNTIF([2]Attached_indexes!$C$2:$C$193,G734)&gt;0,1,0)</f>
        <v>1</v>
      </c>
      <c r="U734" s="59"/>
      <c r="V734" s="1" t="s">
        <v>982</v>
      </c>
    </row>
    <row r="735" customFormat="false" ht="15.75" hidden="false" customHeight="true" outlineLevel="0" collapsed="false">
      <c r="A735" s="18" t="s">
        <v>559</v>
      </c>
      <c r="B735" s="18" t="s">
        <v>559</v>
      </c>
      <c r="C735" s="18" t="s">
        <v>40</v>
      </c>
      <c r="E735" s="66" t="n">
        <v>2</v>
      </c>
      <c r="F735" s="21" t="str">
        <f aca="false">CONCATENATE(B735,"_",C735, TEXT(E735, "000"))</f>
        <v>SDSB_M. guttatus002</v>
      </c>
      <c r="G735" s="21" t="s">
        <v>564</v>
      </c>
      <c r="H735" s="18" t="n">
        <v>1</v>
      </c>
      <c r="I735" s="22" t="n">
        <v>44702</v>
      </c>
      <c r="J735" s="2" t="s">
        <v>981</v>
      </c>
      <c r="L735" s="2" t="n">
        <v>1</v>
      </c>
      <c r="M735" s="2" t="n">
        <v>1</v>
      </c>
      <c r="N735" s="3" t="n">
        <v>44799</v>
      </c>
      <c r="O735" s="64" t="n">
        <v>0.279</v>
      </c>
      <c r="P735" s="64" t="n">
        <v>1</v>
      </c>
      <c r="Q735" s="62" t="str">
        <f aca="false">IF(ISBLANK(N735),"",IF(N735&lt;DATE(2023,5,1),"OLD","NEW"))</f>
        <v>OLD</v>
      </c>
      <c r="R735" s="2" t="s">
        <v>1016</v>
      </c>
      <c r="S735" s="33" t="n">
        <f aca="false">IF(COUNTIF('[1]Plate_1-2_LongFormat'!$A$2:$A$193,G735)&gt;0,1,0)</f>
        <v>1</v>
      </c>
      <c r="T735" s="33" t="n">
        <f aca="false">IF(COUNTIF([2]Attached_indexes!$C$2:$C$193,G735)&gt;0,1,0)</f>
        <v>1</v>
      </c>
      <c r="U735" s="59"/>
      <c r="V735" s="1" t="s">
        <v>982</v>
      </c>
    </row>
    <row r="736" customFormat="false" ht="15.75" hidden="false" customHeight="true" outlineLevel="0" collapsed="false">
      <c r="A736" s="18" t="s">
        <v>559</v>
      </c>
      <c r="B736" s="18" t="s">
        <v>559</v>
      </c>
      <c r="C736" s="18" t="s">
        <v>40</v>
      </c>
      <c r="E736" s="66" t="n">
        <v>2</v>
      </c>
      <c r="F736" s="21" t="str">
        <f aca="false">CONCATENATE(B736,"_",C736, TEXT(E736, "000"))</f>
        <v>SDSB_M. guttatus002</v>
      </c>
      <c r="G736" s="21" t="s">
        <v>564</v>
      </c>
      <c r="H736" s="18" t="n">
        <v>1</v>
      </c>
      <c r="I736" s="22" t="n">
        <v>44702</v>
      </c>
      <c r="J736" s="2" t="s">
        <v>981</v>
      </c>
      <c r="L736" s="2" t="n">
        <v>1</v>
      </c>
      <c r="M736" s="2" t="n">
        <v>1</v>
      </c>
      <c r="N736" s="3" t="n">
        <v>44799</v>
      </c>
      <c r="O736" s="64" t="n">
        <v>0.279</v>
      </c>
      <c r="P736" s="64" t="n">
        <v>1</v>
      </c>
      <c r="Q736" s="62" t="str">
        <f aca="false">IF(ISBLANK(N736),"",IF(N736&lt;DATE(2023,5,1),"OLD","NEW"))</f>
        <v>OLD</v>
      </c>
      <c r="R736" s="2" t="s">
        <v>1016</v>
      </c>
      <c r="S736" s="33" t="n">
        <f aca="false">IF(COUNTIF('[1]Plate_1-2_LongFormat'!$A$2:$A$193,G736)&gt;0,1,0)</f>
        <v>1</v>
      </c>
      <c r="T736" s="33" t="n">
        <f aca="false">IF(COUNTIF([2]Attached_indexes!$C$2:$C$193,G736)&gt;0,1,0)</f>
        <v>1</v>
      </c>
      <c r="U736" s="59"/>
      <c r="V736" s="1" t="s">
        <v>982</v>
      </c>
    </row>
    <row r="737" customFormat="false" ht="15.75" hidden="false" customHeight="true" outlineLevel="0" collapsed="false">
      <c r="A737" s="18" t="s">
        <v>559</v>
      </c>
      <c r="B737" s="18" t="s">
        <v>559</v>
      </c>
      <c r="C737" s="18" t="s">
        <v>40</v>
      </c>
      <c r="E737" s="66" t="n">
        <v>3</v>
      </c>
      <c r="F737" s="21" t="str">
        <f aca="false">CONCATENATE(B737,"_",C737, TEXT(E737, "000"))</f>
        <v>SDSB_M. guttatus003</v>
      </c>
      <c r="G737" s="21" t="s">
        <v>566</v>
      </c>
      <c r="H737" s="18" t="n">
        <v>1</v>
      </c>
      <c r="I737" s="22" t="n">
        <v>44702</v>
      </c>
      <c r="J737" s="2" t="s">
        <v>981</v>
      </c>
      <c r="L737" s="2" t="n">
        <v>1</v>
      </c>
      <c r="M737" s="2" t="n">
        <v>1</v>
      </c>
      <c r="N737" s="3" t="n">
        <v>44842</v>
      </c>
      <c r="O737" s="2" t="n">
        <v>4.97</v>
      </c>
      <c r="P737" s="64"/>
      <c r="Q737" s="62" t="str">
        <f aca="false">IF(ISBLANK(N737),"",IF(N737&lt;DATE(2023,5,1),"OLD","NEW"))</f>
        <v>OLD</v>
      </c>
      <c r="S737" s="33" t="n">
        <f aca="false">IF(COUNTIF('[1]Plate_1-2_LongFormat'!$A$2:$A$193,G737)&gt;0,1,0)</f>
        <v>1</v>
      </c>
      <c r="T737" s="33" t="n">
        <f aca="false">IF(COUNTIF([2]Attached_indexes!$C$2:$C$193,G737)&gt;0,1,0)</f>
        <v>1</v>
      </c>
      <c r="U737" s="59"/>
      <c r="V737" s="1" t="s">
        <v>982</v>
      </c>
    </row>
    <row r="738" customFormat="false" ht="15.75" hidden="false" customHeight="true" outlineLevel="0" collapsed="false">
      <c r="A738" s="18" t="s">
        <v>559</v>
      </c>
      <c r="B738" s="18" t="s">
        <v>559</v>
      </c>
      <c r="C738" s="18" t="s">
        <v>40</v>
      </c>
      <c r="E738" s="66" t="n">
        <v>3</v>
      </c>
      <c r="F738" s="21" t="str">
        <f aca="false">CONCATENATE(B738,"_",C738, TEXT(E738, "000"))</f>
        <v>SDSB_M. guttatus003</v>
      </c>
      <c r="G738" s="21" t="s">
        <v>566</v>
      </c>
      <c r="H738" s="18" t="n">
        <v>1</v>
      </c>
      <c r="I738" s="22" t="n">
        <v>44702</v>
      </c>
      <c r="J738" s="2" t="s">
        <v>981</v>
      </c>
      <c r="L738" s="2" t="n">
        <v>1</v>
      </c>
      <c r="M738" s="2" t="n">
        <v>1</v>
      </c>
      <c r="N738" s="3" t="n">
        <v>44842</v>
      </c>
      <c r="O738" s="2" t="n">
        <v>4.97</v>
      </c>
      <c r="P738" s="64"/>
      <c r="Q738" s="62" t="str">
        <f aca="false">IF(ISBLANK(N738),"",IF(N738&lt;DATE(2023,5,1),"OLD","NEW"))</f>
        <v>OLD</v>
      </c>
      <c r="S738" s="33" t="n">
        <f aca="false">IF(COUNTIF('[1]Plate_1-2_LongFormat'!$A$2:$A$193,G738)&gt;0,1,0)</f>
        <v>1</v>
      </c>
      <c r="T738" s="33" t="n">
        <f aca="false">IF(COUNTIF([2]Attached_indexes!$C$2:$C$193,G738)&gt;0,1,0)</f>
        <v>1</v>
      </c>
      <c r="U738" s="59"/>
      <c r="V738" s="1" t="s">
        <v>982</v>
      </c>
    </row>
    <row r="739" customFormat="false" ht="15.75" hidden="false" customHeight="true" outlineLevel="0" collapsed="false">
      <c r="A739" s="18" t="s">
        <v>559</v>
      </c>
      <c r="B739" s="18" t="s">
        <v>559</v>
      </c>
      <c r="C739" s="18" t="s">
        <v>40</v>
      </c>
      <c r="E739" s="66" t="n">
        <v>3</v>
      </c>
      <c r="F739" s="21" t="str">
        <f aca="false">CONCATENATE(B739,"_",C739, TEXT(E739, "000"))</f>
        <v>SDSB_M. guttatus003</v>
      </c>
      <c r="G739" s="21" t="s">
        <v>566</v>
      </c>
      <c r="H739" s="18" t="n">
        <v>1</v>
      </c>
      <c r="I739" s="22" t="n">
        <v>44702</v>
      </c>
      <c r="J739" s="2" t="s">
        <v>981</v>
      </c>
      <c r="L739" s="2" t="n">
        <v>1</v>
      </c>
      <c r="M739" s="2" t="n">
        <v>1</v>
      </c>
      <c r="N739" s="3" t="n">
        <v>44842</v>
      </c>
      <c r="O739" s="2" t="n">
        <v>4.97</v>
      </c>
      <c r="P739" s="64"/>
      <c r="Q739" s="62" t="str">
        <f aca="false">IF(ISBLANK(N739),"",IF(N739&lt;DATE(2023,5,1),"OLD","NEW"))</f>
        <v>OLD</v>
      </c>
      <c r="S739" s="33" t="n">
        <f aca="false">IF(COUNTIF('[1]Plate_1-2_LongFormat'!$A$2:$A$193,G739)&gt;0,1,0)</f>
        <v>1</v>
      </c>
      <c r="T739" s="33" t="n">
        <f aca="false">IF(COUNTIF([2]Attached_indexes!$C$2:$C$193,G739)&gt;0,1,0)</f>
        <v>1</v>
      </c>
      <c r="U739" s="59"/>
      <c r="V739" s="1" t="s">
        <v>982</v>
      </c>
    </row>
    <row r="740" customFormat="false" ht="15.75" hidden="false" customHeight="true" outlineLevel="0" collapsed="false">
      <c r="A740" s="18" t="s">
        <v>559</v>
      </c>
      <c r="B740" s="18" t="s">
        <v>559</v>
      </c>
      <c r="C740" s="18" t="s">
        <v>40</v>
      </c>
      <c r="E740" s="66" t="n">
        <v>4</v>
      </c>
      <c r="F740" s="21" t="str">
        <f aca="false">CONCATENATE(B740,"_",C740, TEXT(E740, "000"))</f>
        <v>SDSB_M. guttatus004</v>
      </c>
      <c r="G740" s="21" t="s">
        <v>567</v>
      </c>
      <c r="H740" s="18" t="n">
        <v>1</v>
      </c>
      <c r="I740" s="22" t="n">
        <v>44702</v>
      </c>
      <c r="J740" s="2" t="s">
        <v>981</v>
      </c>
      <c r="L740" s="2" t="n">
        <v>1</v>
      </c>
      <c r="M740" s="2" t="n">
        <v>1</v>
      </c>
      <c r="N740" s="3" t="n">
        <v>44938</v>
      </c>
      <c r="O740" s="2" t="n">
        <v>8.8</v>
      </c>
      <c r="P740" s="2" t="n">
        <v>2</v>
      </c>
      <c r="Q740" s="62" t="str">
        <f aca="false">IF(ISBLANK(N740),"",IF(N740&lt;DATE(2023,5,1),"OLD","NEW"))</f>
        <v>OLD</v>
      </c>
      <c r="S740" s="33" t="n">
        <f aca="false">IF(COUNTIF('[1]Plate_1-2_LongFormat'!$A$2:$A$193,G740)&gt;0,1,0)</f>
        <v>1</v>
      </c>
      <c r="T740" s="33" t="n">
        <f aca="false">IF(COUNTIF([2]Attached_indexes!$C$2:$C$193,G740)&gt;0,1,0)</f>
        <v>1</v>
      </c>
      <c r="U740" s="59"/>
      <c r="V740" s="1" t="s">
        <v>982</v>
      </c>
    </row>
    <row r="741" customFormat="false" ht="15.75" hidden="false" customHeight="true" outlineLevel="0" collapsed="false">
      <c r="A741" s="18" t="s">
        <v>559</v>
      </c>
      <c r="B741" s="18" t="s">
        <v>559</v>
      </c>
      <c r="C741" s="18" t="s">
        <v>40</v>
      </c>
      <c r="E741" s="66" t="n">
        <v>4</v>
      </c>
      <c r="F741" s="21" t="str">
        <f aca="false">CONCATENATE(B741,"_",C741, TEXT(E741, "000"))</f>
        <v>SDSB_M. guttatus004</v>
      </c>
      <c r="G741" s="21" t="s">
        <v>567</v>
      </c>
      <c r="H741" s="18" t="n">
        <v>1</v>
      </c>
      <c r="I741" s="22" t="n">
        <v>44702</v>
      </c>
      <c r="J741" s="2" t="s">
        <v>981</v>
      </c>
      <c r="L741" s="2" t="n">
        <v>1</v>
      </c>
      <c r="M741" s="2" t="n">
        <v>1</v>
      </c>
      <c r="N741" s="3" t="n">
        <v>44938</v>
      </c>
      <c r="O741" s="2" t="n">
        <v>8.8</v>
      </c>
      <c r="P741" s="2" t="n">
        <v>2</v>
      </c>
      <c r="Q741" s="62" t="str">
        <f aca="false">IF(ISBLANK(N741),"",IF(N741&lt;DATE(2023,5,1),"OLD","NEW"))</f>
        <v>OLD</v>
      </c>
      <c r="S741" s="33" t="n">
        <f aca="false">IF(COUNTIF('[1]Plate_1-2_LongFormat'!$A$2:$A$193,G741)&gt;0,1,0)</f>
        <v>1</v>
      </c>
      <c r="T741" s="33" t="n">
        <f aca="false">IF(COUNTIF([2]Attached_indexes!$C$2:$C$193,G741)&gt;0,1,0)</f>
        <v>1</v>
      </c>
      <c r="U741" s="59"/>
      <c r="V741" s="1" t="s">
        <v>982</v>
      </c>
    </row>
    <row r="742" customFormat="false" ht="15.75" hidden="false" customHeight="true" outlineLevel="0" collapsed="false">
      <c r="A742" s="18" t="s">
        <v>559</v>
      </c>
      <c r="B742" s="18" t="s">
        <v>559</v>
      </c>
      <c r="C742" s="18" t="s">
        <v>40</v>
      </c>
      <c r="E742" s="66" t="n">
        <v>4</v>
      </c>
      <c r="F742" s="21" t="str">
        <f aca="false">CONCATENATE(B742,"_",C742, TEXT(E742, "000"))</f>
        <v>SDSB_M. guttatus004</v>
      </c>
      <c r="G742" s="21" t="s">
        <v>567</v>
      </c>
      <c r="H742" s="18" t="n">
        <v>1</v>
      </c>
      <c r="I742" s="22" t="n">
        <v>44702</v>
      </c>
      <c r="J742" s="2" t="s">
        <v>981</v>
      </c>
      <c r="L742" s="2" t="n">
        <v>1</v>
      </c>
      <c r="M742" s="2" t="n">
        <v>1</v>
      </c>
      <c r="N742" s="3" t="n">
        <v>44938</v>
      </c>
      <c r="O742" s="2" t="n">
        <v>8.8</v>
      </c>
      <c r="P742" s="2" t="n">
        <v>2</v>
      </c>
      <c r="Q742" s="62" t="str">
        <f aca="false">IF(ISBLANK(N742),"",IF(N742&lt;DATE(2023,5,1),"OLD","NEW"))</f>
        <v>OLD</v>
      </c>
      <c r="S742" s="33" t="n">
        <f aca="false">IF(COUNTIF('[1]Plate_1-2_LongFormat'!$A$2:$A$193,G742)&gt;0,1,0)</f>
        <v>1</v>
      </c>
      <c r="T742" s="33" t="n">
        <f aca="false">IF(COUNTIF([2]Attached_indexes!$C$2:$C$193,G742)&gt;0,1,0)</f>
        <v>1</v>
      </c>
      <c r="U742" s="59"/>
      <c r="V742" s="1" t="s">
        <v>982</v>
      </c>
    </row>
    <row r="743" customFormat="false" ht="15.75" hidden="false" customHeight="true" outlineLevel="0" collapsed="false">
      <c r="A743" s="18" t="s">
        <v>559</v>
      </c>
      <c r="B743" s="18" t="s">
        <v>559</v>
      </c>
      <c r="C743" s="18" t="s">
        <v>40</v>
      </c>
      <c r="E743" s="66" t="n">
        <v>5</v>
      </c>
      <c r="F743" s="21" t="str">
        <f aca="false">CONCATENATE(B743,"_",C743, TEXT(E743, "000"))</f>
        <v>SDSB_M. guttatus005</v>
      </c>
      <c r="G743" s="21" t="s">
        <v>569</v>
      </c>
      <c r="H743" s="18" t="n">
        <v>1</v>
      </c>
      <c r="I743" s="22" t="n">
        <v>44702</v>
      </c>
      <c r="J743" s="2" t="s">
        <v>981</v>
      </c>
      <c r="L743" s="2" t="n">
        <v>1</v>
      </c>
      <c r="M743" s="2" t="n">
        <v>1</v>
      </c>
      <c r="N743" s="3" t="n">
        <v>44842</v>
      </c>
      <c r="O743" s="2" t="n">
        <v>5.91</v>
      </c>
      <c r="P743" s="2"/>
      <c r="Q743" s="62" t="str">
        <f aca="false">IF(ISBLANK(N743),"",IF(N743&lt;DATE(2023,5,1),"OLD","NEW"))</f>
        <v>OLD</v>
      </c>
      <c r="S743" s="33" t="n">
        <f aca="false">IF(COUNTIF('[1]Plate_1-2_LongFormat'!$A$2:$A$193,G743)&gt;0,1,0)</f>
        <v>1</v>
      </c>
      <c r="T743" s="33" t="n">
        <f aca="false">IF(COUNTIF([2]Attached_indexes!$C$2:$C$193,G743)&gt;0,1,0)</f>
        <v>1</v>
      </c>
      <c r="U743" s="59"/>
      <c r="V743" s="1" t="s">
        <v>982</v>
      </c>
    </row>
    <row r="744" customFormat="false" ht="15.75" hidden="false" customHeight="true" outlineLevel="0" collapsed="false">
      <c r="A744" s="18" t="s">
        <v>559</v>
      </c>
      <c r="B744" s="18" t="s">
        <v>559</v>
      </c>
      <c r="C744" s="18" t="s">
        <v>40</v>
      </c>
      <c r="E744" s="66" t="n">
        <v>5</v>
      </c>
      <c r="F744" s="21" t="str">
        <f aca="false">CONCATENATE(B744,"_",C744, TEXT(E744, "000"))</f>
        <v>SDSB_M. guttatus005</v>
      </c>
      <c r="G744" s="21" t="s">
        <v>569</v>
      </c>
      <c r="H744" s="18" t="n">
        <v>1</v>
      </c>
      <c r="I744" s="22" t="n">
        <v>44702</v>
      </c>
      <c r="J744" s="2" t="s">
        <v>981</v>
      </c>
      <c r="L744" s="2" t="n">
        <v>1</v>
      </c>
      <c r="M744" s="2" t="n">
        <v>1</v>
      </c>
      <c r="N744" s="3" t="n">
        <v>44842</v>
      </c>
      <c r="O744" s="2" t="n">
        <v>5.91</v>
      </c>
      <c r="P744" s="2"/>
      <c r="Q744" s="62" t="str">
        <f aca="false">IF(ISBLANK(N744),"",IF(N744&lt;DATE(2023,5,1),"OLD","NEW"))</f>
        <v>OLD</v>
      </c>
      <c r="S744" s="33" t="n">
        <f aca="false">IF(COUNTIF('[1]Plate_1-2_LongFormat'!$A$2:$A$193,G744)&gt;0,1,0)</f>
        <v>1</v>
      </c>
      <c r="T744" s="33" t="n">
        <f aca="false">IF(COUNTIF([2]Attached_indexes!$C$2:$C$193,G744)&gt;0,1,0)</f>
        <v>1</v>
      </c>
      <c r="U744" s="59"/>
      <c r="V744" s="1" t="s">
        <v>982</v>
      </c>
    </row>
    <row r="745" customFormat="false" ht="15.75" hidden="false" customHeight="true" outlineLevel="0" collapsed="false">
      <c r="A745" s="18" t="s">
        <v>559</v>
      </c>
      <c r="B745" s="18" t="s">
        <v>559</v>
      </c>
      <c r="C745" s="18" t="s">
        <v>40</v>
      </c>
      <c r="E745" s="66" t="n">
        <v>5</v>
      </c>
      <c r="F745" s="21" t="str">
        <f aca="false">CONCATENATE(B745,"_",C745, TEXT(E745, "000"))</f>
        <v>SDSB_M. guttatus005</v>
      </c>
      <c r="G745" s="21" t="s">
        <v>569</v>
      </c>
      <c r="H745" s="18" t="n">
        <v>1</v>
      </c>
      <c r="I745" s="22" t="n">
        <v>44702</v>
      </c>
      <c r="J745" s="2" t="s">
        <v>981</v>
      </c>
      <c r="L745" s="2" t="n">
        <v>1</v>
      </c>
      <c r="M745" s="2" t="n">
        <v>1</v>
      </c>
      <c r="N745" s="3" t="n">
        <v>44842</v>
      </c>
      <c r="O745" s="2" t="n">
        <v>5.91</v>
      </c>
      <c r="P745" s="2"/>
      <c r="Q745" s="62" t="str">
        <f aca="false">IF(ISBLANK(N745),"",IF(N745&lt;DATE(2023,5,1),"OLD","NEW"))</f>
        <v>OLD</v>
      </c>
      <c r="S745" s="33" t="n">
        <f aca="false">IF(COUNTIF('[1]Plate_1-2_LongFormat'!$A$2:$A$193,G745)&gt;0,1,0)</f>
        <v>1</v>
      </c>
      <c r="T745" s="33" t="n">
        <f aca="false">IF(COUNTIF([2]Attached_indexes!$C$2:$C$193,G745)&gt;0,1,0)</f>
        <v>1</v>
      </c>
      <c r="U745" s="59"/>
      <c r="V745" s="1" t="s">
        <v>982</v>
      </c>
    </row>
    <row r="746" customFormat="false" ht="15.75" hidden="false" customHeight="true" outlineLevel="0" collapsed="false">
      <c r="A746" s="18" t="s">
        <v>559</v>
      </c>
      <c r="B746" s="18" t="s">
        <v>559</v>
      </c>
      <c r="C746" s="18" t="s">
        <v>40</v>
      </c>
      <c r="E746" s="66" t="n">
        <v>6</v>
      </c>
      <c r="F746" s="21" t="str">
        <f aca="false">CONCATENATE(B746,"_",C746, TEXT(E746, "000"))</f>
        <v>SDSB_M. guttatus006</v>
      </c>
      <c r="G746" s="21" t="s">
        <v>571</v>
      </c>
      <c r="H746" s="18" t="n">
        <v>1</v>
      </c>
      <c r="I746" s="22" t="n">
        <v>44702</v>
      </c>
      <c r="J746" s="2" t="s">
        <v>981</v>
      </c>
      <c r="L746" s="2" t="n">
        <v>1</v>
      </c>
      <c r="M746" s="2" t="n">
        <v>1</v>
      </c>
      <c r="N746" s="3" t="n">
        <v>45058</v>
      </c>
      <c r="O746" s="2" t="n">
        <v>5.69</v>
      </c>
      <c r="P746" s="2" t="n">
        <v>3</v>
      </c>
      <c r="Q746" s="62" t="str">
        <f aca="false">IF(ISBLANK(N746),"",IF(N746&lt;DATE(2023,5,1),"OLD","NEW"))</f>
        <v>NEW</v>
      </c>
      <c r="S746" s="33" t="n">
        <f aca="false">IF(COUNTIF('[1]Plate_1-2_LongFormat'!$A$2:$A$193,G746)&gt;0,1,0)</f>
        <v>0</v>
      </c>
      <c r="T746" s="33" t="n">
        <f aca="false">IF(COUNTIF([2]Attached_indexes!$C$2:$C$193,G746)&gt;0,1,0)</f>
        <v>0</v>
      </c>
      <c r="U746" s="59"/>
      <c r="V746" s="1" t="s">
        <v>982</v>
      </c>
    </row>
    <row r="747" customFormat="false" ht="15.75" hidden="false" customHeight="true" outlineLevel="0" collapsed="false">
      <c r="A747" s="18" t="s">
        <v>559</v>
      </c>
      <c r="B747" s="18" t="s">
        <v>559</v>
      </c>
      <c r="C747" s="18" t="s">
        <v>40</v>
      </c>
      <c r="E747" s="66" t="n">
        <v>6</v>
      </c>
      <c r="F747" s="21" t="str">
        <f aca="false">CONCATENATE(B747,"_",C747, TEXT(E747, "000"))</f>
        <v>SDSB_M. guttatus006</v>
      </c>
      <c r="G747" s="21" t="s">
        <v>571</v>
      </c>
      <c r="H747" s="18" t="n">
        <v>1</v>
      </c>
      <c r="I747" s="22" t="n">
        <v>44702</v>
      </c>
      <c r="J747" s="2" t="s">
        <v>981</v>
      </c>
      <c r="L747" s="2" t="n">
        <v>1</v>
      </c>
      <c r="M747" s="2" t="n">
        <v>1</v>
      </c>
      <c r="N747" s="3" t="n">
        <v>45058</v>
      </c>
      <c r="O747" s="2" t="n">
        <v>5.69</v>
      </c>
      <c r="P747" s="2" t="n">
        <v>3</v>
      </c>
      <c r="Q747" s="62" t="str">
        <f aca="false">IF(ISBLANK(N747),"",IF(N747&lt;DATE(2023,5,1),"OLD","NEW"))</f>
        <v>NEW</v>
      </c>
      <c r="S747" s="33" t="n">
        <f aca="false">IF(COUNTIF('[1]Plate_1-2_LongFormat'!$A$2:$A$193,G747)&gt;0,1,0)</f>
        <v>0</v>
      </c>
      <c r="T747" s="33" t="n">
        <f aca="false">IF(COUNTIF([2]Attached_indexes!$C$2:$C$193,G747)&gt;0,1,0)</f>
        <v>0</v>
      </c>
      <c r="U747" s="59"/>
      <c r="V747" s="1" t="s">
        <v>982</v>
      </c>
    </row>
    <row r="748" customFormat="false" ht="15.75" hidden="false" customHeight="true" outlineLevel="0" collapsed="false">
      <c r="A748" s="18" t="s">
        <v>559</v>
      </c>
      <c r="B748" s="18" t="s">
        <v>559</v>
      </c>
      <c r="C748" s="18" t="s">
        <v>40</v>
      </c>
      <c r="E748" s="66" t="n">
        <v>6</v>
      </c>
      <c r="F748" s="21" t="str">
        <f aca="false">CONCATENATE(B748,"_",C748, TEXT(E748, "000"))</f>
        <v>SDSB_M. guttatus006</v>
      </c>
      <c r="G748" s="21" t="s">
        <v>571</v>
      </c>
      <c r="H748" s="18" t="n">
        <v>1</v>
      </c>
      <c r="I748" s="22" t="n">
        <v>44702</v>
      </c>
      <c r="J748" s="2" t="s">
        <v>981</v>
      </c>
      <c r="L748" s="2" t="n">
        <v>1</v>
      </c>
      <c r="M748" s="2" t="n">
        <v>1</v>
      </c>
      <c r="N748" s="3" t="n">
        <v>45058</v>
      </c>
      <c r="O748" s="2" t="n">
        <v>5.69</v>
      </c>
      <c r="P748" s="2" t="n">
        <v>3</v>
      </c>
      <c r="Q748" s="62" t="str">
        <f aca="false">IF(ISBLANK(N748),"",IF(N748&lt;DATE(2023,5,1),"OLD","NEW"))</f>
        <v>NEW</v>
      </c>
      <c r="S748" s="33" t="n">
        <f aca="false">IF(COUNTIF('[1]Plate_1-2_LongFormat'!$A$2:$A$193,G748)&gt;0,1,0)</f>
        <v>0</v>
      </c>
      <c r="T748" s="33" t="n">
        <f aca="false">IF(COUNTIF([2]Attached_indexes!$C$2:$C$193,G748)&gt;0,1,0)</f>
        <v>0</v>
      </c>
      <c r="U748" s="59"/>
      <c r="V748" s="1" t="s">
        <v>982</v>
      </c>
    </row>
    <row r="749" customFormat="false" ht="15.75" hidden="false" customHeight="true" outlineLevel="0" collapsed="false">
      <c r="A749" s="18" t="s">
        <v>559</v>
      </c>
      <c r="B749" s="18" t="s">
        <v>559</v>
      </c>
      <c r="C749" s="18" t="s">
        <v>40</v>
      </c>
      <c r="E749" s="66" t="n">
        <v>7</v>
      </c>
      <c r="F749" s="21" t="str">
        <f aca="false">CONCATENATE(B749,"_",C749, TEXT(E749, "000"))</f>
        <v>SDSB_M. guttatus007</v>
      </c>
      <c r="G749" s="21" t="s">
        <v>573</v>
      </c>
      <c r="H749" s="18" t="n">
        <v>1</v>
      </c>
      <c r="I749" s="22" t="n">
        <v>44702</v>
      </c>
      <c r="J749" s="2" t="s">
        <v>981</v>
      </c>
      <c r="L749" s="2" t="n">
        <v>1</v>
      </c>
      <c r="M749" s="2" t="n">
        <v>1</v>
      </c>
      <c r="N749" s="3" t="n">
        <v>45061</v>
      </c>
      <c r="O749" s="2" t="n">
        <v>19.9</v>
      </c>
      <c r="P749" s="2" t="n">
        <v>3</v>
      </c>
      <c r="Q749" s="62" t="str">
        <f aca="false">IF(ISBLANK(N749),"",IF(N749&lt;DATE(2023,5,1),"OLD","NEW"))</f>
        <v>NEW</v>
      </c>
      <c r="S749" s="33" t="n">
        <f aca="false">IF(COUNTIF('[1]Plate_1-2_LongFormat'!$A$2:$A$193,G749)&gt;0,1,0)</f>
        <v>0</v>
      </c>
      <c r="T749" s="33" t="n">
        <f aca="false">IF(COUNTIF([2]Attached_indexes!$C$2:$C$193,G749)&gt;0,1,0)</f>
        <v>0</v>
      </c>
      <c r="U749" s="59"/>
      <c r="V749" s="1" t="s">
        <v>982</v>
      </c>
    </row>
    <row r="750" customFormat="false" ht="15.75" hidden="false" customHeight="true" outlineLevel="0" collapsed="false">
      <c r="A750" s="18" t="s">
        <v>559</v>
      </c>
      <c r="B750" s="18" t="s">
        <v>559</v>
      </c>
      <c r="C750" s="18" t="s">
        <v>40</v>
      </c>
      <c r="E750" s="66" t="n">
        <v>7</v>
      </c>
      <c r="F750" s="21" t="str">
        <f aca="false">CONCATENATE(B750,"_",C750, TEXT(E750, "000"))</f>
        <v>SDSB_M. guttatus007</v>
      </c>
      <c r="G750" s="21" t="s">
        <v>573</v>
      </c>
      <c r="H750" s="18" t="n">
        <v>1</v>
      </c>
      <c r="I750" s="22" t="n">
        <v>44702</v>
      </c>
      <c r="J750" s="2" t="s">
        <v>981</v>
      </c>
      <c r="L750" s="2" t="n">
        <v>1</v>
      </c>
      <c r="M750" s="2" t="n">
        <v>1</v>
      </c>
      <c r="N750" s="3" t="n">
        <v>45061</v>
      </c>
      <c r="O750" s="2" t="n">
        <v>19.9</v>
      </c>
      <c r="P750" s="2" t="n">
        <v>3</v>
      </c>
      <c r="Q750" s="62" t="str">
        <f aca="false">IF(ISBLANK(N750),"",IF(N750&lt;DATE(2023,5,1),"OLD","NEW"))</f>
        <v>NEW</v>
      </c>
      <c r="S750" s="33" t="n">
        <f aca="false">IF(COUNTIF('[1]Plate_1-2_LongFormat'!$A$2:$A$193,G750)&gt;0,1,0)</f>
        <v>0</v>
      </c>
      <c r="T750" s="33" t="n">
        <f aca="false">IF(COUNTIF([2]Attached_indexes!$C$2:$C$193,G750)&gt;0,1,0)</f>
        <v>0</v>
      </c>
      <c r="U750" s="59"/>
      <c r="V750" s="1" t="s">
        <v>982</v>
      </c>
    </row>
    <row r="751" customFormat="false" ht="15.75" hidden="false" customHeight="true" outlineLevel="0" collapsed="false">
      <c r="A751" s="18" t="s">
        <v>559</v>
      </c>
      <c r="B751" s="18" t="s">
        <v>559</v>
      </c>
      <c r="C751" s="18" t="s">
        <v>40</v>
      </c>
      <c r="E751" s="66" t="n">
        <v>7</v>
      </c>
      <c r="F751" s="21" t="str">
        <f aca="false">CONCATENATE(B751,"_",C751, TEXT(E751, "000"))</f>
        <v>SDSB_M. guttatus007</v>
      </c>
      <c r="G751" s="21" t="s">
        <v>573</v>
      </c>
      <c r="H751" s="18" t="n">
        <v>1</v>
      </c>
      <c r="I751" s="22" t="n">
        <v>44702</v>
      </c>
      <c r="J751" s="2" t="s">
        <v>981</v>
      </c>
      <c r="L751" s="2" t="n">
        <v>1</v>
      </c>
      <c r="M751" s="2" t="n">
        <v>1</v>
      </c>
      <c r="N751" s="3" t="n">
        <v>45061</v>
      </c>
      <c r="O751" s="2" t="n">
        <v>19.9</v>
      </c>
      <c r="P751" s="2" t="n">
        <v>3</v>
      </c>
      <c r="Q751" s="62" t="str">
        <f aca="false">IF(ISBLANK(N751),"",IF(N751&lt;DATE(2023,5,1),"OLD","NEW"))</f>
        <v>NEW</v>
      </c>
      <c r="S751" s="33" t="n">
        <f aca="false">IF(COUNTIF('[1]Plate_1-2_LongFormat'!$A$2:$A$193,G751)&gt;0,1,0)</f>
        <v>0</v>
      </c>
      <c r="T751" s="33" t="n">
        <f aca="false">IF(COUNTIF([2]Attached_indexes!$C$2:$C$193,G751)&gt;0,1,0)</f>
        <v>0</v>
      </c>
      <c r="U751" s="59"/>
      <c r="V751" s="1" t="s">
        <v>982</v>
      </c>
    </row>
    <row r="752" customFormat="false" ht="15.75" hidden="false" customHeight="true" outlineLevel="0" collapsed="false">
      <c r="A752" s="18" t="s">
        <v>559</v>
      </c>
      <c r="B752" s="18" t="s">
        <v>559</v>
      </c>
      <c r="C752" s="18" t="s">
        <v>40</v>
      </c>
      <c r="E752" s="66" t="n">
        <v>8</v>
      </c>
      <c r="F752" s="21" t="str">
        <f aca="false">CONCATENATE(B752,"_",C752, TEXT(E752, "000"))</f>
        <v>SDSB_M. guttatus008</v>
      </c>
      <c r="G752" s="21" t="s">
        <v>575</v>
      </c>
      <c r="H752" s="18" t="n">
        <v>1</v>
      </c>
      <c r="I752" s="22" t="n">
        <v>44702</v>
      </c>
      <c r="J752" s="2" t="s">
        <v>981</v>
      </c>
      <c r="L752" s="2" t="n">
        <v>1</v>
      </c>
      <c r="M752" s="2" t="n">
        <v>1</v>
      </c>
      <c r="N752" s="3" t="n">
        <v>44799</v>
      </c>
      <c r="O752" s="64" t="n">
        <v>0.492</v>
      </c>
      <c r="P752" s="64" t="n">
        <v>1</v>
      </c>
      <c r="Q752" s="62" t="str">
        <f aca="false">IF(ISBLANK(N752),"",IF(N752&lt;DATE(2023,5,1),"OLD","NEW"))</f>
        <v>OLD</v>
      </c>
      <c r="S752" s="33" t="n">
        <f aca="false">IF(COUNTIF('[1]Plate_1-2_LongFormat'!$A$2:$A$193,G752)&gt;0,1,0)</f>
        <v>1</v>
      </c>
      <c r="T752" s="33" t="n">
        <f aca="false">IF(COUNTIF([2]Attached_indexes!$C$2:$C$193,G752)&gt;0,1,0)</f>
        <v>1</v>
      </c>
      <c r="U752" s="59"/>
      <c r="V752" s="1" t="s">
        <v>982</v>
      </c>
    </row>
    <row r="753" customFormat="false" ht="15.75" hidden="false" customHeight="true" outlineLevel="0" collapsed="false">
      <c r="A753" s="18" t="s">
        <v>559</v>
      </c>
      <c r="B753" s="18" t="s">
        <v>559</v>
      </c>
      <c r="C753" s="18" t="s">
        <v>40</v>
      </c>
      <c r="E753" s="66" t="n">
        <v>8</v>
      </c>
      <c r="F753" s="21" t="str">
        <f aca="false">CONCATENATE(B753,"_",C753, TEXT(E753, "000"))</f>
        <v>SDSB_M. guttatus008</v>
      </c>
      <c r="G753" s="21" t="s">
        <v>575</v>
      </c>
      <c r="H753" s="18" t="n">
        <v>1</v>
      </c>
      <c r="I753" s="22" t="n">
        <v>44702</v>
      </c>
      <c r="J753" s="2" t="s">
        <v>981</v>
      </c>
      <c r="L753" s="2" t="n">
        <v>1</v>
      </c>
      <c r="M753" s="2" t="n">
        <v>1</v>
      </c>
      <c r="N753" s="3" t="n">
        <v>44799</v>
      </c>
      <c r="O753" s="64" t="n">
        <v>0.492</v>
      </c>
      <c r="P753" s="64" t="n">
        <v>1</v>
      </c>
      <c r="Q753" s="62" t="str">
        <f aca="false">IF(ISBLANK(N753),"",IF(N753&lt;DATE(2023,5,1),"OLD","NEW"))</f>
        <v>OLD</v>
      </c>
      <c r="S753" s="33" t="n">
        <f aca="false">IF(COUNTIF('[1]Plate_1-2_LongFormat'!$A$2:$A$193,G753)&gt;0,1,0)</f>
        <v>1</v>
      </c>
      <c r="T753" s="33" t="n">
        <f aca="false">IF(COUNTIF([2]Attached_indexes!$C$2:$C$193,G753)&gt;0,1,0)</f>
        <v>1</v>
      </c>
      <c r="U753" s="59"/>
      <c r="V753" s="1" t="s">
        <v>982</v>
      </c>
    </row>
    <row r="754" customFormat="false" ht="15.75" hidden="false" customHeight="true" outlineLevel="0" collapsed="false">
      <c r="A754" s="18" t="s">
        <v>559</v>
      </c>
      <c r="B754" s="18" t="s">
        <v>559</v>
      </c>
      <c r="C754" s="18" t="s">
        <v>40</v>
      </c>
      <c r="E754" s="66" t="n">
        <v>8</v>
      </c>
      <c r="F754" s="21" t="str">
        <f aca="false">CONCATENATE(B754,"_",C754, TEXT(E754, "000"))</f>
        <v>SDSB_M. guttatus008</v>
      </c>
      <c r="G754" s="21" t="s">
        <v>575</v>
      </c>
      <c r="H754" s="18" t="n">
        <v>1</v>
      </c>
      <c r="I754" s="22" t="n">
        <v>44702</v>
      </c>
      <c r="J754" s="2" t="s">
        <v>981</v>
      </c>
      <c r="L754" s="2" t="n">
        <v>1</v>
      </c>
      <c r="M754" s="2" t="n">
        <v>1</v>
      </c>
      <c r="N754" s="3" t="n">
        <v>44799</v>
      </c>
      <c r="O754" s="64" t="n">
        <v>0.492</v>
      </c>
      <c r="P754" s="64" t="n">
        <v>1</v>
      </c>
      <c r="Q754" s="62" t="str">
        <f aca="false">IF(ISBLANK(N754),"",IF(N754&lt;DATE(2023,5,1),"OLD","NEW"))</f>
        <v>OLD</v>
      </c>
      <c r="S754" s="33" t="n">
        <f aca="false">IF(COUNTIF('[1]Plate_1-2_LongFormat'!$A$2:$A$193,G754)&gt;0,1,0)</f>
        <v>1</v>
      </c>
      <c r="T754" s="33" t="n">
        <f aca="false">IF(COUNTIF([2]Attached_indexes!$C$2:$C$193,G754)&gt;0,1,0)</f>
        <v>1</v>
      </c>
      <c r="U754" s="59"/>
      <c r="V754" s="1" t="s">
        <v>982</v>
      </c>
    </row>
    <row r="755" customFormat="false" ht="15.75" hidden="false" customHeight="true" outlineLevel="0" collapsed="false">
      <c r="A755" s="18" t="s">
        <v>559</v>
      </c>
      <c r="B755" s="18" t="s">
        <v>559</v>
      </c>
      <c r="C755" s="18" t="s">
        <v>40</v>
      </c>
      <c r="E755" s="66" t="n">
        <v>9</v>
      </c>
      <c r="F755" s="21" t="str">
        <f aca="false">CONCATENATE(B755,"_",C755, TEXT(E755, "000"))</f>
        <v>SDSB_M. guttatus009</v>
      </c>
      <c r="G755" s="21" t="s">
        <v>576</v>
      </c>
      <c r="H755" s="18" t="n">
        <v>1</v>
      </c>
      <c r="I755" s="22" t="n">
        <v>44702</v>
      </c>
      <c r="J755" s="2" t="s">
        <v>981</v>
      </c>
      <c r="L755" s="2" t="n">
        <v>1</v>
      </c>
      <c r="M755" s="2" t="n">
        <v>1</v>
      </c>
      <c r="N755" s="3" t="n">
        <v>44914</v>
      </c>
      <c r="O755" s="64" t="n">
        <v>10.8</v>
      </c>
      <c r="P755" s="64" t="n">
        <v>2</v>
      </c>
      <c r="Q755" s="62" t="str">
        <f aca="false">IF(ISBLANK(N755),"",IF(N755&lt;DATE(2023,5,1),"OLD","NEW"))</f>
        <v>OLD</v>
      </c>
      <c r="S755" s="33" t="n">
        <f aca="false">IF(COUNTIF('[1]Plate_1-2_LongFormat'!$A$2:$A$193,G755)&gt;0,1,0)</f>
        <v>1</v>
      </c>
      <c r="T755" s="33" t="n">
        <f aca="false">IF(COUNTIF([2]Attached_indexes!$C$2:$C$193,G755)&gt;0,1,0)</f>
        <v>1</v>
      </c>
      <c r="U755" s="59"/>
      <c r="V755" s="1" t="s">
        <v>982</v>
      </c>
    </row>
    <row r="756" customFormat="false" ht="15.75" hidden="false" customHeight="true" outlineLevel="0" collapsed="false">
      <c r="A756" s="18" t="s">
        <v>559</v>
      </c>
      <c r="B756" s="18" t="s">
        <v>559</v>
      </c>
      <c r="C756" s="18" t="s">
        <v>40</v>
      </c>
      <c r="E756" s="66" t="n">
        <v>9</v>
      </c>
      <c r="F756" s="21" t="str">
        <f aca="false">CONCATENATE(B756,"_",C756, TEXT(E756, "000"))</f>
        <v>SDSB_M. guttatus009</v>
      </c>
      <c r="G756" s="21" t="s">
        <v>576</v>
      </c>
      <c r="H756" s="18" t="n">
        <v>1</v>
      </c>
      <c r="I756" s="22" t="n">
        <v>44702</v>
      </c>
      <c r="J756" s="2" t="s">
        <v>981</v>
      </c>
      <c r="L756" s="2" t="n">
        <v>1</v>
      </c>
      <c r="M756" s="2" t="n">
        <v>1</v>
      </c>
      <c r="N756" s="3" t="n">
        <v>44914</v>
      </c>
      <c r="O756" s="64" t="n">
        <v>10.8</v>
      </c>
      <c r="P756" s="64" t="n">
        <v>2</v>
      </c>
      <c r="Q756" s="62" t="str">
        <f aca="false">IF(ISBLANK(N756),"",IF(N756&lt;DATE(2023,5,1),"OLD","NEW"))</f>
        <v>OLD</v>
      </c>
      <c r="S756" s="33" t="n">
        <f aca="false">IF(COUNTIF('[1]Plate_1-2_LongFormat'!$A$2:$A$193,G756)&gt;0,1,0)</f>
        <v>1</v>
      </c>
      <c r="T756" s="33" t="n">
        <f aca="false">IF(COUNTIF([2]Attached_indexes!$C$2:$C$193,G756)&gt;0,1,0)</f>
        <v>1</v>
      </c>
      <c r="U756" s="59"/>
      <c r="V756" s="1" t="s">
        <v>982</v>
      </c>
    </row>
    <row r="757" customFormat="false" ht="15.75" hidden="false" customHeight="true" outlineLevel="0" collapsed="false">
      <c r="A757" s="18" t="s">
        <v>559</v>
      </c>
      <c r="B757" s="18" t="s">
        <v>559</v>
      </c>
      <c r="C757" s="18" t="s">
        <v>40</v>
      </c>
      <c r="E757" s="66" t="n">
        <v>9</v>
      </c>
      <c r="F757" s="21" t="str">
        <f aca="false">CONCATENATE(B757,"_",C757, TEXT(E757, "000"))</f>
        <v>SDSB_M. guttatus009</v>
      </c>
      <c r="G757" s="21" t="s">
        <v>576</v>
      </c>
      <c r="H757" s="18" t="n">
        <v>1</v>
      </c>
      <c r="I757" s="22" t="n">
        <v>44702</v>
      </c>
      <c r="J757" s="2" t="s">
        <v>981</v>
      </c>
      <c r="L757" s="2" t="n">
        <v>1</v>
      </c>
      <c r="M757" s="2" t="n">
        <v>1</v>
      </c>
      <c r="N757" s="3" t="n">
        <v>44914</v>
      </c>
      <c r="O757" s="64" t="n">
        <v>10.8</v>
      </c>
      <c r="P757" s="64" t="n">
        <v>2</v>
      </c>
      <c r="Q757" s="62" t="str">
        <f aca="false">IF(ISBLANK(N757),"",IF(N757&lt;DATE(2023,5,1),"OLD","NEW"))</f>
        <v>OLD</v>
      </c>
      <c r="S757" s="33" t="n">
        <f aca="false">IF(COUNTIF('[1]Plate_1-2_LongFormat'!$A$2:$A$193,G757)&gt;0,1,0)</f>
        <v>1</v>
      </c>
      <c r="T757" s="33" t="n">
        <f aca="false">IF(COUNTIF([2]Attached_indexes!$C$2:$C$193,G757)&gt;0,1,0)</f>
        <v>1</v>
      </c>
      <c r="U757" s="59"/>
      <c r="V757" s="1" t="s">
        <v>982</v>
      </c>
    </row>
    <row r="758" customFormat="false" ht="15.75" hidden="false" customHeight="true" outlineLevel="0" collapsed="false">
      <c r="A758" s="18" t="s">
        <v>779</v>
      </c>
      <c r="B758" s="18" t="s">
        <v>779</v>
      </c>
      <c r="C758" s="18" t="s">
        <v>40</v>
      </c>
      <c r="E758" s="66" t="n">
        <v>1</v>
      </c>
      <c r="F758" s="21" t="str">
        <f aca="false">CONCATENATE(B758,"_",C758, TEXT(E758, "000"))</f>
        <v>SHLZ_M. guttatus001</v>
      </c>
      <c r="G758" s="21" t="s">
        <v>73</v>
      </c>
      <c r="H758" s="18" t="n">
        <v>1</v>
      </c>
      <c r="I758" s="22" t="n">
        <v>44321</v>
      </c>
      <c r="J758" s="2" t="s">
        <v>981</v>
      </c>
      <c r="K758" s="72" t="s">
        <v>1025</v>
      </c>
      <c r="L758" s="2" t="n">
        <v>1</v>
      </c>
      <c r="M758" s="2" t="n">
        <v>1</v>
      </c>
      <c r="N758" s="3" t="n">
        <v>45077</v>
      </c>
      <c r="O758" s="64" t="n">
        <v>24.5</v>
      </c>
      <c r="P758" s="64" t="n">
        <v>4</v>
      </c>
      <c r="Q758" s="62" t="str">
        <f aca="false">IF(ISBLANK(N758),"",IF(N758&lt;DATE(2023,5,1),"OLD","NEW"))</f>
        <v>NEW</v>
      </c>
      <c r="S758" s="33" t="n">
        <f aca="false">IF(COUNTIF('[1]Plate_1-2_LongFormat'!$A$2:$A$193,G758)&gt;0,1,0)</f>
        <v>0</v>
      </c>
      <c r="T758" s="33" t="n">
        <f aca="false">IF(COUNTIF([2]Attached_indexes!$C$2:$C$193,G758)&gt;0,1,0)</f>
        <v>0</v>
      </c>
      <c r="U758" s="59"/>
      <c r="V758" s="1" t="s">
        <v>982</v>
      </c>
    </row>
    <row r="759" customFormat="false" ht="15.75" hidden="false" customHeight="true" outlineLevel="0" collapsed="false">
      <c r="A759" s="18" t="s">
        <v>779</v>
      </c>
      <c r="B759" s="18" t="s">
        <v>779</v>
      </c>
      <c r="C759" s="18" t="s">
        <v>40</v>
      </c>
      <c r="D759" s="2"/>
      <c r="E759" s="66" t="n">
        <v>1</v>
      </c>
      <c r="F759" s="21" t="str">
        <f aca="false">CONCATENATE(B759,"_",C759, TEXT(E759, "000"))</f>
        <v>SHLZ_M. guttatus001</v>
      </c>
      <c r="G759" s="21" t="s">
        <v>73</v>
      </c>
      <c r="H759" s="18" t="n">
        <v>1</v>
      </c>
      <c r="I759" s="22" t="n">
        <v>44321</v>
      </c>
      <c r="J759" s="2" t="s">
        <v>981</v>
      </c>
      <c r="K759" s="72" t="s">
        <v>1025</v>
      </c>
      <c r="L759" s="2" t="n">
        <v>1</v>
      </c>
      <c r="M759" s="2" t="n">
        <v>1</v>
      </c>
      <c r="N759" s="3" t="n">
        <v>45077</v>
      </c>
      <c r="O759" s="64" t="n">
        <v>24.5</v>
      </c>
      <c r="P759" s="64" t="n">
        <v>4</v>
      </c>
      <c r="Q759" s="62" t="str">
        <f aca="false">IF(ISBLANK(N759),"",IF(N759&lt;DATE(2023,5,1),"OLD","NEW"))</f>
        <v>NEW</v>
      </c>
      <c r="S759" s="33" t="n">
        <f aca="false">IF(COUNTIF('[1]Plate_1-2_LongFormat'!$A$2:$A$193,G759)&gt;0,1,0)</f>
        <v>0</v>
      </c>
      <c r="T759" s="33" t="n">
        <f aca="false">IF(COUNTIF([2]Attached_indexes!$C$2:$C$193,G759)&gt;0,1,0)</f>
        <v>0</v>
      </c>
      <c r="U759" s="59"/>
      <c r="V759" s="1" t="s">
        <v>982</v>
      </c>
    </row>
    <row r="760" customFormat="false" ht="15.75" hidden="false" customHeight="true" outlineLevel="0" collapsed="false">
      <c r="A760" s="18" t="s">
        <v>779</v>
      </c>
      <c r="B760" s="18" t="s">
        <v>779</v>
      </c>
      <c r="C760" s="18" t="s">
        <v>40</v>
      </c>
      <c r="D760" s="2"/>
      <c r="E760" s="66" t="n">
        <v>1</v>
      </c>
      <c r="F760" s="21" t="str">
        <f aca="false">CONCATENATE(B760,"_",C760, TEXT(E760, "000"))</f>
        <v>SHLZ_M. guttatus001</v>
      </c>
      <c r="G760" s="21" t="s">
        <v>73</v>
      </c>
      <c r="H760" s="18" t="n">
        <v>1</v>
      </c>
      <c r="I760" s="22" t="n">
        <v>44321</v>
      </c>
      <c r="J760" s="2" t="s">
        <v>981</v>
      </c>
      <c r="K760" s="72" t="s">
        <v>1025</v>
      </c>
      <c r="L760" s="2" t="n">
        <v>1</v>
      </c>
      <c r="M760" s="2" t="n">
        <v>1</v>
      </c>
      <c r="N760" s="3" t="n">
        <v>45077</v>
      </c>
      <c r="O760" s="64" t="n">
        <v>24.5</v>
      </c>
      <c r="P760" s="64" t="n">
        <v>4</v>
      </c>
      <c r="Q760" s="62" t="str">
        <f aca="false">IF(ISBLANK(N760),"",IF(N760&lt;DATE(2023,5,1),"OLD","NEW"))</f>
        <v>NEW</v>
      </c>
      <c r="S760" s="33" t="n">
        <f aca="false">IF(COUNTIF('[1]Plate_1-2_LongFormat'!$A$2:$A$193,G760)&gt;0,1,0)</f>
        <v>0</v>
      </c>
      <c r="T760" s="33" t="n">
        <f aca="false">IF(COUNTIF([2]Attached_indexes!$C$2:$C$193,G760)&gt;0,1,0)</f>
        <v>0</v>
      </c>
      <c r="U760" s="59"/>
      <c r="V760" s="1" t="s">
        <v>982</v>
      </c>
    </row>
    <row r="761" customFormat="false" ht="15.75" hidden="false" customHeight="true" outlineLevel="0" collapsed="false">
      <c r="A761" s="18" t="s">
        <v>779</v>
      </c>
      <c r="B761" s="18" t="s">
        <v>779</v>
      </c>
      <c r="C761" s="18" t="s">
        <v>40</v>
      </c>
      <c r="D761" s="2"/>
      <c r="E761" s="66" t="n">
        <v>2</v>
      </c>
      <c r="F761" s="21" t="str">
        <f aca="false">CONCATENATE(B761,"_",C761, TEXT(E761, "000"))</f>
        <v>SHLZ_M. guttatus002</v>
      </c>
      <c r="G761" s="21" t="s">
        <v>77</v>
      </c>
      <c r="H761" s="18" t="n">
        <v>1</v>
      </c>
      <c r="I761" s="22" t="n">
        <v>44321</v>
      </c>
      <c r="J761" s="2" t="s">
        <v>981</v>
      </c>
      <c r="K761" s="72" t="s">
        <v>1025</v>
      </c>
      <c r="L761" s="2" t="n">
        <v>1</v>
      </c>
      <c r="M761" s="2" t="n">
        <v>1</v>
      </c>
      <c r="N761" s="3" t="n">
        <v>45076</v>
      </c>
      <c r="O761" s="64" t="n">
        <v>40.3</v>
      </c>
      <c r="P761" s="64" t="n">
        <v>4</v>
      </c>
      <c r="Q761" s="62" t="str">
        <f aca="false">IF(ISBLANK(N761),"",IF(N761&lt;DATE(2023,5,1),"OLD","NEW"))</f>
        <v>NEW</v>
      </c>
      <c r="S761" s="33" t="n">
        <f aca="false">IF(COUNTIF('[1]Plate_1-2_LongFormat'!$A$2:$A$193,G761)&gt;0,1,0)</f>
        <v>0</v>
      </c>
      <c r="T761" s="33" t="n">
        <f aca="false">IF(COUNTIF([2]Attached_indexes!$C$2:$C$193,G761)&gt;0,1,0)</f>
        <v>0</v>
      </c>
      <c r="U761" s="59"/>
      <c r="V761" s="1" t="s">
        <v>982</v>
      </c>
    </row>
    <row r="762" customFormat="false" ht="15.75" hidden="false" customHeight="true" outlineLevel="0" collapsed="false">
      <c r="A762" s="18" t="s">
        <v>779</v>
      </c>
      <c r="B762" s="18" t="s">
        <v>779</v>
      </c>
      <c r="C762" s="18" t="s">
        <v>40</v>
      </c>
      <c r="E762" s="66" t="n">
        <v>2</v>
      </c>
      <c r="F762" s="21" t="str">
        <f aca="false">CONCATENATE(B762,"_",C762, TEXT(E762, "000"))</f>
        <v>SHLZ_M. guttatus002</v>
      </c>
      <c r="G762" s="21" t="s">
        <v>77</v>
      </c>
      <c r="H762" s="18" t="n">
        <v>1</v>
      </c>
      <c r="I762" s="22" t="n">
        <v>44321</v>
      </c>
      <c r="J762" s="2" t="s">
        <v>981</v>
      </c>
      <c r="K762" s="72" t="s">
        <v>1025</v>
      </c>
      <c r="L762" s="2" t="n">
        <v>1</v>
      </c>
      <c r="M762" s="2" t="n">
        <v>1</v>
      </c>
      <c r="N762" s="3" t="n">
        <v>45076</v>
      </c>
      <c r="O762" s="64" t="n">
        <v>40.3</v>
      </c>
      <c r="P762" s="64" t="n">
        <v>4</v>
      </c>
      <c r="Q762" s="62" t="str">
        <f aca="false">IF(ISBLANK(N762),"",IF(N762&lt;DATE(2023,5,1),"OLD","NEW"))</f>
        <v>NEW</v>
      </c>
      <c r="S762" s="33" t="n">
        <f aca="false">IF(COUNTIF('[1]Plate_1-2_LongFormat'!$A$2:$A$193,G762)&gt;0,1,0)</f>
        <v>0</v>
      </c>
      <c r="T762" s="33" t="n">
        <f aca="false">IF(COUNTIF([2]Attached_indexes!$C$2:$C$193,G762)&gt;0,1,0)</f>
        <v>0</v>
      </c>
      <c r="U762" s="59"/>
      <c r="V762" s="1" t="s">
        <v>982</v>
      </c>
    </row>
    <row r="763" customFormat="false" ht="15.75" hidden="false" customHeight="true" outlineLevel="0" collapsed="false">
      <c r="A763" s="18" t="s">
        <v>779</v>
      </c>
      <c r="B763" s="18" t="s">
        <v>779</v>
      </c>
      <c r="C763" s="18" t="s">
        <v>40</v>
      </c>
      <c r="E763" s="66" t="n">
        <v>2</v>
      </c>
      <c r="F763" s="21" t="str">
        <f aca="false">CONCATENATE(B763,"_",C763, TEXT(E763, "000"))</f>
        <v>SHLZ_M. guttatus002</v>
      </c>
      <c r="G763" s="21" t="s">
        <v>77</v>
      </c>
      <c r="H763" s="18" t="n">
        <v>1</v>
      </c>
      <c r="I763" s="22" t="n">
        <v>44321</v>
      </c>
      <c r="J763" s="2" t="s">
        <v>981</v>
      </c>
      <c r="K763" s="72" t="s">
        <v>1025</v>
      </c>
      <c r="L763" s="2" t="n">
        <v>1</v>
      </c>
      <c r="M763" s="2" t="n">
        <v>1</v>
      </c>
      <c r="N763" s="3" t="n">
        <v>45076</v>
      </c>
      <c r="O763" s="64" t="n">
        <v>40.3</v>
      </c>
      <c r="P763" s="64" t="n">
        <v>4</v>
      </c>
      <c r="Q763" s="62" t="str">
        <f aca="false">IF(ISBLANK(N763),"",IF(N763&lt;DATE(2023,5,1),"OLD","NEW"))</f>
        <v>NEW</v>
      </c>
      <c r="S763" s="33" t="n">
        <f aca="false">IF(COUNTIF('[1]Plate_1-2_LongFormat'!$A$2:$A$193,G763)&gt;0,1,0)</f>
        <v>0</v>
      </c>
      <c r="T763" s="33" t="n">
        <f aca="false">IF(COUNTIF([2]Attached_indexes!$C$2:$C$193,G763)&gt;0,1,0)</f>
        <v>0</v>
      </c>
      <c r="U763" s="59"/>
      <c r="V763" s="1" t="s">
        <v>982</v>
      </c>
    </row>
    <row r="764" customFormat="false" ht="15.75" hidden="false" customHeight="true" outlineLevel="0" collapsed="false">
      <c r="A764" s="18" t="s">
        <v>779</v>
      </c>
      <c r="B764" s="18" t="s">
        <v>779</v>
      </c>
      <c r="C764" s="18" t="s">
        <v>40</v>
      </c>
      <c r="E764" s="66" t="n">
        <v>3</v>
      </c>
      <c r="F764" s="21" t="str">
        <f aca="false">CONCATENATE(B764,"_",C764, TEXT(E764, "000"))</f>
        <v>SHLZ_M. guttatus003</v>
      </c>
      <c r="G764" s="21" t="s">
        <v>81</v>
      </c>
      <c r="H764" s="18" t="n">
        <v>1</v>
      </c>
      <c r="I764" s="22" t="n">
        <v>44321</v>
      </c>
      <c r="J764" s="2" t="s">
        <v>981</v>
      </c>
      <c r="K764" s="72" t="s">
        <v>1025</v>
      </c>
      <c r="L764" s="2" t="n">
        <v>1</v>
      </c>
      <c r="M764" s="2" t="n">
        <v>1</v>
      </c>
      <c r="N764" s="3" t="n">
        <v>45077</v>
      </c>
      <c r="O764" s="2" t="n">
        <v>38.3</v>
      </c>
      <c r="P764" s="2" t="n">
        <v>4</v>
      </c>
      <c r="Q764" s="62" t="str">
        <f aca="false">IF(ISBLANK(N764),"",IF(N764&lt;DATE(2023,5,1),"OLD","NEW"))</f>
        <v>NEW</v>
      </c>
      <c r="S764" s="33" t="n">
        <f aca="false">IF(COUNTIF('[1]Plate_1-2_LongFormat'!$A$2:$A$193,G764)&gt;0,1,0)</f>
        <v>0</v>
      </c>
      <c r="T764" s="33" t="n">
        <f aca="false">IF(COUNTIF([2]Attached_indexes!$C$2:$C$193,G764)&gt;0,1,0)</f>
        <v>0</v>
      </c>
      <c r="U764" s="59"/>
      <c r="V764" s="1" t="s">
        <v>982</v>
      </c>
    </row>
    <row r="765" customFormat="false" ht="15.75" hidden="false" customHeight="true" outlineLevel="0" collapsed="false">
      <c r="A765" s="18" t="s">
        <v>779</v>
      </c>
      <c r="B765" s="18" t="s">
        <v>779</v>
      </c>
      <c r="C765" s="18" t="s">
        <v>40</v>
      </c>
      <c r="E765" s="66" t="n">
        <v>3</v>
      </c>
      <c r="F765" s="21" t="str">
        <f aca="false">CONCATENATE(B765,"_",C765, TEXT(E765, "000"))</f>
        <v>SHLZ_M. guttatus003</v>
      </c>
      <c r="G765" s="21" t="s">
        <v>81</v>
      </c>
      <c r="H765" s="18" t="n">
        <v>1</v>
      </c>
      <c r="I765" s="22" t="n">
        <v>44321</v>
      </c>
      <c r="J765" s="2" t="s">
        <v>981</v>
      </c>
      <c r="K765" s="72" t="s">
        <v>1025</v>
      </c>
      <c r="L765" s="2" t="n">
        <v>1</v>
      </c>
      <c r="M765" s="2" t="n">
        <v>1</v>
      </c>
      <c r="N765" s="3" t="n">
        <v>45077</v>
      </c>
      <c r="O765" s="2" t="n">
        <v>38.3</v>
      </c>
      <c r="P765" s="2" t="n">
        <v>4</v>
      </c>
      <c r="Q765" s="62" t="str">
        <f aca="false">IF(ISBLANK(N765),"",IF(N765&lt;DATE(2023,5,1),"OLD","NEW"))</f>
        <v>NEW</v>
      </c>
      <c r="S765" s="33" t="n">
        <f aca="false">IF(COUNTIF('[1]Plate_1-2_LongFormat'!$A$2:$A$193,G765)&gt;0,1,0)</f>
        <v>0</v>
      </c>
      <c r="T765" s="33" t="n">
        <f aca="false">IF(COUNTIF([2]Attached_indexes!$C$2:$C$193,G765)&gt;0,1,0)</f>
        <v>0</v>
      </c>
      <c r="U765" s="59"/>
      <c r="V765" s="1" t="s">
        <v>982</v>
      </c>
    </row>
    <row r="766" customFormat="false" ht="15.75" hidden="false" customHeight="true" outlineLevel="0" collapsed="false">
      <c r="A766" s="18" t="s">
        <v>779</v>
      </c>
      <c r="B766" s="18" t="s">
        <v>779</v>
      </c>
      <c r="C766" s="18" t="s">
        <v>40</v>
      </c>
      <c r="E766" s="66" t="n">
        <v>3</v>
      </c>
      <c r="F766" s="21" t="str">
        <f aca="false">CONCATENATE(B766,"_",C766, TEXT(E766, "000"))</f>
        <v>SHLZ_M. guttatus003</v>
      </c>
      <c r="G766" s="21" t="s">
        <v>81</v>
      </c>
      <c r="H766" s="18" t="n">
        <v>1</v>
      </c>
      <c r="I766" s="22" t="n">
        <v>44321</v>
      </c>
      <c r="J766" s="2" t="s">
        <v>981</v>
      </c>
      <c r="K766" s="72" t="s">
        <v>1025</v>
      </c>
      <c r="L766" s="2" t="n">
        <v>1</v>
      </c>
      <c r="M766" s="2" t="n">
        <v>1</v>
      </c>
      <c r="N766" s="3" t="n">
        <v>45077</v>
      </c>
      <c r="O766" s="2" t="n">
        <v>38.3</v>
      </c>
      <c r="P766" s="2" t="n">
        <v>4</v>
      </c>
      <c r="Q766" s="62" t="str">
        <f aca="false">IF(ISBLANK(N766),"",IF(N766&lt;DATE(2023,5,1),"OLD","NEW"))</f>
        <v>NEW</v>
      </c>
      <c r="S766" s="33" t="n">
        <f aca="false">IF(COUNTIF('[1]Plate_1-2_LongFormat'!$A$2:$A$193,G766)&gt;0,1,0)</f>
        <v>0</v>
      </c>
      <c r="T766" s="33" t="n">
        <f aca="false">IF(COUNTIF([2]Attached_indexes!$C$2:$C$193,G766)&gt;0,1,0)</f>
        <v>0</v>
      </c>
      <c r="U766" s="59"/>
      <c r="V766" s="1" t="s">
        <v>982</v>
      </c>
    </row>
    <row r="767" customFormat="false" ht="15.75" hidden="false" customHeight="true" outlineLevel="0" collapsed="false">
      <c r="A767" s="18" t="s">
        <v>779</v>
      </c>
      <c r="B767" s="18" t="s">
        <v>779</v>
      </c>
      <c r="C767" s="18" t="s">
        <v>40</v>
      </c>
      <c r="E767" s="66" t="n">
        <v>4</v>
      </c>
      <c r="F767" s="21" t="str">
        <f aca="false">CONCATENATE(B767,"_",C767, TEXT(E767, "000"))</f>
        <v>SHLZ_M. guttatus004</v>
      </c>
      <c r="G767" s="21" t="s">
        <v>85</v>
      </c>
      <c r="H767" s="18" t="n">
        <v>1</v>
      </c>
      <c r="I767" s="22" t="n">
        <v>44321</v>
      </c>
      <c r="J767" s="2" t="s">
        <v>981</v>
      </c>
      <c r="K767" s="72" t="s">
        <v>1025</v>
      </c>
      <c r="L767" s="2" t="n">
        <v>1</v>
      </c>
      <c r="M767" s="2" t="n">
        <v>1</v>
      </c>
      <c r="N767" s="3" t="n">
        <v>45077</v>
      </c>
      <c r="O767" s="2" t="n">
        <v>48.3</v>
      </c>
      <c r="P767" s="2" t="n">
        <v>4</v>
      </c>
      <c r="Q767" s="62" t="str">
        <f aca="false">IF(ISBLANK(N767),"",IF(N767&lt;DATE(2023,5,1),"OLD","NEW"))</f>
        <v>NEW</v>
      </c>
      <c r="S767" s="33" t="n">
        <f aca="false">IF(COUNTIF('[1]Plate_1-2_LongFormat'!$A$2:$A$193,G767)&gt;0,1,0)</f>
        <v>0</v>
      </c>
      <c r="T767" s="33" t="n">
        <f aca="false">IF(COUNTIF([2]Attached_indexes!$C$2:$C$193,G767)&gt;0,1,0)</f>
        <v>0</v>
      </c>
      <c r="U767" s="59"/>
      <c r="V767" s="1" t="s">
        <v>982</v>
      </c>
    </row>
    <row r="768" customFormat="false" ht="15.75" hidden="false" customHeight="true" outlineLevel="0" collapsed="false">
      <c r="A768" s="18" t="s">
        <v>779</v>
      </c>
      <c r="B768" s="18" t="s">
        <v>779</v>
      </c>
      <c r="C768" s="18" t="s">
        <v>40</v>
      </c>
      <c r="E768" s="66" t="n">
        <v>4</v>
      </c>
      <c r="F768" s="21" t="str">
        <f aca="false">CONCATENATE(B768,"_",C768, TEXT(E768, "000"))</f>
        <v>SHLZ_M. guttatus004</v>
      </c>
      <c r="G768" s="21" t="s">
        <v>85</v>
      </c>
      <c r="H768" s="18" t="n">
        <v>1</v>
      </c>
      <c r="I768" s="22" t="n">
        <v>44321</v>
      </c>
      <c r="J768" s="2" t="s">
        <v>981</v>
      </c>
      <c r="K768" s="72" t="s">
        <v>1025</v>
      </c>
      <c r="L768" s="2" t="n">
        <v>1</v>
      </c>
      <c r="M768" s="2" t="n">
        <v>1</v>
      </c>
      <c r="N768" s="3" t="n">
        <v>45077</v>
      </c>
      <c r="O768" s="2" t="n">
        <v>48.3</v>
      </c>
      <c r="P768" s="2" t="n">
        <v>4</v>
      </c>
      <c r="Q768" s="62" t="str">
        <f aca="false">IF(ISBLANK(N768),"",IF(N768&lt;DATE(2023,5,1),"OLD","NEW"))</f>
        <v>NEW</v>
      </c>
      <c r="S768" s="33" t="n">
        <f aca="false">IF(COUNTIF('[1]Plate_1-2_LongFormat'!$A$2:$A$193,G768)&gt;0,1,0)</f>
        <v>0</v>
      </c>
      <c r="T768" s="33" t="n">
        <f aca="false">IF(COUNTIF([2]Attached_indexes!$C$2:$C$193,G768)&gt;0,1,0)</f>
        <v>0</v>
      </c>
      <c r="U768" s="59"/>
      <c r="V768" s="1" t="s">
        <v>982</v>
      </c>
    </row>
    <row r="769" customFormat="false" ht="15.75" hidden="false" customHeight="true" outlineLevel="0" collapsed="false">
      <c r="A769" s="18" t="s">
        <v>779</v>
      </c>
      <c r="B769" s="18" t="s">
        <v>779</v>
      </c>
      <c r="C769" s="18" t="s">
        <v>40</v>
      </c>
      <c r="E769" s="66" t="n">
        <v>4</v>
      </c>
      <c r="F769" s="21" t="str">
        <f aca="false">CONCATENATE(B769,"_",C769, TEXT(E769, "000"))</f>
        <v>SHLZ_M. guttatus004</v>
      </c>
      <c r="G769" s="21" t="s">
        <v>85</v>
      </c>
      <c r="H769" s="18" t="n">
        <v>1</v>
      </c>
      <c r="I769" s="22" t="n">
        <v>44321</v>
      </c>
      <c r="J769" s="2" t="s">
        <v>981</v>
      </c>
      <c r="K769" s="72" t="s">
        <v>1025</v>
      </c>
      <c r="L769" s="2" t="n">
        <v>1</v>
      </c>
      <c r="M769" s="2" t="n">
        <v>1</v>
      </c>
      <c r="N769" s="3" t="n">
        <v>45077</v>
      </c>
      <c r="O769" s="2" t="n">
        <v>48.3</v>
      </c>
      <c r="P769" s="2" t="n">
        <v>4</v>
      </c>
      <c r="Q769" s="62" t="str">
        <f aca="false">IF(ISBLANK(N769),"",IF(N769&lt;DATE(2023,5,1),"OLD","NEW"))</f>
        <v>NEW</v>
      </c>
      <c r="S769" s="33" t="n">
        <f aca="false">IF(COUNTIF('[1]Plate_1-2_LongFormat'!$A$2:$A$193,G769)&gt;0,1,0)</f>
        <v>0</v>
      </c>
      <c r="T769" s="33" t="n">
        <f aca="false">IF(COUNTIF([2]Attached_indexes!$C$2:$C$193,G769)&gt;0,1,0)</f>
        <v>0</v>
      </c>
      <c r="U769" s="59"/>
      <c r="V769" s="1" t="s">
        <v>982</v>
      </c>
    </row>
    <row r="770" customFormat="false" ht="15.75" hidden="false" customHeight="true" outlineLevel="0" collapsed="false">
      <c r="A770" s="18" t="s">
        <v>779</v>
      </c>
      <c r="B770" s="18" t="s">
        <v>779</v>
      </c>
      <c r="C770" s="18" t="s">
        <v>40</v>
      </c>
      <c r="D770" s="18" t="s">
        <v>88</v>
      </c>
      <c r="E770" s="66" t="n">
        <v>5</v>
      </c>
      <c r="F770" s="21" t="str">
        <f aca="false">CONCATENATE(B770,"_",C770, TEXT(E770, "000"))</f>
        <v>SHLZ_M. guttatus005</v>
      </c>
      <c r="G770" s="21" t="s">
        <v>90</v>
      </c>
      <c r="H770" s="18" t="n">
        <v>1</v>
      </c>
      <c r="I770" s="22" t="n">
        <v>44321</v>
      </c>
      <c r="J770" s="2" t="s">
        <v>981</v>
      </c>
      <c r="K770" s="72" t="s">
        <v>1025</v>
      </c>
      <c r="L770" s="2" t="n">
        <v>1</v>
      </c>
      <c r="M770" s="2" t="n">
        <v>1</v>
      </c>
      <c r="N770" s="3" t="n">
        <v>45076</v>
      </c>
      <c r="O770" s="2" t="n">
        <v>33.1</v>
      </c>
      <c r="P770" s="2" t="n">
        <v>3</v>
      </c>
      <c r="Q770" s="62" t="str">
        <f aca="false">IF(ISBLANK(N770),"",IF(N770&lt;DATE(2023,5,1),"OLD","NEW"))</f>
        <v>NEW</v>
      </c>
      <c r="R770" s="2" t="s">
        <v>1002</v>
      </c>
      <c r="S770" s="33" t="n">
        <f aca="false">IF(COUNTIF('[1]Plate_1-2_LongFormat'!$A$2:$A$193,G770)&gt;0,1,0)</f>
        <v>0</v>
      </c>
      <c r="T770" s="33" t="n">
        <f aca="false">IF(COUNTIF([2]Attached_indexes!$C$2:$C$193,G770)&gt;0,1,0)</f>
        <v>0</v>
      </c>
      <c r="U770" s="59"/>
      <c r="V770" s="1" t="s">
        <v>982</v>
      </c>
    </row>
    <row r="771" customFormat="false" ht="15.75" hidden="false" customHeight="true" outlineLevel="0" collapsed="false">
      <c r="A771" s="18" t="s">
        <v>779</v>
      </c>
      <c r="B771" s="18" t="s">
        <v>779</v>
      </c>
      <c r="C771" s="18" t="s">
        <v>40</v>
      </c>
      <c r="D771" s="18" t="s">
        <v>88</v>
      </c>
      <c r="E771" s="66" t="n">
        <v>5</v>
      </c>
      <c r="F771" s="21" t="str">
        <f aca="false">CONCATENATE(B771,"_",C771, TEXT(E771, "000"))</f>
        <v>SHLZ_M. guttatus005</v>
      </c>
      <c r="G771" s="21" t="s">
        <v>90</v>
      </c>
      <c r="H771" s="18" t="n">
        <v>1</v>
      </c>
      <c r="I771" s="22" t="n">
        <v>44321</v>
      </c>
      <c r="J771" s="2" t="s">
        <v>981</v>
      </c>
      <c r="K771" s="72" t="s">
        <v>1025</v>
      </c>
      <c r="L771" s="2" t="n">
        <v>1</v>
      </c>
      <c r="M771" s="2" t="n">
        <v>1</v>
      </c>
      <c r="N771" s="3" t="n">
        <v>45076</v>
      </c>
      <c r="O771" s="2" t="n">
        <v>33.1</v>
      </c>
      <c r="P771" s="2" t="n">
        <v>3</v>
      </c>
      <c r="Q771" s="62" t="str">
        <f aca="false">IF(ISBLANK(N771),"",IF(N771&lt;DATE(2023,5,1),"OLD","NEW"))</f>
        <v>NEW</v>
      </c>
      <c r="R771" s="2" t="s">
        <v>1002</v>
      </c>
      <c r="S771" s="33" t="n">
        <f aca="false">IF(COUNTIF('[1]Plate_1-2_LongFormat'!$A$2:$A$193,G771)&gt;0,1,0)</f>
        <v>0</v>
      </c>
      <c r="T771" s="33" t="n">
        <f aca="false">IF(COUNTIF([2]Attached_indexes!$C$2:$C$193,G771)&gt;0,1,0)</f>
        <v>0</v>
      </c>
      <c r="U771" s="59"/>
      <c r="V771" s="1" t="s">
        <v>982</v>
      </c>
    </row>
    <row r="772" customFormat="false" ht="15.75" hidden="false" customHeight="true" outlineLevel="0" collapsed="false">
      <c r="A772" s="18" t="s">
        <v>779</v>
      </c>
      <c r="B772" s="18" t="s">
        <v>779</v>
      </c>
      <c r="C772" s="18" t="s">
        <v>40</v>
      </c>
      <c r="D772" s="18" t="s">
        <v>88</v>
      </c>
      <c r="E772" s="66" t="n">
        <v>5</v>
      </c>
      <c r="F772" s="21" t="str">
        <f aca="false">CONCATENATE(B772,"_",C772, TEXT(E772, "000"))</f>
        <v>SHLZ_M. guttatus005</v>
      </c>
      <c r="G772" s="21" t="s">
        <v>90</v>
      </c>
      <c r="H772" s="18" t="n">
        <v>1</v>
      </c>
      <c r="I772" s="22" t="n">
        <v>44321</v>
      </c>
      <c r="J772" s="2" t="s">
        <v>981</v>
      </c>
      <c r="K772" s="72" t="s">
        <v>1025</v>
      </c>
      <c r="L772" s="2" t="n">
        <v>1</v>
      </c>
      <c r="M772" s="2" t="n">
        <v>1</v>
      </c>
      <c r="N772" s="3" t="n">
        <v>45076</v>
      </c>
      <c r="O772" s="2" t="n">
        <v>33.1</v>
      </c>
      <c r="P772" s="2" t="n">
        <v>3</v>
      </c>
      <c r="Q772" s="62" t="str">
        <f aca="false">IF(ISBLANK(N772),"",IF(N772&lt;DATE(2023,5,1),"OLD","NEW"))</f>
        <v>NEW</v>
      </c>
      <c r="R772" s="2" t="s">
        <v>1002</v>
      </c>
      <c r="S772" s="33" t="n">
        <f aca="false">IF(COUNTIF('[1]Plate_1-2_LongFormat'!$A$2:$A$193,G772)&gt;0,1,0)</f>
        <v>0</v>
      </c>
      <c r="T772" s="33" t="n">
        <f aca="false">IF(COUNTIF([2]Attached_indexes!$C$2:$C$193,G772)&gt;0,1,0)</f>
        <v>0</v>
      </c>
      <c r="U772" s="59"/>
      <c r="V772" s="1" t="s">
        <v>982</v>
      </c>
    </row>
    <row r="773" customFormat="false" ht="15.75" hidden="false" customHeight="true" outlineLevel="0" collapsed="false">
      <c r="A773" s="18" t="s">
        <v>779</v>
      </c>
      <c r="B773" s="18" t="s">
        <v>779</v>
      </c>
      <c r="C773" s="18" t="s">
        <v>31</v>
      </c>
      <c r="E773" s="66" t="n">
        <v>1</v>
      </c>
      <c r="F773" s="21" t="str">
        <f aca="false">CONCATENATE(B773,"_",C773,TEXT(E773, "000"))</f>
        <v>SHLZ_M. laciniatus001</v>
      </c>
      <c r="G773" s="21" t="s">
        <v>94</v>
      </c>
      <c r="H773" s="18" t="n">
        <v>1</v>
      </c>
      <c r="I773" s="22" t="n">
        <v>44321</v>
      </c>
      <c r="J773" s="2" t="s">
        <v>981</v>
      </c>
      <c r="K773" s="72" t="s">
        <v>1042</v>
      </c>
      <c r="L773" s="2" t="n">
        <v>1</v>
      </c>
      <c r="M773" s="69" t="n">
        <v>1</v>
      </c>
      <c r="N773" s="3" t="n">
        <v>45076</v>
      </c>
      <c r="O773" s="2" t="n">
        <v>5.84</v>
      </c>
      <c r="P773" s="2" t="n">
        <v>4</v>
      </c>
      <c r="Q773" s="62" t="str">
        <f aca="false">IF(ISBLANK(N773),"",IF(N773&lt;DATE(2023,5,1),"OLD","NEW"))</f>
        <v>NEW</v>
      </c>
      <c r="S773" s="33" t="n">
        <f aca="false">IF(COUNTIF('[1]Plate_1-2_LongFormat'!$A$2:$A$193,G773)&gt;0,1,0)</f>
        <v>0</v>
      </c>
      <c r="T773" s="33" t="n">
        <f aca="false">IF(COUNTIF([2]Attached_indexes!$C$2:$C$193,G773)&gt;0,1,0)</f>
        <v>0</v>
      </c>
      <c r="U773" s="59"/>
      <c r="V773" s="1" t="s">
        <v>982</v>
      </c>
    </row>
    <row r="774" customFormat="false" ht="15.75" hidden="false" customHeight="true" outlineLevel="0" collapsed="false">
      <c r="A774" s="18" t="s">
        <v>779</v>
      </c>
      <c r="B774" s="18" t="s">
        <v>779</v>
      </c>
      <c r="C774" s="18" t="s">
        <v>31</v>
      </c>
      <c r="E774" s="66" t="n">
        <v>1</v>
      </c>
      <c r="F774" s="21" t="str">
        <f aca="false">CONCATENATE(B774,"_",C774,TEXT(E774, "000"))</f>
        <v>SHLZ_M. laciniatus001</v>
      </c>
      <c r="G774" s="21" t="s">
        <v>94</v>
      </c>
      <c r="H774" s="18" t="n">
        <v>1</v>
      </c>
      <c r="I774" s="22" t="n">
        <v>44321</v>
      </c>
      <c r="J774" s="2" t="s">
        <v>981</v>
      </c>
      <c r="K774" s="72" t="s">
        <v>1042</v>
      </c>
      <c r="L774" s="2" t="n">
        <v>1</v>
      </c>
      <c r="M774" s="69" t="n">
        <v>1</v>
      </c>
      <c r="N774" s="3" t="n">
        <v>45076</v>
      </c>
      <c r="O774" s="2" t="n">
        <v>5.84</v>
      </c>
      <c r="P774" s="2" t="n">
        <v>4</v>
      </c>
      <c r="Q774" s="62" t="str">
        <f aca="false">IF(ISBLANK(N774),"",IF(N774&lt;DATE(2023,5,1),"OLD","NEW"))</f>
        <v>NEW</v>
      </c>
      <c r="S774" s="33" t="n">
        <f aca="false">IF(COUNTIF('[1]Plate_1-2_LongFormat'!$A$2:$A$193,G774)&gt;0,1,0)</f>
        <v>0</v>
      </c>
      <c r="T774" s="33" t="n">
        <f aca="false">IF(COUNTIF([2]Attached_indexes!$C$2:$C$193,G774)&gt;0,1,0)</f>
        <v>0</v>
      </c>
      <c r="U774" s="59"/>
      <c r="V774" s="1" t="s">
        <v>982</v>
      </c>
    </row>
    <row r="775" customFormat="false" ht="15.75" hidden="false" customHeight="true" outlineLevel="0" collapsed="false">
      <c r="A775" s="18" t="s">
        <v>779</v>
      </c>
      <c r="B775" s="18" t="s">
        <v>779</v>
      </c>
      <c r="C775" s="18" t="s">
        <v>31</v>
      </c>
      <c r="E775" s="66" t="n">
        <v>1</v>
      </c>
      <c r="F775" s="21" t="str">
        <f aca="false">CONCATENATE(B775,"_",C775,TEXT(E775, "000"))</f>
        <v>SHLZ_M. laciniatus001</v>
      </c>
      <c r="G775" s="21" t="s">
        <v>94</v>
      </c>
      <c r="H775" s="18" t="n">
        <v>1</v>
      </c>
      <c r="I775" s="22" t="n">
        <v>44321</v>
      </c>
      <c r="J775" s="2" t="s">
        <v>981</v>
      </c>
      <c r="K775" s="72" t="s">
        <v>1042</v>
      </c>
      <c r="L775" s="2" t="n">
        <v>1</v>
      </c>
      <c r="M775" s="69" t="n">
        <v>1</v>
      </c>
      <c r="N775" s="3" t="n">
        <v>45076</v>
      </c>
      <c r="O775" s="2" t="n">
        <v>5.84</v>
      </c>
      <c r="P775" s="2" t="n">
        <v>4</v>
      </c>
      <c r="Q775" s="62" t="str">
        <f aca="false">IF(ISBLANK(N775),"",IF(N775&lt;DATE(2023,5,1),"OLD","NEW"))</f>
        <v>NEW</v>
      </c>
      <c r="S775" s="33" t="n">
        <f aca="false">IF(COUNTIF('[1]Plate_1-2_LongFormat'!$A$2:$A$193,G775)&gt;0,1,0)</f>
        <v>0</v>
      </c>
      <c r="T775" s="33" t="n">
        <f aca="false">IF(COUNTIF([2]Attached_indexes!$C$2:$C$193,G775)&gt;0,1,0)</f>
        <v>0</v>
      </c>
      <c r="U775" s="59"/>
      <c r="V775" s="1" t="s">
        <v>982</v>
      </c>
    </row>
    <row r="776" customFormat="false" ht="15.75" hidden="false" customHeight="true" outlineLevel="0" collapsed="false">
      <c r="A776" s="18" t="s">
        <v>779</v>
      </c>
      <c r="B776" s="18" t="s">
        <v>779</v>
      </c>
      <c r="C776" s="18" t="s">
        <v>31</v>
      </c>
      <c r="E776" s="66" t="n">
        <v>2</v>
      </c>
      <c r="F776" s="21" t="str">
        <f aca="false">CONCATENATE(B776,"_",C776, TEXT(E776, "000"))</f>
        <v>SHLZ_M. laciniatus002</v>
      </c>
      <c r="G776" s="21" t="s">
        <v>98</v>
      </c>
      <c r="H776" s="18" t="n">
        <v>1</v>
      </c>
      <c r="I776" s="22" t="n">
        <v>44321</v>
      </c>
      <c r="J776" s="2" t="s">
        <v>981</v>
      </c>
      <c r="K776" s="72" t="s">
        <v>1025</v>
      </c>
      <c r="L776" s="2" t="n">
        <v>1</v>
      </c>
      <c r="M776" s="2" t="n">
        <v>1</v>
      </c>
      <c r="N776" s="3" t="n">
        <v>45077</v>
      </c>
      <c r="O776" s="2" t="n">
        <v>10.5</v>
      </c>
      <c r="P776" s="2" t="n">
        <v>4</v>
      </c>
      <c r="Q776" s="62" t="str">
        <f aca="false">IF(ISBLANK(N776),"",IF(N776&lt;DATE(2023,5,1),"OLD","NEW"))</f>
        <v>NEW</v>
      </c>
      <c r="S776" s="33" t="n">
        <f aca="false">IF(COUNTIF('[1]Plate_1-2_LongFormat'!$A$2:$A$193,G776)&gt;0,1,0)</f>
        <v>0</v>
      </c>
      <c r="T776" s="33" t="n">
        <f aca="false">IF(COUNTIF([2]Attached_indexes!$C$2:$C$193,G776)&gt;0,1,0)</f>
        <v>0</v>
      </c>
      <c r="U776" s="59"/>
      <c r="V776" s="1" t="s">
        <v>982</v>
      </c>
    </row>
    <row r="777" customFormat="false" ht="15.75" hidden="false" customHeight="true" outlineLevel="0" collapsed="false">
      <c r="A777" s="18" t="s">
        <v>779</v>
      </c>
      <c r="B777" s="18" t="s">
        <v>779</v>
      </c>
      <c r="C777" s="18" t="s">
        <v>31</v>
      </c>
      <c r="E777" s="66" t="n">
        <v>2</v>
      </c>
      <c r="F777" s="21" t="str">
        <f aca="false">CONCATENATE(B777,"_",C777, TEXT(E777, "000"))</f>
        <v>SHLZ_M. laciniatus002</v>
      </c>
      <c r="G777" s="21" t="s">
        <v>98</v>
      </c>
      <c r="H777" s="18" t="n">
        <v>1</v>
      </c>
      <c r="I777" s="22" t="n">
        <v>44321</v>
      </c>
      <c r="J777" s="2" t="s">
        <v>981</v>
      </c>
      <c r="K777" s="72" t="s">
        <v>1025</v>
      </c>
      <c r="L777" s="2" t="n">
        <v>1</v>
      </c>
      <c r="M777" s="2" t="n">
        <v>1</v>
      </c>
      <c r="N777" s="3" t="n">
        <v>45077</v>
      </c>
      <c r="O777" s="2" t="n">
        <v>10.5</v>
      </c>
      <c r="P777" s="2" t="n">
        <v>4</v>
      </c>
      <c r="Q777" s="62" t="str">
        <f aca="false">IF(ISBLANK(N777),"",IF(N777&lt;DATE(2023,5,1),"OLD","NEW"))</f>
        <v>NEW</v>
      </c>
      <c r="S777" s="33" t="n">
        <f aca="false">IF(COUNTIF('[1]Plate_1-2_LongFormat'!$A$2:$A$193,G777)&gt;0,1,0)</f>
        <v>0</v>
      </c>
      <c r="T777" s="33" t="n">
        <f aca="false">IF(COUNTIF([2]Attached_indexes!$C$2:$C$193,G777)&gt;0,1,0)</f>
        <v>0</v>
      </c>
      <c r="U777" s="59"/>
      <c r="V777" s="1" t="s">
        <v>982</v>
      </c>
    </row>
    <row r="778" customFormat="false" ht="15.75" hidden="false" customHeight="true" outlineLevel="0" collapsed="false">
      <c r="A778" s="18" t="s">
        <v>779</v>
      </c>
      <c r="B778" s="18" t="s">
        <v>779</v>
      </c>
      <c r="C778" s="18" t="s">
        <v>31</v>
      </c>
      <c r="E778" s="66" t="n">
        <v>2</v>
      </c>
      <c r="F778" s="21" t="str">
        <f aca="false">CONCATENATE(B778,"_",C778, TEXT(E778, "000"))</f>
        <v>SHLZ_M. laciniatus002</v>
      </c>
      <c r="G778" s="21" t="s">
        <v>98</v>
      </c>
      <c r="H778" s="18" t="n">
        <v>1</v>
      </c>
      <c r="I778" s="22" t="n">
        <v>44321</v>
      </c>
      <c r="J778" s="2" t="s">
        <v>981</v>
      </c>
      <c r="K778" s="72" t="s">
        <v>1025</v>
      </c>
      <c r="L778" s="2" t="n">
        <v>1</v>
      </c>
      <c r="M778" s="2" t="n">
        <v>1</v>
      </c>
      <c r="N778" s="3" t="n">
        <v>45077</v>
      </c>
      <c r="O778" s="2" t="n">
        <v>10.5</v>
      </c>
      <c r="P778" s="2" t="n">
        <v>4</v>
      </c>
      <c r="Q778" s="62" t="str">
        <f aca="false">IF(ISBLANK(N778),"",IF(N778&lt;DATE(2023,5,1),"OLD","NEW"))</f>
        <v>NEW</v>
      </c>
      <c r="S778" s="33" t="n">
        <f aca="false">IF(COUNTIF('[1]Plate_1-2_LongFormat'!$A$2:$A$193,G778)&gt;0,1,0)</f>
        <v>0</v>
      </c>
      <c r="T778" s="33" t="n">
        <f aca="false">IF(COUNTIF([2]Attached_indexes!$C$2:$C$193,G778)&gt;0,1,0)</f>
        <v>0</v>
      </c>
      <c r="U778" s="59"/>
      <c r="V778" s="1" t="s">
        <v>982</v>
      </c>
    </row>
    <row r="779" customFormat="false" ht="15.75" hidden="false" customHeight="true" outlineLevel="0" collapsed="false">
      <c r="A779" s="18" t="s">
        <v>779</v>
      </c>
      <c r="B779" s="18" t="s">
        <v>779</v>
      </c>
      <c r="C779" s="18" t="s">
        <v>31</v>
      </c>
      <c r="E779" s="66" t="n">
        <v>3</v>
      </c>
      <c r="F779" s="21" t="str">
        <f aca="false">CONCATENATE(B779,"_",C779, TEXT(E779, "000"))</f>
        <v>SHLZ_M. laciniatus003</v>
      </c>
      <c r="G779" s="21" t="s">
        <v>102</v>
      </c>
      <c r="H779" s="18" t="n">
        <v>1</v>
      </c>
      <c r="I779" s="22" t="n">
        <v>44321</v>
      </c>
      <c r="J779" s="2" t="s">
        <v>981</v>
      </c>
      <c r="K779" s="72" t="s">
        <v>1025</v>
      </c>
      <c r="L779" s="2" t="n">
        <v>1</v>
      </c>
      <c r="M779" s="2" t="n">
        <v>1</v>
      </c>
      <c r="N779" s="3" t="n">
        <v>45076</v>
      </c>
      <c r="O779" s="2" t="n">
        <v>8.65</v>
      </c>
      <c r="P779" s="2" t="n">
        <v>4</v>
      </c>
      <c r="Q779" s="62" t="str">
        <f aca="false">IF(ISBLANK(N779),"",IF(N779&lt;DATE(2023,5,1),"OLD","NEW"))</f>
        <v>NEW</v>
      </c>
      <c r="S779" s="33" t="n">
        <f aca="false">IF(COUNTIF('[1]Plate_1-2_LongFormat'!$A$2:$A$193,G779)&gt;0,1,0)</f>
        <v>0</v>
      </c>
      <c r="T779" s="33" t="n">
        <f aca="false">IF(COUNTIF([2]Attached_indexes!$C$2:$C$193,G779)&gt;0,1,0)</f>
        <v>0</v>
      </c>
      <c r="U779" s="59"/>
      <c r="V779" s="1" t="s">
        <v>982</v>
      </c>
    </row>
    <row r="780" customFormat="false" ht="15.75" hidden="false" customHeight="true" outlineLevel="0" collapsed="false">
      <c r="A780" s="18" t="s">
        <v>779</v>
      </c>
      <c r="B780" s="18" t="s">
        <v>779</v>
      </c>
      <c r="C780" s="18" t="s">
        <v>31</v>
      </c>
      <c r="E780" s="66" t="n">
        <v>3</v>
      </c>
      <c r="F780" s="21" t="str">
        <f aca="false">CONCATENATE(B780,"_",C780, TEXT(E780, "000"))</f>
        <v>SHLZ_M. laciniatus003</v>
      </c>
      <c r="G780" s="21" t="s">
        <v>102</v>
      </c>
      <c r="H780" s="18" t="n">
        <v>1</v>
      </c>
      <c r="I780" s="22" t="n">
        <v>44321</v>
      </c>
      <c r="J780" s="2" t="s">
        <v>981</v>
      </c>
      <c r="K780" s="72" t="s">
        <v>1025</v>
      </c>
      <c r="L780" s="2" t="n">
        <v>1</v>
      </c>
      <c r="M780" s="2" t="n">
        <v>1</v>
      </c>
      <c r="N780" s="3" t="n">
        <v>45076</v>
      </c>
      <c r="O780" s="2" t="n">
        <v>8.65</v>
      </c>
      <c r="P780" s="2" t="n">
        <v>4</v>
      </c>
      <c r="Q780" s="62" t="str">
        <f aca="false">IF(ISBLANK(N780),"",IF(N780&lt;DATE(2023,5,1),"OLD","NEW"))</f>
        <v>NEW</v>
      </c>
      <c r="S780" s="33" t="n">
        <f aca="false">IF(COUNTIF('[1]Plate_1-2_LongFormat'!$A$2:$A$193,G780)&gt;0,1,0)</f>
        <v>0</v>
      </c>
      <c r="T780" s="33" t="n">
        <f aca="false">IF(COUNTIF([2]Attached_indexes!$C$2:$C$193,G780)&gt;0,1,0)</f>
        <v>0</v>
      </c>
      <c r="U780" s="59"/>
      <c r="V780" s="1" t="s">
        <v>982</v>
      </c>
    </row>
    <row r="781" customFormat="false" ht="15.75" hidden="false" customHeight="true" outlineLevel="0" collapsed="false">
      <c r="A781" s="18" t="s">
        <v>779</v>
      </c>
      <c r="B781" s="18" t="s">
        <v>779</v>
      </c>
      <c r="C781" s="18" t="s">
        <v>31</v>
      </c>
      <c r="E781" s="66" t="n">
        <v>3</v>
      </c>
      <c r="F781" s="21" t="str">
        <f aca="false">CONCATENATE(B781,"_",C781, TEXT(E781, "000"))</f>
        <v>SHLZ_M. laciniatus003</v>
      </c>
      <c r="G781" s="21" t="s">
        <v>102</v>
      </c>
      <c r="H781" s="18" t="n">
        <v>1</v>
      </c>
      <c r="I781" s="22" t="n">
        <v>44321</v>
      </c>
      <c r="J781" s="2" t="s">
        <v>981</v>
      </c>
      <c r="K781" s="72" t="s">
        <v>1025</v>
      </c>
      <c r="L781" s="2" t="n">
        <v>1</v>
      </c>
      <c r="M781" s="2" t="n">
        <v>1</v>
      </c>
      <c r="N781" s="3" t="n">
        <v>45076</v>
      </c>
      <c r="O781" s="2" t="n">
        <v>8.65</v>
      </c>
      <c r="P781" s="2" t="n">
        <v>4</v>
      </c>
      <c r="Q781" s="62" t="str">
        <f aca="false">IF(ISBLANK(N781),"",IF(N781&lt;DATE(2023,5,1),"OLD","NEW"))</f>
        <v>NEW</v>
      </c>
      <c r="S781" s="33" t="n">
        <f aca="false">IF(COUNTIF('[1]Plate_1-2_LongFormat'!$A$2:$A$193,G781)&gt;0,1,0)</f>
        <v>0</v>
      </c>
      <c r="T781" s="33" t="n">
        <f aca="false">IF(COUNTIF([2]Attached_indexes!$C$2:$C$193,G781)&gt;0,1,0)</f>
        <v>0</v>
      </c>
      <c r="U781" s="59"/>
      <c r="V781" s="1" t="s">
        <v>982</v>
      </c>
    </row>
    <row r="782" customFormat="false" ht="15.75" hidden="false" customHeight="true" outlineLevel="0" collapsed="false">
      <c r="A782" s="18" t="s">
        <v>779</v>
      </c>
      <c r="B782" s="18" t="s">
        <v>779</v>
      </c>
      <c r="C782" s="18" t="s">
        <v>31</v>
      </c>
      <c r="E782" s="66" t="n">
        <v>4</v>
      </c>
      <c r="F782" s="21" t="str">
        <f aca="false">CONCATENATE(B782,"_",C782, TEXT(E782, "000"))</f>
        <v>SHLZ_M. laciniatus004</v>
      </c>
      <c r="G782" s="21" t="s">
        <v>105</v>
      </c>
      <c r="H782" s="18" t="n">
        <v>1</v>
      </c>
      <c r="I782" s="22" t="n">
        <v>44321</v>
      </c>
      <c r="J782" s="2" t="s">
        <v>981</v>
      </c>
      <c r="K782" s="72" t="s">
        <v>1025</v>
      </c>
      <c r="L782" s="2" t="n">
        <v>1</v>
      </c>
      <c r="M782" s="2" t="n">
        <v>1</v>
      </c>
      <c r="N782" s="3" t="n">
        <v>45077</v>
      </c>
      <c r="O782" s="2" t="n">
        <v>9.2</v>
      </c>
      <c r="P782" s="2" t="n">
        <v>4</v>
      </c>
      <c r="Q782" s="62" t="str">
        <f aca="false">IF(ISBLANK(N782),"",IF(N782&lt;DATE(2023,5,1),"OLD","NEW"))</f>
        <v>NEW</v>
      </c>
      <c r="S782" s="33" t="n">
        <f aca="false">IF(COUNTIF('[1]Plate_1-2_LongFormat'!$A$2:$A$193,G782)&gt;0,1,0)</f>
        <v>0</v>
      </c>
      <c r="T782" s="33" t="n">
        <f aca="false">IF(COUNTIF([2]Attached_indexes!$C$2:$C$193,G782)&gt;0,1,0)</f>
        <v>0</v>
      </c>
      <c r="U782" s="59"/>
      <c r="V782" s="1" t="s">
        <v>982</v>
      </c>
    </row>
    <row r="783" customFormat="false" ht="15.75" hidden="false" customHeight="true" outlineLevel="0" collapsed="false">
      <c r="A783" s="18" t="s">
        <v>779</v>
      </c>
      <c r="B783" s="18" t="s">
        <v>779</v>
      </c>
      <c r="C783" s="18" t="s">
        <v>31</v>
      </c>
      <c r="E783" s="66" t="n">
        <v>4</v>
      </c>
      <c r="F783" s="21" t="str">
        <f aca="false">CONCATENATE(B783,"_",C783, TEXT(E783, "000"))</f>
        <v>SHLZ_M. laciniatus004</v>
      </c>
      <c r="G783" s="21" t="s">
        <v>105</v>
      </c>
      <c r="H783" s="18" t="n">
        <v>1</v>
      </c>
      <c r="I783" s="22" t="n">
        <v>44321</v>
      </c>
      <c r="J783" s="2" t="s">
        <v>981</v>
      </c>
      <c r="K783" s="72" t="s">
        <v>1025</v>
      </c>
      <c r="L783" s="2" t="n">
        <v>1</v>
      </c>
      <c r="M783" s="2" t="n">
        <v>1</v>
      </c>
      <c r="N783" s="3" t="n">
        <v>45077</v>
      </c>
      <c r="O783" s="2" t="n">
        <v>9.2</v>
      </c>
      <c r="P783" s="2" t="n">
        <v>4</v>
      </c>
      <c r="Q783" s="62" t="str">
        <f aca="false">IF(ISBLANK(N783),"",IF(N783&lt;DATE(2023,5,1),"OLD","NEW"))</f>
        <v>NEW</v>
      </c>
      <c r="S783" s="33" t="n">
        <f aca="false">IF(COUNTIF('[1]Plate_1-2_LongFormat'!$A$2:$A$193,G783)&gt;0,1,0)</f>
        <v>0</v>
      </c>
      <c r="T783" s="33" t="n">
        <f aca="false">IF(COUNTIF([2]Attached_indexes!$C$2:$C$193,G783)&gt;0,1,0)</f>
        <v>0</v>
      </c>
      <c r="U783" s="59"/>
      <c r="V783" s="1" t="s">
        <v>982</v>
      </c>
    </row>
    <row r="784" customFormat="false" ht="15.75" hidden="false" customHeight="true" outlineLevel="0" collapsed="false">
      <c r="A784" s="18" t="s">
        <v>779</v>
      </c>
      <c r="B784" s="18" t="s">
        <v>779</v>
      </c>
      <c r="C784" s="18" t="s">
        <v>31</v>
      </c>
      <c r="E784" s="66" t="n">
        <v>4</v>
      </c>
      <c r="F784" s="21" t="str">
        <f aca="false">CONCATENATE(B784,"_",C784, TEXT(E784, "000"))</f>
        <v>SHLZ_M. laciniatus004</v>
      </c>
      <c r="G784" s="21" t="s">
        <v>105</v>
      </c>
      <c r="H784" s="18" t="n">
        <v>1</v>
      </c>
      <c r="I784" s="22" t="n">
        <v>44321</v>
      </c>
      <c r="J784" s="2" t="s">
        <v>981</v>
      </c>
      <c r="K784" s="72" t="s">
        <v>1025</v>
      </c>
      <c r="L784" s="2" t="n">
        <v>1</v>
      </c>
      <c r="M784" s="2" t="n">
        <v>1</v>
      </c>
      <c r="N784" s="3" t="n">
        <v>45077</v>
      </c>
      <c r="O784" s="2" t="n">
        <v>9.2</v>
      </c>
      <c r="P784" s="2" t="n">
        <v>4</v>
      </c>
      <c r="Q784" s="62" t="str">
        <f aca="false">IF(ISBLANK(N784),"",IF(N784&lt;DATE(2023,5,1),"OLD","NEW"))</f>
        <v>NEW</v>
      </c>
      <c r="S784" s="33" t="n">
        <f aca="false">IF(COUNTIF('[1]Plate_1-2_LongFormat'!$A$2:$A$193,G784)&gt;0,1,0)</f>
        <v>0</v>
      </c>
      <c r="T784" s="33" t="n">
        <f aca="false">IF(COUNTIF([2]Attached_indexes!$C$2:$C$193,G784)&gt;0,1,0)</f>
        <v>0</v>
      </c>
      <c r="U784" s="59"/>
      <c r="V784" s="1" t="s">
        <v>982</v>
      </c>
    </row>
    <row r="785" customFormat="false" ht="15.75" hidden="false" customHeight="true" outlineLevel="0" collapsed="false">
      <c r="A785" s="18" t="s">
        <v>779</v>
      </c>
      <c r="B785" s="18" t="s">
        <v>779</v>
      </c>
      <c r="C785" s="18" t="s">
        <v>31</v>
      </c>
      <c r="E785" s="66" t="n">
        <v>5</v>
      </c>
      <c r="F785" s="21" t="str">
        <f aca="false">CONCATENATE(B785,"_",C785, TEXT(E785, "000"))</f>
        <v>SHLZ_M. laciniatus005</v>
      </c>
      <c r="G785" s="21" t="s">
        <v>109</v>
      </c>
      <c r="H785" s="18" t="n">
        <v>1</v>
      </c>
      <c r="I785" s="22" t="n">
        <v>44321</v>
      </c>
      <c r="J785" s="2" t="s">
        <v>981</v>
      </c>
      <c r="K785" s="72" t="s">
        <v>1025</v>
      </c>
      <c r="L785" s="2" t="n">
        <v>1</v>
      </c>
      <c r="M785" s="2" t="n">
        <v>1</v>
      </c>
      <c r="N785" s="3" t="n">
        <v>45077</v>
      </c>
      <c r="O785" s="2" t="n">
        <v>7.69</v>
      </c>
      <c r="P785" s="2" t="n">
        <v>4</v>
      </c>
      <c r="Q785" s="62" t="str">
        <f aca="false">IF(ISBLANK(N785),"",IF(N785&lt;DATE(2023,5,1),"OLD","NEW"))</f>
        <v>NEW</v>
      </c>
      <c r="S785" s="33" t="n">
        <f aca="false">IF(COUNTIF('[1]Plate_1-2_LongFormat'!$A$2:$A$193,G785)&gt;0,1,0)</f>
        <v>0</v>
      </c>
      <c r="T785" s="33" t="n">
        <f aca="false">IF(COUNTIF([2]Attached_indexes!$C$2:$C$193,G785)&gt;0,1,0)</f>
        <v>0</v>
      </c>
      <c r="U785" s="59"/>
      <c r="V785" s="1" t="s">
        <v>982</v>
      </c>
    </row>
    <row r="786" customFormat="false" ht="15.75" hidden="false" customHeight="true" outlineLevel="0" collapsed="false">
      <c r="A786" s="18" t="s">
        <v>779</v>
      </c>
      <c r="B786" s="18" t="s">
        <v>779</v>
      </c>
      <c r="C786" s="18" t="s">
        <v>31</v>
      </c>
      <c r="E786" s="66" t="n">
        <v>5</v>
      </c>
      <c r="F786" s="21" t="str">
        <f aca="false">CONCATENATE(B786,"_",C786, TEXT(E786, "000"))</f>
        <v>SHLZ_M. laciniatus005</v>
      </c>
      <c r="G786" s="21" t="s">
        <v>109</v>
      </c>
      <c r="H786" s="18" t="n">
        <v>1</v>
      </c>
      <c r="I786" s="22" t="n">
        <v>44321</v>
      </c>
      <c r="J786" s="2" t="s">
        <v>981</v>
      </c>
      <c r="K786" s="72" t="s">
        <v>1025</v>
      </c>
      <c r="L786" s="2" t="n">
        <v>1</v>
      </c>
      <c r="M786" s="2" t="n">
        <v>1</v>
      </c>
      <c r="N786" s="3" t="n">
        <v>45077</v>
      </c>
      <c r="O786" s="2" t="n">
        <v>7.69</v>
      </c>
      <c r="P786" s="2" t="n">
        <v>4</v>
      </c>
      <c r="Q786" s="62" t="str">
        <f aca="false">IF(ISBLANK(N786),"",IF(N786&lt;DATE(2023,5,1),"OLD","NEW"))</f>
        <v>NEW</v>
      </c>
      <c r="S786" s="33" t="n">
        <f aca="false">IF(COUNTIF('[1]Plate_1-2_LongFormat'!$A$2:$A$193,G786)&gt;0,1,0)</f>
        <v>0</v>
      </c>
      <c r="T786" s="33" t="n">
        <f aca="false">IF(COUNTIF([2]Attached_indexes!$C$2:$C$193,G786)&gt;0,1,0)</f>
        <v>0</v>
      </c>
      <c r="U786" s="59"/>
      <c r="V786" s="1" t="s">
        <v>982</v>
      </c>
    </row>
    <row r="787" customFormat="false" ht="15.75" hidden="false" customHeight="true" outlineLevel="0" collapsed="false">
      <c r="A787" s="18" t="s">
        <v>779</v>
      </c>
      <c r="B787" s="18" t="s">
        <v>779</v>
      </c>
      <c r="C787" s="18" t="s">
        <v>31</v>
      </c>
      <c r="E787" s="66" t="n">
        <v>5</v>
      </c>
      <c r="F787" s="21" t="str">
        <f aca="false">CONCATENATE(B787,"_",C787, TEXT(E787, "000"))</f>
        <v>SHLZ_M. laciniatus005</v>
      </c>
      <c r="G787" s="21" t="s">
        <v>109</v>
      </c>
      <c r="H787" s="18" t="n">
        <v>1</v>
      </c>
      <c r="I787" s="22" t="n">
        <v>44321</v>
      </c>
      <c r="J787" s="2" t="s">
        <v>981</v>
      </c>
      <c r="K787" s="72" t="s">
        <v>1025</v>
      </c>
      <c r="L787" s="2" t="n">
        <v>1</v>
      </c>
      <c r="M787" s="2" t="n">
        <v>1</v>
      </c>
      <c r="N787" s="3" t="n">
        <v>45077</v>
      </c>
      <c r="O787" s="2" t="n">
        <v>7.69</v>
      </c>
      <c r="P787" s="2" t="n">
        <v>4</v>
      </c>
      <c r="Q787" s="62" t="str">
        <f aca="false">IF(ISBLANK(N787),"",IF(N787&lt;DATE(2023,5,1),"OLD","NEW"))</f>
        <v>NEW</v>
      </c>
      <c r="S787" s="33" t="n">
        <f aca="false">IF(COUNTIF('[1]Plate_1-2_LongFormat'!$A$2:$A$193,G787)&gt;0,1,0)</f>
        <v>0</v>
      </c>
      <c r="T787" s="33" t="n">
        <f aca="false">IF(COUNTIF([2]Attached_indexes!$C$2:$C$193,G787)&gt;0,1,0)</f>
        <v>0</v>
      </c>
      <c r="U787" s="59"/>
      <c r="V787" s="1" t="s">
        <v>982</v>
      </c>
    </row>
    <row r="788" customFormat="false" ht="15.75" hidden="false" customHeight="true" outlineLevel="0" collapsed="false">
      <c r="A788" s="18" t="s">
        <v>674</v>
      </c>
      <c r="B788" s="18" t="s">
        <v>674</v>
      </c>
      <c r="C788" s="18" t="s">
        <v>31</v>
      </c>
      <c r="E788" s="66" t="n">
        <v>1</v>
      </c>
      <c r="F788" s="21" t="str">
        <f aca="false">CONCATENATE(B788,"_",C788, TEXT(E788, "000"))</f>
        <v>SPLB_M. laciniatus001</v>
      </c>
      <c r="G788" s="21" t="s">
        <v>675</v>
      </c>
      <c r="H788" s="18" t="n">
        <v>1</v>
      </c>
      <c r="I788" s="22" t="n">
        <v>44714</v>
      </c>
      <c r="J788" s="2" t="s">
        <v>981</v>
      </c>
      <c r="L788" s="2" t="n">
        <v>1</v>
      </c>
      <c r="M788" s="2" t="n">
        <v>1</v>
      </c>
      <c r="N788" s="3" t="n">
        <v>44799</v>
      </c>
      <c r="O788" s="64" t="n">
        <v>0.21</v>
      </c>
      <c r="P788" s="64" t="n">
        <v>1</v>
      </c>
      <c r="Q788" s="62" t="str">
        <f aca="false">IF(ISBLANK(N788),"",IF(N788&lt;DATE(2023,5,1),"OLD","NEW"))</f>
        <v>OLD</v>
      </c>
      <c r="S788" s="33" t="n">
        <f aca="false">IF(COUNTIF('[1]Plate_1-2_LongFormat'!$A$2:$A$193,G788)&gt;0,1,0)</f>
        <v>1</v>
      </c>
      <c r="T788" s="33" t="n">
        <f aca="false">IF(COUNTIF([2]Attached_indexes!$C$2:$C$193,G788)&gt;0,1,0)</f>
        <v>1</v>
      </c>
      <c r="U788" s="59"/>
      <c r="V788" s="1" t="s">
        <v>982</v>
      </c>
    </row>
    <row r="789" customFormat="false" ht="15.75" hidden="false" customHeight="true" outlineLevel="0" collapsed="false">
      <c r="A789" s="18" t="s">
        <v>674</v>
      </c>
      <c r="B789" s="18" t="s">
        <v>674</v>
      </c>
      <c r="C789" s="18" t="s">
        <v>31</v>
      </c>
      <c r="E789" s="66" t="n">
        <v>1</v>
      </c>
      <c r="F789" s="21" t="str">
        <f aca="false">CONCATENATE(B789,"_",C789, TEXT(E789, "000"))</f>
        <v>SPLB_M. laciniatus001</v>
      </c>
      <c r="G789" s="21" t="s">
        <v>675</v>
      </c>
      <c r="H789" s="18" t="n">
        <v>1</v>
      </c>
      <c r="I789" s="22" t="n">
        <v>44714</v>
      </c>
      <c r="J789" s="2" t="s">
        <v>981</v>
      </c>
      <c r="L789" s="2" t="n">
        <v>1</v>
      </c>
      <c r="M789" s="2" t="n">
        <v>1</v>
      </c>
      <c r="N789" s="3" t="n">
        <v>44799</v>
      </c>
      <c r="O789" s="64" t="n">
        <v>0.21</v>
      </c>
      <c r="P789" s="64" t="n">
        <v>1</v>
      </c>
      <c r="Q789" s="62" t="str">
        <f aca="false">IF(ISBLANK(N789),"",IF(N789&lt;DATE(2023,5,1),"OLD","NEW"))</f>
        <v>OLD</v>
      </c>
      <c r="S789" s="33" t="n">
        <f aca="false">IF(COUNTIF('[1]Plate_1-2_LongFormat'!$A$2:$A$193,G789)&gt;0,1,0)</f>
        <v>1</v>
      </c>
      <c r="T789" s="33" t="n">
        <f aca="false">IF(COUNTIF([2]Attached_indexes!$C$2:$C$193,G789)&gt;0,1,0)</f>
        <v>1</v>
      </c>
      <c r="U789" s="59"/>
      <c r="V789" s="1" t="s">
        <v>982</v>
      </c>
    </row>
    <row r="790" customFormat="false" ht="15.75" hidden="false" customHeight="true" outlineLevel="0" collapsed="false">
      <c r="A790" s="18" t="s">
        <v>674</v>
      </c>
      <c r="B790" s="18" t="s">
        <v>674</v>
      </c>
      <c r="C790" s="18" t="s">
        <v>31</v>
      </c>
      <c r="E790" s="66" t="n">
        <v>1</v>
      </c>
      <c r="F790" s="21" t="str">
        <f aca="false">CONCATENATE(B790,"_",C790, TEXT(E790, "000"))</f>
        <v>SPLB_M. laciniatus001</v>
      </c>
      <c r="G790" s="21" t="s">
        <v>675</v>
      </c>
      <c r="H790" s="18" t="n">
        <v>1</v>
      </c>
      <c r="I790" s="22" t="n">
        <v>44714</v>
      </c>
      <c r="J790" s="2" t="s">
        <v>981</v>
      </c>
      <c r="L790" s="2" t="n">
        <v>1</v>
      </c>
      <c r="M790" s="2" t="n">
        <v>1</v>
      </c>
      <c r="N790" s="3" t="n">
        <v>44799</v>
      </c>
      <c r="O790" s="64" t="n">
        <v>0.21</v>
      </c>
      <c r="P790" s="64" t="n">
        <v>1</v>
      </c>
      <c r="Q790" s="62" t="str">
        <f aca="false">IF(ISBLANK(N790),"",IF(N790&lt;DATE(2023,5,1),"OLD","NEW"))</f>
        <v>OLD</v>
      </c>
      <c r="S790" s="33" t="n">
        <f aca="false">IF(COUNTIF('[1]Plate_1-2_LongFormat'!$A$2:$A$193,G790)&gt;0,1,0)</f>
        <v>1</v>
      </c>
      <c r="T790" s="33" t="n">
        <f aca="false">IF(COUNTIF([2]Attached_indexes!$C$2:$C$193,G790)&gt;0,1,0)</f>
        <v>1</v>
      </c>
      <c r="U790" s="59"/>
      <c r="V790" s="1" t="s">
        <v>982</v>
      </c>
    </row>
    <row r="791" customFormat="false" ht="15.75" hidden="false" customHeight="true" outlineLevel="0" collapsed="false">
      <c r="A791" s="18" t="s">
        <v>674</v>
      </c>
      <c r="B791" s="18" t="s">
        <v>674</v>
      </c>
      <c r="C791" s="18" t="s">
        <v>31</v>
      </c>
      <c r="E791" s="66" t="n">
        <v>2</v>
      </c>
      <c r="F791" s="21" t="str">
        <f aca="false">CONCATENATE(B791,"_",C791, TEXT(E791, "000"))</f>
        <v>SPLB_M. laciniatus002</v>
      </c>
      <c r="G791" s="21" t="s">
        <v>678</v>
      </c>
      <c r="H791" s="18" t="n">
        <v>1</v>
      </c>
      <c r="I791" s="22" t="n">
        <v>44714</v>
      </c>
      <c r="J791" s="2" t="s">
        <v>981</v>
      </c>
      <c r="L791" s="2" t="n">
        <v>1</v>
      </c>
      <c r="M791" s="2" t="n">
        <v>1</v>
      </c>
      <c r="N791" s="3" t="n">
        <v>44834</v>
      </c>
      <c r="O791" s="2" t="n">
        <v>10.4</v>
      </c>
      <c r="P791" s="2" t="n">
        <v>1</v>
      </c>
      <c r="Q791" s="62" t="str">
        <f aca="false">IF(ISBLANK(N791),"",IF(N791&lt;DATE(2023,5,1),"OLD","NEW"))</f>
        <v>OLD</v>
      </c>
      <c r="S791" s="33" t="n">
        <f aca="false">IF(COUNTIF('[1]Plate_1-2_LongFormat'!$A$2:$A$193,G791)&gt;0,1,0)</f>
        <v>1</v>
      </c>
      <c r="T791" s="33" t="n">
        <f aca="false">IF(COUNTIF([2]Attached_indexes!$C$2:$C$193,G791)&gt;0,1,0)</f>
        <v>1</v>
      </c>
      <c r="U791" s="59"/>
      <c r="V791" s="1" t="s">
        <v>982</v>
      </c>
    </row>
    <row r="792" customFormat="false" ht="15.75" hidden="false" customHeight="true" outlineLevel="0" collapsed="false">
      <c r="A792" s="18" t="s">
        <v>674</v>
      </c>
      <c r="B792" s="18" t="s">
        <v>674</v>
      </c>
      <c r="C792" s="18" t="s">
        <v>31</v>
      </c>
      <c r="E792" s="66" t="n">
        <v>2</v>
      </c>
      <c r="F792" s="21" t="str">
        <f aca="false">CONCATENATE(B792,"_",C792, TEXT(E792, "000"))</f>
        <v>SPLB_M. laciniatus002</v>
      </c>
      <c r="G792" s="21" t="s">
        <v>678</v>
      </c>
      <c r="H792" s="18" t="n">
        <v>1</v>
      </c>
      <c r="I792" s="22" t="n">
        <v>44714</v>
      </c>
      <c r="J792" s="2" t="s">
        <v>981</v>
      </c>
      <c r="L792" s="2" t="n">
        <v>1</v>
      </c>
      <c r="M792" s="2" t="n">
        <v>1</v>
      </c>
      <c r="N792" s="3" t="n">
        <v>44834</v>
      </c>
      <c r="O792" s="2" t="n">
        <v>10.4</v>
      </c>
      <c r="P792" s="2" t="n">
        <v>1</v>
      </c>
      <c r="Q792" s="62" t="str">
        <f aca="false">IF(ISBLANK(N792),"",IF(N792&lt;DATE(2023,5,1),"OLD","NEW"))</f>
        <v>OLD</v>
      </c>
      <c r="S792" s="33" t="n">
        <f aca="false">IF(COUNTIF('[1]Plate_1-2_LongFormat'!$A$2:$A$193,G792)&gt;0,1,0)</f>
        <v>1</v>
      </c>
      <c r="T792" s="33" t="n">
        <f aca="false">IF(COUNTIF([2]Attached_indexes!$C$2:$C$193,G792)&gt;0,1,0)</f>
        <v>1</v>
      </c>
      <c r="U792" s="59"/>
      <c r="V792" s="1" t="s">
        <v>982</v>
      </c>
    </row>
    <row r="793" customFormat="false" ht="15.75" hidden="false" customHeight="true" outlineLevel="0" collapsed="false">
      <c r="A793" s="18" t="s">
        <v>674</v>
      </c>
      <c r="B793" s="18" t="s">
        <v>674</v>
      </c>
      <c r="C793" s="18" t="s">
        <v>31</v>
      </c>
      <c r="E793" s="66" t="n">
        <v>2</v>
      </c>
      <c r="F793" s="21" t="str">
        <f aca="false">CONCATENATE(B793,"_",C793, TEXT(E793, "000"))</f>
        <v>SPLB_M. laciniatus002</v>
      </c>
      <c r="G793" s="21" t="s">
        <v>678</v>
      </c>
      <c r="H793" s="18" t="n">
        <v>1</v>
      </c>
      <c r="I793" s="22" t="n">
        <v>44714</v>
      </c>
      <c r="J793" s="2" t="s">
        <v>981</v>
      </c>
      <c r="L793" s="2" t="n">
        <v>1</v>
      </c>
      <c r="M793" s="2" t="n">
        <v>1</v>
      </c>
      <c r="N793" s="3" t="n">
        <v>44834</v>
      </c>
      <c r="O793" s="2" t="n">
        <v>10.4</v>
      </c>
      <c r="P793" s="2" t="n">
        <v>1</v>
      </c>
      <c r="Q793" s="62" t="str">
        <f aca="false">IF(ISBLANK(N793),"",IF(N793&lt;DATE(2023,5,1),"OLD","NEW"))</f>
        <v>OLD</v>
      </c>
      <c r="S793" s="33" t="n">
        <f aca="false">IF(COUNTIF('[1]Plate_1-2_LongFormat'!$A$2:$A$193,G793)&gt;0,1,0)</f>
        <v>1</v>
      </c>
      <c r="T793" s="33" t="n">
        <f aca="false">IF(COUNTIF([2]Attached_indexes!$C$2:$C$193,G793)&gt;0,1,0)</f>
        <v>1</v>
      </c>
      <c r="U793" s="59"/>
      <c r="V793" s="1" t="s">
        <v>982</v>
      </c>
    </row>
    <row r="794" customFormat="false" ht="15.75" hidden="false" customHeight="true" outlineLevel="0" collapsed="false">
      <c r="A794" s="18" t="s">
        <v>674</v>
      </c>
      <c r="B794" s="18" t="s">
        <v>674</v>
      </c>
      <c r="C794" s="18" t="s">
        <v>31</v>
      </c>
      <c r="E794" s="66" t="n">
        <v>3</v>
      </c>
      <c r="F794" s="21" t="str">
        <f aca="false">CONCATENATE(B794,"_",C794, TEXT(E794, "000"))</f>
        <v>SPLB_M. laciniatus003</v>
      </c>
      <c r="G794" s="21" t="s">
        <v>680</v>
      </c>
      <c r="H794" s="18" t="n">
        <v>1</v>
      </c>
      <c r="I794" s="22" t="n">
        <v>44714</v>
      </c>
      <c r="J794" s="2" t="s">
        <v>981</v>
      </c>
      <c r="L794" s="2" t="n">
        <v>1</v>
      </c>
      <c r="M794" s="2" t="n">
        <v>1</v>
      </c>
      <c r="N794" s="3" t="n">
        <v>44842</v>
      </c>
      <c r="O794" s="2" t="n">
        <v>11.4</v>
      </c>
      <c r="Q794" s="62" t="str">
        <f aca="false">IF(ISBLANK(N794),"",IF(N794&lt;DATE(2023,5,1),"OLD","NEW"))</f>
        <v>OLD</v>
      </c>
      <c r="S794" s="33" t="n">
        <f aca="false">IF(COUNTIF('[1]Plate_1-2_LongFormat'!$A$2:$A$193,G794)&gt;0,1,0)</f>
        <v>1</v>
      </c>
      <c r="T794" s="33" t="n">
        <f aca="false">IF(COUNTIF([2]Attached_indexes!$C$2:$C$193,G794)&gt;0,1,0)</f>
        <v>1</v>
      </c>
      <c r="U794" s="59"/>
      <c r="V794" s="1" t="s">
        <v>982</v>
      </c>
    </row>
    <row r="795" customFormat="false" ht="15.75" hidden="false" customHeight="true" outlineLevel="0" collapsed="false">
      <c r="A795" s="18" t="s">
        <v>674</v>
      </c>
      <c r="B795" s="18" t="s">
        <v>674</v>
      </c>
      <c r="C795" s="18" t="s">
        <v>31</v>
      </c>
      <c r="E795" s="66" t="n">
        <v>3</v>
      </c>
      <c r="F795" s="21" t="str">
        <f aca="false">CONCATENATE(B795,"_",C795, TEXT(E795, "000"))</f>
        <v>SPLB_M. laciniatus003</v>
      </c>
      <c r="G795" s="21" t="s">
        <v>680</v>
      </c>
      <c r="H795" s="18" t="n">
        <v>1</v>
      </c>
      <c r="I795" s="22" t="n">
        <v>44714</v>
      </c>
      <c r="J795" s="2" t="s">
        <v>981</v>
      </c>
      <c r="L795" s="2" t="n">
        <v>1</v>
      </c>
      <c r="M795" s="2" t="n">
        <v>1</v>
      </c>
      <c r="N795" s="3" t="n">
        <v>44842</v>
      </c>
      <c r="O795" s="2" t="n">
        <v>11.4</v>
      </c>
      <c r="Q795" s="62" t="str">
        <f aca="false">IF(ISBLANK(N795),"",IF(N795&lt;DATE(2023,5,1),"OLD","NEW"))</f>
        <v>OLD</v>
      </c>
      <c r="S795" s="33" t="n">
        <f aca="false">IF(COUNTIF('[1]Plate_1-2_LongFormat'!$A$2:$A$193,G795)&gt;0,1,0)</f>
        <v>1</v>
      </c>
      <c r="T795" s="33" t="n">
        <f aca="false">IF(COUNTIF([2]Attached_indexes!$C$2:$C$193,G795)&gt;0,1,0)</f>
        <v>1</v>
      </c>
      <c r="U795" s="59"/>
      <c r="V795" s="1" t="s">
        <v>982</v>
      </c>
    </row>
    <row r="796" customFormat="false" ht="15.75" hidden="false" customHeight="true" outlineLevel="0" collapsed="false">
      <c r="A796" s="18" t="s">
        <v>674</v>
      </c>
      <c r="B796" s="18" t="s">
        <v>674</v>
      </c>
      <c r="C796" s="18" t="s">
        <v>31</v>
      </c>
      <c r="E796" s="66" t="n">
        <v>3</v>
      </c>
      <c r="F796" s="21" t="str">
        <f aca="false">CONCATENATE(B796,"_",C796, TEXT(E796, "000"))</f>
        <v>SPLB_M. laciniatus003</v>
      </c>
      <c r="G796" s="21" t="s">
        <v>680</v>
      </c>
      <c r="H796" s="18" t="n">
        <v>1</v>
      </c>
      <c r="I796" s="22" t="n">
        <v>44714</v>
      </c>
      <c r="J796" s="2" t="s">
        <v>981</v>
      </c>
      <c r="L796" s="2" t="n">
        <v>1</v>
      </c>
      <c r="M796" s="2" t="n">
        <v>1</v>
      </c>
      <c r="N796" s="3" t="n">
        <v>44842</v>
      </c>
      <c r="O796" s="2" t="n">
        <v>11.4</v>
      </c>
      <c r="Q796" s="62" t="str">
        <f aca="false">IF(ISBLANK(N796),"",IF(N796&lt;DATE(2023,5,1),"OLD","NEW"))</f>
        <v>OLD</v>
      </c>
      <c r="S796" s="33" t="n">
        <f aca="false">IF(COUNTIF('[1]Plate_1-2_LongFormat'!$A$2:$A$193,G796)&gt;0,1,0)</f>
        <v>1</v>
      </c>
      <c r="T796" s="33" t="n">
        <f aca="false">IF(COUNTIF([2]Attached_indexes!$C$2:$C$193,G796)&gt;0,1,0)</f>
        <v>1</v>
      </c>
      <c r="U796" s="59"/>
      <c r="V796" s="1" t="s">
        <v>982</v>
      </c>
    </row>
    <row r="797" customFormat="false" ht="15.75" hidden="false" customHeight="true" outlineLevel="0" collapsed="false">
      <c r="A797" s="18" t="s">
        <v>674</v>
      </c>
      <c r="B797" s="18" t="s">
        <v>674</v>
      </c>
      <c r="C797" s="18" t="s">
        <v>31</v>
      </c>
      <c r="E797" s="66" t="n">
        <v>4</v>
      </c>
      <c r="F797" s="21" t="str">
        <f aca="false">CONCATENATE(B797,"_",C797, TEXT(E797, "000"))</f>
        <v>SPLB_M. laciniatus004</v>
      </c>
      <c r="G797" s="21" t="s">
        <v>681</v>
      </c>
      <c r="H797" s="18" t="n">
        <v>1</v>
      </c>
      <c r="I797" s="22" t="n">
        <v>44714</v>
      </c>
      <c r="J797" s="2" t="s">
        <v>981</v>
      </c>
      <c r="L797" s="2" t="n">
        <v>1</v>
      </c>
      <c r="M797" s="2" t="n">
        <v>1</v>
      </c>
      <c r="N797" s="3" t="n">
        <v>45058</v>
      </c>
      <c r="O797" s="2" t="n">
        <v>17</v>
      </c>
      <c r="Q797" s="62" t="str">
        <f aca="false">IF(ISBLANK(N797),"",IF(N797&lt;DATE(2023,5,1),"OLD","NEW"))</f>
        <v>NEW</v>
      </c>
      <c r="S797" s="33" t="n">
        <f aca="false">IF(COUNTIF('[1]Plate_1-2_LongFormat'!$A$2:$A$193,G797)&gt;0,1,0)</f>
        <v>0</v>
      </c>
      <c r="T797" s="33" t="n">
        <f aca="false">IF(COUNTIF([2]Attached_indexes!$C$2:$C$193,G797)&gt;0,1,0)</f>
        <v>0</v>
      </c>
      <c r="U797" s="59"/>
      <c r="V797" s="1" t="s">
        <v>982</v>
      </c>
    </row>
    <row r="798" customFormat="false" ht="15.75" hidden="false" customHeight="true" outlineLevel="0" collapsed="false">
      <c r="A798" s="18" t="s">
        <v>674</v>
      </c>
      <c r="B798" s="18" t="s">
        <v>674</v>
      </c>
      <c r="C798" s="18" t="s">
        <v>31</v>
      </c>
      <c r="E798" s="66" t="n">
        <v>4</v>
      </c>
      <c r="F798" s="21" t="str">
        <f aca="false">CONCATENATE(B798,"_",C798, TEXT(E798, "000"))</f>
        <v>SPLB_M. laciniatus004</v>
      </c>
      <c r="G798" s="21" t="s">
        <v>681</v>
      </c>
      <c r="H798" s="18" t="n">
        <v>1</v>
      </c>
      <c r="I798" s="22" t="n">
        <v>44714</v>
      </c>
      <c r="J798" s="2" t="s">
        <v>981</v>
      </c>
      <c r="L798" s="2" t="n">
        <v>1</v>
      </c>
      <c r="M798" s="2" t="n">
        <v>1</v>
      </c>
      <c r="N798" s="3" t="n">
        <v>45058</v>
      </c>
      <c r="O798" s="2" t="n">
        <v>17</v>
      </c>
      <c r="Q798" s="62" t="str">
        <f aca="false">IF(ISBLANK(N798),"",IF(N798&lt;DATE(2023,5,1),"OLD","NEW"))</f>
        <v>NEW</v>
      </c>
      <c r="S798" s="33" t="n">
        <f aca="false">IF(COUNTIF('[1]Plate_1-2_LongFormat'!$A$2:$A$193,G798)&gt;0,1,0)</f>
        <v>0</v>
      </c>
      <c r="T798" s="33" t="n">
        <f aca="false">IF(COUNTIF([2]Attached_indexes!$C$2:$C$193,G798)&gt;0,1,0)</f>
        <v>0</v>
      </c>
      <c r="U798" s="59"/>
      <c r="V798" s="1" t="s">
        <v>982</v>
      </c>
    </row>
    <row r="799" customFormat="false" ht="15.75" hidden="false" customHeight="true" outlineLevel="0" collapsed="false">
      <c r="A799" s="18" t="s">
        <v>674</v>
      </c>
      <c r="B799" s="18" t="s">
        <v>674</v>
      </c>
      <c r="C799" s="18" t="s">
        <v>31</v>
      </c>
      <c r="E799" s="66" t="n">
        <v>4</v>
      </c>
      <c r="F799" s="21" t="str">
        <f aca="false">CONCATENATE(B799,"_",C799, TEXT(E799, "000"))</f>
        <v>SPLB_M. laciniatus004</v>
      </c>
      <c r="G799" s="21" t="s">
        <v>681</v>
      </c>
      <c r="H799" s="18" t="n">
        <v>1</v>
      </c>
      <c r="I799" s="22" t="n">
        <v>44714</v>
      </c>
      <c r="J799" s="2" t="s">
        <v>981</v>
      </c>
      <c r="L799" s="2" t="n">
        <v>1</v>
      </c>
      <c r="M799" s="2" t="n">
        <v>1</v>
      </c>
      <c r="N799" s="3" t="n">
        <v>45058</v>
      </c>
      <c r="O799" s="2" t="n">
        <v>17</v>
      </c>
      <c r="Q799" s="62" t="str">
        <f aca="false">IF(ISBLANK(N799),"",IF(N799&lt;DATE(2023,5,1),"OLD","NEW"))</f>
        <v>NEW</v>
      </c>
      <c r="S799" s="33" t="n">
        <f aca="false">IF(COUNTIF('[1]Plate_1-2_LongFormat'!$A$2:$A$193,G799)&gt;0,1,0)</f>
        <v>0</v>
      </c>
      <c r="T799" s="33" t="n">
        <f aca="false">IF(COUNTIF([2]Attached_indexes!$C$2:$C$193,G799)&gt;0,1,0)</f>
        <v>0</v>
      </c>
      <c r="U799" s="59"/>
      <c r="V799" s="1" t="s">
        <v>982</v>
      </c>
    </row>
    <row r="800" customFormat="false" ht="15.75" hidden="false" customHeight="true" outlineLevel="0" collapsed="false">
      <c r="A800" s="18" t="s">
        <v>674</v>
      </c>
      <c r="B800" s="18" t="s">
        <v>674</v>
      </c>
      <c r="C800" s="18" t="s">
        <v>31</v>
      </c>
      <c r="E800" s="66" t="n">
        <v>5</v>
      </c>
      <c r="F800" s="21" t="str">
        <f aca="false">CONCATENATE(B800,"_",C800, TEXT(E800, "000"))</f>
        <v>SPLB_M. laciniatus005</v>
      </c>
      <c r="G800" s="21" t="s">
        <v>683</v>
      </c>
      <c r="H800" s="18" t="n">
        <v>1</v>
      </c>
      <c r="I800" s="22" t="n">
        <v>44714</v>
      </c>
      <c r="J800" s="2" t="s">
        <v>981</v>
      </c>
      <c r="L800" s="2" t="n">
        <v>1</v>
      </c>
      <c r="M800" s="2" t="n">
        <v>1</v>
      </c>
      <c r="N800" s="3" t="n">
        <v>44914</v>
      </c>
      <c r="O800" s="2" t="n">
        <v>6.93</v>
      </c>
      <c r="P800" s="2" t="n">
        <v>2</v>
      </c>
      <c r="Q800" s="62" t="str">
        <f aca="false">IF(ISBLANK(N800),"",IF(N800&lt;DATE(2023,5,1),"OLD","NEW"))</f>
        <v>OLD</v>
      </c>
      <c r="S800" s="33" t="n">
        <f aca="false">IF(COUNTIF('[1]Plate_1-2_LongFormat'!$A$2:$A$193,G800)&gt;0,1,0)</f>
        <v>1</v>
      </c>
      <c r="T800" s="33" t="n">
        <f aca="false">IF(COUNTIF([2]Attached_indexes!$C$2:$C$193,G800)&gt;0,1,0)</f>
        <v>1</v>
      </c>
      <c r="U800" s="59"/>
      <c r="V800" s="1" t="s">
        <v>982</v>
      </c>
    </row>
    <row r="801" customFormat="false" ht="15.75" hidden="false" customHeight="true" outlineLevel="0" collapsed="false">
      <c r="A801" s="18" t="s">
        <v>674</v>
      </c>
      <c r="B801" s="18" t="s">
        <v>674</v>
      </c>
      <c r="C801" s="18" t="s">
        <v>31</v>
      </c>
      <c r="E801" s="66" t="n">
        <v>5</v>
      </c>
      <c r="F801" s="21" t="str">
        <f aca="false">CONCATENATE(B801,"_",C801, TEXT(E801, "000"))</f>
        <v>SPLB_M. laciniatus005</v>
      </c>
      <c r="G801" s="21" t="s">
        <v>683</v>
      </c>
      <c r="H801" s="18" t="n">
        <v>1</v>
      </c>
      <c r="I801" s="22" t="n">
        <v>44714</v>
      </c>
      <c r="J801" s="2" t="s">
        <v>981</v>
      </c>
      <c r="L801" s="2" t="n">
        <v>1</v>
      </c>
      <c r="M801" s="2" t="n">
        <v>1</v>
      </c>
      <c r="N801" s="3" t="n">
        <v>44914</v>
      </c>
      <c r="O801" s="2" t="n">
        <v>6.93</v>
      </c>
      <c r="P801" s="2" t="n">
        <v>2</v>
      </c>
      <c r="Q801" s="62" t="str">
        <f aca="false">IF(ISBLANK(N801),"",IF(N801&lt;DATE(2023,5,1),"OLD","NEW"))</f>
        <v>OLD</v>
      </c>
      <c r="S801" s="33" t="n">
        <f aca="false">IF(COUNTIF('[1]Plate_1-2_LongFormat'!$A$2:$A$193,G801)&gt;0,1,0)</f>
        <v>1</v>
      </c>
      <c r="T801" s="33" t="n">
        <f aca="false">IF(COUNTIF([2]Attached_indexes!$C$2:$C$193,G801)&gt;0,1,0)</f>
        <v>1</v>
      </c>
      <c r="U801" s="59"/>
      <c r="V801" s="1" t="s">
        <v>982</v>
      </c>
    </row>
    <row r="802" customFormat="false" ht="15.75" hidden="false" customHeight="true" outlineLevel="0" collapsed="false">
      <c r="A802" s="18" t="s">
        <v>674</v>
      </c>
      <c r="B802" s="18" t="s">
        <v>674</v>
      </c>
      <c r="C802" s="18" t="s">
        <v>31</v>
      </c>
      <c r="E802" s="66" t="n">
        <v>5</v>
      </c>
      <c r="F802" s="21" t="str">
        <f aca="false">CONCATENATE(B802,"_",C802, TEXT(E802, "000"))</f>
        <v>SPLB_M. laciniatus005</v>
      </c>
      <c r="G802" s="21" t="s">
        <v>683</v>
      </c>
      <c r="H802" s="18" t="n">
        <v>1</v>
      </c>
      <c r="I802" s="22" t="n">
        <v>44714</v>
      </c>
      <c r="J802" s="2" t="s">
        <v>981</v>
      </c>
      <c r="L802" s="2" t="n">
        <v>1</v>
      </c>
      <c r="M802" s="2" t="n">
        <v>1</v>
      </c>
      <c r="N802" s="3" t="n">
        <v>44914</v>
      </c>
      <c r="O802" s="2" t="n">
        <v>6.93</v>
      </c>
      <c r="P802" s="2" t="n">
        <v>2</v>
      </c>
      <c r="Q802" s="62" t="str">
        <f aca="false">IF(ISBLANK(N802),"",IF(N802&lt;DATE(2023,5,1),"OLD","NEW"))</f>
        <v>OLD</v>
      </c>
      <c r="S802" s="33" t="n">
        <f aca="false">IF(COUNTIF('[1]Plate_1-2_LongFormat'!$A$2:$A$193,G802)&gt;0,1,0)</f>
        <v>1</v>
      </c>
      <c r="T802" s="33" t="n">
        <f aca="false">IF(COUNTIF([2]Attached_indexes!$C$2:$C$193,G802)&gt;0,1,0)</f>
        <v>1</v>
      </c>
      <c r="U802" s="59"/>
      <c r="V802" s="1" t="s">
        <v>982</v>
      </c>
    </row>
    <row r="803" customFormat="false" ht="15.75" hidden="false" customHeight="true" outlineLevel="0" collapsed="false">
      <c r="A803" s="18" t="s">
        <v>674</v>
      </c>
      <c r="B803" s="18" t="s">
        <v>674</v>
      </c>
      <c r="C803" s="18" t="s">
        <v>31</v>
      </c>
      <c r="E803" s="66" t="n">
        <v>6</v>
      </c>
      <c r="F803" s="21" t="str">
        <f aca="false">CONCATENATE(B803,"_",C803, TEXT(E803, "000"))</f>
        <v>SPLB_M. laciniatus006</v>
      </c>
      <c r="G803" s="21" t="s">
        <v>684</v>
      </c>
      <c r="H803" s="18" t="n">
        <v>1</v>
      </c>
      <c r="I803" s="22" t="n">
        <v>44714</v>
      </c>
      <c r="J803" s="2" t="s">
        <v>981</v>
      </c>
      <c r="L803" s="2" t="n">
        <v>1</v>
      </c>
      <c r="M803" s="2" t="n">
        <v>1</v>
      </c>
      <c r="N803" s="3" t="n">
        <v>44799</v>
      </c>
      <c r="O803" s="64" t="n">
        <v>0.371</v>
      </c>
      <c r="P803" s="64" t="n">
        <v>1</v>
      </c>
      <c r="Q803" s="62" t="str">
        <f aca="false">IF(ISBLANK(N803),"",IF(N803&lt;DATE(2023,5,1),"OLD","NEW"))</f>
        <v>OLD</v>
      </c>
      <c r="S803" s="33" t="n">
        <f aca="false">IF(COUNTIF('[1]Plate_1-2_LongFormat'!$A$2:$A$193,G803)&gt;0,1,0)</f>
        <v>1</v>
      </c>
      <c r="T803" s="33" t="n">
        <f aca="false">IF(COUNTIF([2]Attached_indexes!$C$2:$C$193,G803)&gt;0,1,0)</f>
        <v>1</v>
      </c>
      <c r="U803" s="59"/>
      <c r="V803" s="1" t="s">
        <v>982</v>
      </c>
    </row>
    <row r="804" customFormat="false" ht="15.75" hidden="false" customHeight="true" outlineLevel="0" collapsed="false">
      <c r="A804" s="18" t="s">
        <v>674</v>
      </c>
      <c r="B804" s="18" t="s">
        <v>674</v>
      </c>
      <c r="C804" s="18" t="s">
        <v>31</v>
      </c>
      <c r="E804" s="66" t="n">
        <v>6</v>
      </c>
      <c r="F804" s="21" t="str">
        <f aca="false">CONCATENATE(B804,"_",C804, TEXT(E804, "000"))</f>
        <v>SPLB_M. laciniatus006</v>
      </c>
      <c r="G804" s="21" t="s">
        <v>684</v>
      </c>
      <c r="H804" s="18" t="n">
        <v>1</v>
      </c>
      <c r="I804" s="22" t="n">
        <v>44714</v>
      </c>
      <c r="J804" s="2" t="s">
        <v>981</v>
      </c>
      <c r="L804" s="2" t="n">
        <v>1</v>
      </c>
      <c r="M804" s="2" t="n">
        <v>1</v>
      </c>
      <c r="N804" s="3" t="n">
        <v>44799</v>
      </c>
      <c r="O804" s="64" t="n">
        <v>0.371</v>
      </c>
      <c r="P804" s="64" t="n">
        <v>1</v>
      </c>
      <c r="Q804" s="62" t="str">
        <f aca="false">IF(ISBLANK(N804),"",IF(N804&lt;DATE(2023,5,1),"OLD","NEW"))</f>
        <v>OLD</v>
      </c>
      <c r="S804" s="33" t="n">
        <f aca="false">IF(COUNTIF('[1]Plate_1-2_LongFormat'!$A$2:$A$193,G804)&gt;0,1,0)</f>
        <v>1</v>
      </c>
      <c r="T804" s="33" t="n">
        <f aca="false">IF(COUNTIF([2]Attached_indexes!$C$2:$C$193,G804)&gt;0,1,0)</f>
        <v>1</v>
      </c>
      <c r="U804" s="59"/>
      <c r="V804" s="1" t="s">
        <v>982</v>
      </c>
    </row>
    <row r="805" customFormat="false" ht="15.75" hidden="false" customHeight="true" outlineLevel="0" collapsed="false">
      <c r="A805" s="18" t="s">
        <v>674</v>
      </c>
      <c r="B805" s="18" t="s">
        <v>674</v>
      </c>
      <c r="C805" s="18" t="s">
        <v>31</v>
      </c>
      <c r="E805" s="66" t="n">
        <v>6</v>
      </c>
      <c r="F805" s="21" t="str">
        <f aca="false">CONCATENATE(B805,"_",C805, TEXT(E805, "000"))</f>
        <v>SPLB_M. laciniatus006</v>
      </c>
      <c r="G805" s="21" t="s">
        <v>684</v>
      </c>
      <c r="H805" s="18" t="n">
        <v>1</v>
      </c>
      <c r="I805" s="22" t="n">
        <v>44714</v>
      </c>
      <c r="J805" s="2" t="s">
        <v>981</v>
      </c>
      <c r="L805" s="2" t="n">
        <v>1</v>
      </c>
      <c r="M805" s="2" t="n">
        <v>1</v>
      </c>
      <c r="N805" s="3" t="n">
        <v>44799</v>
      </c>
      <c r="O805" s="64" t="n">
        <v>0.371</v>
      </c>
      <c r="P805" s="64" t="n">
        <v>1</v>
      </c>
      <c r="Q805" s="62" t="str">
        <f aca="false">IF(ISBLANK(N805),"",IF(N805&lt;DATE(2023,5,1),"OLD","NEW"))</f>
        <v>OLD</v>
      </c>
      <c r="S805" s="33" t="n">
        <f aca="false">IF(COUNTIF('[1]Plate_1-2_LongFormat'!$A$2:$A$193,G805)&gt;0,1,0)</f>
        <v>1</v>
      </c>
      <c r="T805" s="33" t="n">
        <f aca="false">IF(COUNTIF([2]Attached_indexes!$C$2:$C$193,G805)&gt;0,1,0)</f>
        <v>1</v>
      </c>
      <c r="U805" s="59"/>
      <c r="V805" s="1" t="s">
        <v>982</v>
      </c>
    </row>
    <row r="806" customFormat="false" ht="15.75" hidden="false" customHeight="true" outlineLevel="0" collapsed="false">
      <c r="A806" s="18" t="s">
        <v>674</v>
      </c>
      <c r="B806" s="18" t="s">
        <v>674</v>
      </c>
      <c r="C806" s="18" t="s">
        <v>31</v>
      </c>
      <c r="E806" s="66" t="n">
        <v>7</v>
      </c>
      <c r="F806" s="21" t="str">
        <f aca="false">CONCATENATE(B806,"_",C806, TEXT(E806, "000"))</f>
        <v>SPLB_M. laciniatus007</v>
      </c>
      <c r="G806" s="21" t="s">
        <v>685</v>
      </c>
      <c r="H806" s="18" t="n">
        <v>1</v>
      </c>
      <c r="I806" s="22" t="n">
        <v>44714</v>
      </c>
      <c r="J806" s="2" t="s">
        <v>981</v>
      </c>
      <c r="L806" s="2" t="n">
        <v>1</v>
      </c>
      <c r="M806" s="2" t="n">
        <v>1</v>
      </c>
      <c r="N806" s="3" t="n">
        <v>44834</v>
      </c>
      <c r="O806" s="2" t="n">
        <v>6.22</v>
      </c>
      <c r="P806" s="2" t="n">
        <v>1</v>
      </c>
      <c r="Q806" s="62" t="str">
        <f aca="false">IF(ISBLANK(N806),"",IF(N806&lt;DATE(2023,5,1),"OLD","NEW"))</f>
        <v>OLD</v>
      </c>
      <c r="S806" s="33" t="n">
        <f aca="false">IF(COUNTIF('[1]Plate_1-2_LongFormat'!$A$2:$A$193,G806)&gt;0,1,0)</f>
        <v>1</v>
      </c>
      <c r="T806" s="33" t="n">
        <f aca="false">IF(COUNTIF([2]Attached_indexes!$C$2:$C$193,G806)&gt;0,1,0)</f>
        <v>1</v>
      </c>
      <c r="U806" s="59"/>
      <c r="V806" s="1" t="s">
        <v>982</v>
      </c>
    </row>
    <row r="807" customFormat="false" ht="15.75" hidden="false" customHeight="true" outlineLevel="0" collapsed="false">
      <c r="A807" s="18" t="s">
        <v>674</v>
      </c>
      <c r="B807" s="18" t="s">
        <v>674</v>
      </c>
      <c r="C807" s="18" t="s">
        <v>31</v>
      </c>
      <c r="E807" s="66" t="n">
        <v>7</v>
      </c>
      <c r="F807" s="21" t="str">
        <f aca="false">CONCATENATE(B807,"_",C807, TEXT(E807, "000"))</f>
        <v>SPLB_M. laciniatus007</v>
      </c>
      <c r="G807" s="21" t="s">
        <v>685</v>
      </c>
      <c r="H807" s="18" t="n">
        <v>1</v>
      </c>
      <c r="I807" s="22" t="n">
        <v>44714</v>
      </c>
      <c r="J807" s="2" t="s">
        <v>981</v>
      </c>
      <c r="L807" s="2" t="n">
        <v>1</v>
      </c>
      <c r="M807" s="2" t="n">
        <v>1</v>
      </c>
      <c r="N807" s="3" t="n">
        <v>44834</v>
      </c>
      <c r="O807" s="2" t="n">
        <v>6.22</v>
      </c>
      <c r="P807" s="2" t="n">
        <v>1</v>
      </c>
      <c r="Q807" s="62" t="str">
        <f aca="false">IF(ISBLANK(N807),"",IF(N807&lt;DATE(2023,5,1),"OLD","NEW"))</f>
        <v>OLD</v>
      </c>
      <c r="S807" s="33" t="n">
        <f aca="false">IF(COUNTIF('[1]Plate_1-2_LongFormat'!$A$2:$A$193,G807)&gt;0,1,0)</f>
        <v>1</v>
      </c>
      <c r="T807" s="33" t="n">
        <f aca="false">IF(COUNTIF([2]Attached_indexes!$C$2:$C$193,G807)&gt;0,1,0)</f>
        <v>1</v>
      </c>
      <c r="U807" s="59"/>
      <c r="V807" s="1" t="s">
        <v>982</v>
      </c>
    </row>
    <row r="808" customFormat="false" ht="15.75" hidden="false" customHeight="true" outlineLevel="0" collapsed="false">
      <c r="A808" s="18" t="s">
        <v>674</v>
      </c>
      <c r="B808" s="18" t="s">
        <v>674</v>
      </c>
      <c r="C808" s="18" t="s">
        <v>31</v>
      </c>
      <c r="E808" s="66" t="n">
        <v>7</v>
      </c>
      <c r="F808" s="21" t="str">
        <f aca="false">CONCATENATE(B808,"_",C808, TEXT(E808, "000"))</f>
        <v>SPLB_M. laciniatus007</v>
      </c>
      <c r="G808" s="21" t="s">
        <v>685</v>
      </c>
      <c r="H808" s="18" t="n">
        <v>1</v>
      </c>
      <c r="I808" s="22" t="n">
        <v>44714</v>
      </c>
      <c r="J808" s="2" t="s">
        <v>981</v>
      </c>
      <c r="L808" s="2" t="n">
        <v>1</v>
      </c>
      <c r="M808" s="2" t="n">
        <v>1</v>
      </c>
      <c r="N808" s="3" t="n">
        <v>44834</v>
      </c>
      <c r="O808" s="2" t="n">
        <v>6.22</v>
      </c>
      <c r="P808" s="2" t="n">
        <v>1</v>
      </c>
      <c r="Q808" s="62" t="str">
        <f aca="false">IF(ISBLANK(N808),"",IF(N808&lt;DATE(2023,5,1),"OLD","NEW"))</f>
        <v>OLD</v>
      </c>
      <c r="S808" s="33" t="n">
        <f aca="false">IF(COUNTIF('[1]Plate_1-2_LongFormat'!$A$2:$A$193,G808)&gt;0,1,0)</f>
        <v>1</v>
      </c>
      <c r="T808" s="33" t="n">
        <f aca="false">IF(COUNTIF([2]Attached_indexes!$C$2:$C$193,G808)&gt;0,1,0)</f>
        <v>1</v>
      </c>
      <c r="U808" s="59"/>
      <c r="V808" s="1" t="s">
        <v>982</v>
      </c>
    </row>
    <row r="809" customFormat="false" ht="15.75" hidden="false" customHeight="true" outlineLevel="0" collapsed="false">
      <c r="A809" s="18" t="s">
        <v>674</v>
      </c>
      <c r="B809" s="18" t="s">
        <v>674</v>
      </c>
      <c r="C809" s="18" t="s">
        <v>31</v>
      </c>
      <c r="E809" s="66" t="n">
        <v>8</v>
      </c>
      <c r="F809" s="21" t="str">
        <f aca="false">CONCATENATE(B809,"_",C809, TEXT(E809, "000"))</f>
        <v>SPLB_M. laciniatus008</v>
      </c>
      <c r="G809" s="21" t="s">
        <v>686</v>
      </c>
      <c r="H809" s="18" t="n">
        <v>1</v>
      </c>
      <c r="I809" s="22" t="n">
        <v>44714</v>
      </c>
      <c r="J809" s="2" t="s">
        <v>981</v>
      </c>
      <c r="L809" s="2" t="n">
        <v>1</v>
      </c>
      <c r="M809" s="2" t="n">
        <v>1</v>
      </c>
      <c r="N809" s="3" t="n">
        <v>45058</v>
      </c>
      <c r="O809" s="2" t="n">
        <v>24.5</v>
      </c>
      <c r="P809" s="2" t="n">
        <v>3</v>
      </c>
      <c r="Q809" s="62" t="str">
        <f aca="false">IF(ISBLANK(N809),"",IF(N809&lt;DATE(2023,5,1),"OLD","NEW"))</f>
        <v>NEW</v>
      </c>
      <c r="S809" s="33" t="n">
        <f aca="false">IF(COUNTIF('[1]Plate_1-2_LongFormat'!$A$2:$A$193,G809)&gt;0,1,0)</f>
        <v>0</v>
      </c>
      <c r="T809" s="33" t="n">
        <f aca="false">IF(COUNTIF([2]Attached_indexes!$C$2:$C$193,G809)&gt;0,1,0)</f>
        <v>0</v>
      </c>
      <c r="U809" s="59"/>
      <c r="V809" s="1" t="s">
        <v>982</v>
      </c>
    </row>
    <row r="810" customFormat="false" ht="15.75" hidden="false" customHeight="true" outlineLevel="0" collapsed="false">
      <c r="A810" s="18" t="s">
        <v>674</v>
      </c>
      <c r="B810" s="18" t="s">
        <v>674</v>
      </c>
      <c r="C810" s="18" t="s">
        <v>31</v>
      </c>
      <c r="E810" s="66" t="n">
        <v>8</v>
      </c>
      <c r="F810" s="21" t="str">
        <f aca="false">CONCATENATE(B810,"_",C810, TEXT(E810, "000"))</f>
        <v>SPLB_M. laciniatus008</v>
      </c>
      <c r="G810" s="21" t="s">
        <v>686</v>
      </c>
      <c r="H810" s="18" t="n">
        <v>1</v>
      </c>
      <c r="I810" s="22" t="n">
        <v>44714</v>
      </c>
      <c r="J810" s="2" t="s">
        <v>981</v>
      </c>
      <c r="L810" s="2" t="n">
        <v>1</v>
      </c>
      <c r="M810" s="2" t="n">
        <v>1</v>
      </c>
      <c r="N810" s="3" t="n">
        <v>45058</v>
      </c>
      <c r="O810" s="2" t="n">
        <v>24.5</v>
      </c>
      <c r="P810" s="2" t="n">
        <v>3</v>
      </c>
      <c r="Q810" s="62" t="str">
        <f aca="false">IF(ISBLANK(N810),"",IF(N810&lt;DATE(2023,5,1),"OLD","NEW"))</f>
        <v>NEW</v>
      </c>
      <c r="S810" s="33" t="n">
        <f aca="false">IF(COUNTIF('[1]Plate_1-2_LongFormat'!$A$2:$A$193,G810)&gt;0,1,0)</f>
        <v>0</v>
      </c>
      <c r="T810" s="33" t="n">
        <f aca="false">IF(COUNTIF([2]Attached_indexes!$C$2:$C$193,G810)&gt;0,1,0)</f>
        <v>0</v>
      </c>
      <c r="U810" s="59"/>
      <c r="V810" s="1" t="s">
        <v>982</v>
      </c>
    </row>
    <row r="811" customFormat="false" ht="15.75" hidden="false" customHeight="true" outlineLevel="0" collapsed="false">
      <c r="A811" s="18" t="s">
        <v>674</v>
      </c>
      <c r="B811" s="18" t="s">
        <v>674</v>
      </c>
      <c r="C811" s="18" t="s">
        <v>31</v>
      </c>
      <c r="E811" s="66" t="n">
        <v>8</v>
      </c>
      <c r="F811" s="21" t="str">
        <f aca="false">CONCATENATE(B811,"_",C811, TEXT(E811, "000"))</f>
        <v>SPLB_M. laciniatus008</v>
      </c>
      <c r="G811" s="21" t="s">
        <v>686</v>
      </c>
      <c r="H811" s="18" t="n">
        <v>1</v>
      </c>
      <c r="I811" s="22" t="n">
        <v>44714</v>
      </c>
      <c r="J811" s="2" t="s">
        <v>981</v>
      </c>
      <c r="L811" s="2" t="n">
        <v>1</v>
      </c>
      <c r="M811" s="2" t="n">
        <v>1</v>
      </c>
      <c r="N811" s="3" t="n">
        <v>45058</v>
      </c>
      <c r="O811" s="2" t="n">
        <v>24.5</v>
      </c>
      <c r="P811" s="2" t="n">
        <v>3</v>
      </c>
      <c r="Q811" s="62" t="str">
        <f aca="false">IF(ISBLANK(N811),"",IF(N811&lt;DATE(2023,5,1),"OLD","NEW"))</f>
        <v>NEW</v>
      </c>
      <c r="S811" s="33" t="n">
        <f aca="false">IF(COUNTIF('[1]Plate_1-2_LongFormat'!$A$2:$A$193,G811)&gt;0,1,0)</f>
        <v>0</v>
      </c>
      <c r="T811" s="33" t="n">
        <f aca="false">IF(COUNTIF([2]Attached_indexes!$C$2:$C$193,G811)&gt;0,1,0)</f>
        <v>0</v>
      </c>
      <c r="U811" s="59"/>
      <c r="V811" s="1" t="s">
        <v>982</v>
      </c>
    </row>
    <row r="812" customFormat="false" ht="15.75" hidden="false" customHeight="true" outlineLevel="0" collapsed="false">
      <c r="A812" s="18" t="s">
        <v>674</v>
      </c>
      <c r="B812" s="18" t="s">
        <v>674</v>
      </c>
      <c r="C812" s="18" t="s">
        <v>31</v>
      </c>
      <c r="E812" s="66" t="n">
        <v>9</v>
      </c>
      <c r="F812" s="21" t="str">
        <f aca="false">CONCATENATE(B812,"_",C812, TEXT(E812, "000"))</f>
        <v>SPLB_M. laciniatus009</v>
      </c>
      <c r="G812" s="21" t="s">
        <v>687</v>
      </c>
      <c r="H812" s="18" t="n">
        <v>1</v>
      </c>
      <c r="I812" s="22" t="n">
        <v>44714</v>
      </c>
      <c r="J812" s="2" t="s">
        <v>981</v>
      </c>
      <c r="L812" s="2" t="n">
        <v>1</v>
      </c>
      <c r="M812" s="2" t="n">
        <v>1</v>
      </c>
      <c r="N812" s="3" t="n">
        <v>44834</v>
      </c>
      <c r="O812" s="2" t="n">
        <v>4.92</v>
      </c>
      <c r="P812" s="2" t="n">
        <v>1</v>
      </c>
      <c r="Q812" s="62" t="str">
        <f aca="false">IF(ISBLANK(N812),"",IF(N812&lt;DATE(2023,5,1),"OLD","NEW"))</f>
        <v>OLD</v>
      </c>
      <c r="S812" s="33" t="n">
        <f aca="false">IF(COUNTIF('[1]Plate_1-2_LongFormat'!$A$2:$A$193,G812)&gt;0,1,0)</f>
        <v>1</v>
      </c>
      <c r="T812" s="33" t="n">
        <f aca="false">IF(COUNTIF([2]Attached_indexes!$C$2:$C$193,G812)&gt;0,1,0)</f>
        <v>1</v>
      </c>
      <c r="U812" s="59"/>
      <c r="V812" s="1" t="s">
        <v>982</v>
      </c>
    </row>
    <row r="813" customFormat="false" ht="15.75" hidden="false" customHeight="true" outlineLevel="0" collapsed="false">
      <c r="A813" s="18" t="s">
        <v>674</v>
      </c>
      <c r="B813" s="18" t="s">
        <v>674</v>
      </c>
      <c r="C813" s="18" t="s">
        <v>31</v>
      </c>
      <c r="E813" s="66" t="n">
        <v>9</v>
      </c>
      <c r="F813" s="21" t="str">
        <f aca="false">CONCATENATE(B813,"_",C813, TEXT(E813, "000"))</f>
        <v>SPLB_M. laciniatus009</v>
      </c>
      <c r="G813" s="21" t="s">
        <v>687</v>
      </c>
      <c r="H813" s="18" t="n">
        <v>1</v>
      </c>
      <c r="I813" s="22" t="n">
        <v>44714</v>
      </c>
      <c r="J813" s="2" t="s">
        <v>981</v>
      </c>
      <c r="L813" s="2" t="n">
        <v>1</v>
      </c>
      <c r="M813" s="2" t="n">
        <v>1</v>
      </c>
      <c r="N813" s="3" t="n">
        <v>44834</v>
      </c>
      <c r="O813" s="2" t="n">
        <v>4.92</v>
      </c>
      <c r="P813" s="2" t="n">
        <v>1</v>
      </c>
      <c r="Q813" s="62" t="str">
        <f aca="false">IF(ISBLANK(N813),"",IF(N813&lt;DATE(2023,5,1),"OLD","NEW"))</f>
        <v>OLD</v>
      </c>
      <c r="S813" s="33" t="n">
        <f aca="false">IF(COUNTIF('[1]Plate_1-2_LongFormat'!$A$2:$A$193,G813)&gt;0,1,0)</f>
        <v>1</v>
      </c>
      <c r="T813" s="33" t="n">
        <f aca="false">IF(COUNTIF([2]Attached_indexes!$C$2:$C$193,G813)&gt;0,1,0)</f>
        <v>1</v>
      </c>
      <c r="U813" s="59"/>
      <c r="V813" s="1" t="s">
        <v>982</v>
      </c>
    </row>
    <row r="814" customFormat="false" ht="15.75" hidden="false" customHeight="true" outlineLevel="0" collapsed="false">
      <c r="A814" s="18" t="s">
        <v>674</v>
      </c>
      <c r="B814" s="18" t="s">
        <v>674</v>
      </c>
      <c r="C814" s="18" t="s">
        <v>31</v>
      </c>
      <c r="E814" s="66" t="n">
        <v>9</v>
      </c>
      <c r="F814" s="21" t="str">
        <f aca="false">CONCATENATE(B814,"_",C814, TEXT(E814, "000"))</f>
        <v>SPLB_M. laciniatus009</v>
      </c>
      <c r="G814" s="21" t="s">
        <v>687</v>
      </c>
      <c r="H814" s="18" t="n">
        <v>1</v>
      </c>
      <c r="I814" s="22" t="n">
        <v>44714</v>
      </c>
      <c r="J814" s="2" t="s">
        <v>981</v>
      </c>
      <c r="L814" s="2" t="n">
        <v>1</v>
      </c>
      <c r="M814" s="2" t="n">
        <v>1</v>
      </c>
      <c r="N814" s="3" t="n">
        <v>44834</v>
      </c>
      <c r="O814" s="2" t="n">
        <v>4.92</v>
      </c>
      <c r="P814" s="2" t="n">
        <v>1</v>
      </c>
      <c r="Q814" s="62" t="str">
        <f aca="false">IF(ISBLANK(N814),"",IF(N814&lt;DATE(2023,5,1),"OLD","NEW"))</f>
        <v>OLD</v>
      </c>
      <c r="S814" s="33" t="n">
        <f aca="false">IF(COUNTIF('[1]Plate_1-2_LongFormat'!$A$2:$A$193,G814)&gt;0,1,0)</f>
        <v>1</v>
      </c>
      <c r="T814" s="33" t="n">
        <f aca="false">IF(COUNTIF([2]Attached_indexes!$C$2:$C$193,G814)&gt;0,1,0)</f>
        <v>1</v>
      </c>
      <c r="U814" s="59"/>
      <c r="V814" s="1" t="s">
        <v>982</v>
      </c>
    </row>
    <row r="815" customFormat="false" ht="15.75" hidden="false" customHeight="true" outlineLevel="0" collapsed="false">
      <c r="A815" s="18" t="s">
        <v>803</v>
      </c>
      <c r="B815" s="18" t="s">
        <v>803</v>
      </c>
      <c r="C815" s="18" t="s">
        <v>31</v>
      </c>
      <c r="E815" s="66" t="n">
        <v>1</v>
      </c>
      <c r="F815" s="21" t="str">
        <f aca="false">CONCATENATE(B815,"_",C815, TEXT(E815, "000"))</f>
        <v>TRTZ_M. laciniatus001</v>
      </c>
      <c r="G815" s="21" t="s">
        <v>390</v>
      </c>
      <c r="H815" s="18" t="n">
        <v>1</v>
      </c>
      <c r="I815" s="22" t="n">
        <v>44683</v>
      </c>
      <c r="J815" s="2" t="s">
        <v>981</v>
      </c>
      <c r="L815" s="2" t="n">
        <v>1</v>
      </c>
      <c r="M815" s="2" t="n">
        <v>1</v>
      </c>
      <c r="N815" s="3" t="n">
        <v>44834</v>
      </c>
      <c r="O815" s="2" t="n">
        <v>11.1</v>
      </c>
      <c r="P815" s="2" t="n">
        <v>1</v>
      </c>
      <c r="Q815" s="62" t="str">
        <f aca="false">IF(ISBLANK(N815),"",IF(N815&lt;DATE(2023,5,1),"OLD","NEW"))</f>
        <v>OLD</v>
      </c>
      <c r="S815" s="33" t="n">
        <f aca="false">IF(COUNTIF('[1]Plate_1-2_LongFormat'!$A$2:$A$193,G815)&gt;0,1,0)</f>
        <v>1</v>
      </c>
      <c r="T815" s="33" t="n">
        <f aca="false">IF(COUNTIF([2]Attached_indexes!$C$2:$C$193,G815)&gt;0,1,0)</f>
        <v>1</v>
      </c>
      <c r="U815" s="59"/>
      <c r="V815" s="1" t="s">
        <v>982</v>
      </c>
    </row>
    <row r="816" customFormat="false" ht="15.75" hidden="false" customHeight="true" outlineLevel="0" collapsed="false">
      <c r="A816" s="18" t="s">
        <v>803</v>
      </c>
      <c r="B816" s="18" t="s">
        <v>803</v>
      </c>
      <c r="C816" s="18" t="s">
        <v>31</v>
      </c>
      <c r="E816" s="66" t="n">
        <v>1</v>
      </c>
      <c r="F816" s="21" t="str">
        <f aca="false">CONCATENATE(B816,"_",C816, TEXT(E816, "000"))</f>
        <v>TRTZ_M. laciniatus001</v>
      </c>
      <c r="G816" s="21" t="s">
        <v>390</v>
      </c>
      <c r="H816" s="18" t="n">
        <v>1</v>
      </c>
      <c r="I816" s="22" t="n">
        <v>44683</v>
      </c>
      <c r="J816" s="2" t="s">
        <v>981</v>
      </c>
      <c r="L816" s="2" t="n">
        <v>1</v>
      </c>
      <c r="M816" s="2" t="n">
        <v>1</v>
      </c>
      <c r="N816" s="3" t="n">
        <v>44834</v>
      </c>
      <c r="O816" s="2" t="n">
        <v>11.1</v>
      </c>
      <c r="P816" s="2" t="n">
        <v>1</v>
      </c>
      <c r="Q816" s="62" t="str">
        <f aca="false">IF(ISBLANK(N816),"",IF(N816&lt;DATE(2023,5,1),"OLD","NEW"))</f>
        <v>OLD</v>
      </c>
      <c r="S816" s="33" t="n">
        <f aca="false">IF(COUNTIF('[1]Plate_1-2_LongFormat'!$A$2:$A$193,G816)&gt;0,1,0)</f>
        <v>1</v>
      </c>
      <c r="T816" s="33" t="n">
        <f aca="false">IF(COUNTIF([2]Attached_indexes!$C$2:$C$193,G816)&gt;0,1,0)</f>
        <v>1</v>
      </c>
      <c r="U816" s="59"/>
      <c r="V816" s="1" t="s">
        <v>982</v>
      </c>
    </row>
    <row r="817" customFormat="false" ht="15.75" hidden="false" customHeight="true" outlineLevel="0" collapsed="false">
      <c r="A817" s="18" t="s">
        <v>803</v>
      </c>
      <c r="B817" s="18" t="s">
        <v>803</v>
      </c>
      <c r="C817" s="18" t="s">
        <v>31</v>
      </c>
      <c r="E817" s="66" t="n">
        <v>1</v>
      </c>
      <c r="F817" s="21" t="str">
        <f aca="false">CONCATENATE(B817,"_",C817, TEXT(E817, "000"))</f>
        <v>TRTZ_M. laciniatus001</v>
      </c>
      <c r="G817" s="21" t="s">
        <v>390</v>
      </c>
      <c r="H817" s="18" t="n">
        <v>1</v>
      </c>
      <c r="I817" s="22" t="n">
        <v>44683</v>
      </c>
      <c r="J817" s="2" t="s">
        <v>981</v>
      </c>
      <c r="L817" s="2" t="n">
        <v>1</v>
      </c>
      <c r="M817" s="2" t="n">
        <v>1</v>
      </c>
      <c r="N817" s="3" t="n">
        <v>44834</v>
      </c>
      <c r="O817" s="2" t="n">
        <v>11.1</v>
      </c>
      <c r="P817" s="2" t="n">
        <v>1</v>
      </c>
      <c r="Q817" s="62" t="str">
        <f aca="false">IF(ISBLANK(N817),"",IF(N817&lt;DATE(2023,5,1),"OLD","NEW"))</f>
        <v>OLD</v>
      </c>
      <c r="S817" s="33" t="n">
        <f aca="false">IF(COUNTIF('[1]Plate_1-2_LongFormat'!$A$2:$A$193,G817)&gt;0,1,0)</f>
        <v>1</v>
      </c>
      <c r="T817" s="33" t="n">
        <f aca="false">IF(COUNTIF([2]Attached_indexes!$C$2:$C$193,G817)&gt;0,1,0)</f>
        <v>1</v>
      </c>
      <c r="U817" s="59"/>
      <c r="V817" s="1" t="s">
        <v>982</v>
      </c>
    </row>
    <row r="818" customFormat="false" ht="15.75" hidden="false" customHeight="true" outlineLevel="0" collapsed="false">
      <c r="A818" s="18" t="s">
        <v>803</v>
      </c>
      <c r="B818" s="18" t="s">
        <v>803</v>
      </c>
      <c r="C818" s="18" t="s">
        <v>31</v>
      </c>
      <c r="E818" s="66" t="n">
        <v>10</v>
      </c>
      <c r="F818" s="21" t="str">
        <f aca="false">CONCATENATE(B818,"_",C818, TEXT(E818, "000"))</f>
        <v>TRTZ_M. laciniatus010</v>
      </c>
      <c r="G818" s="21" t="s">
        <v>410</v>
      </c>
      <c r="H818" s="18" t="n">
        <v>1</v>
      </c>
      <c r="I818" s="22" t="n">
        <v>44683</v>
      </c>
      <c r="J818" s="2" t="s">
        <v>981</v>
      </c>
      <c r="K818" s="2" t="s">
        <v>1024</v>
      </c>
      <c r="L818" s="2" t="n">
        <v>1</v>
      </c>
      <c r="M818" s="2" t="n">
        <v>1</v>
      </c>
      <c r="N818" s="3" t="n">
        <v>44938</v>
      </c>
      <c r="O818" s="2" t="n">
        <v>9.47</v>
      </c>
      <c r="P818" s="2" t="n">
        <v>2</v>
      </c>
      <c r="Q818" s="62" t="str">
        <f aca="false">IF(ISBLANK(N818),"",IF(N818&lt;DATE(2023,5,1),"OLD","NEW"))</f>
        <v>OLD</v>
      </c>
      <c r="S818" s="33" t="n">
        <f aca="false">IF(COUNTIF('[1]Plate_1-2_LongFormat'!$A$2:$A$193,G818)&gt;0,1,0)</f>
        <v>1</v>
      </c>
      <c r="T818" s="33" t="n">
        <f aca="false">IF(COUNTIF([2]Attached_indexes!$C$2:$C$193,G818)&gt;0,1,0)</f>
        <v>1</v>
      </c>
      <c r="U818" s="59"/>
      <c r="V818" s="1" t="s">
        <v>982</v>
      </c>
    </row>
    <row r="819" customFormat="false" ht="15.75" hidden="false" customHeight="true" outlineLevel="0" collapsed="false">
      <c r="A819" s="18" t="s">
        <v>803</v>
      </c>
      <c r="B819" s="18" t="s">
        <v>803</v>
      </c>
      <c r="C819" s="18" t="s">
        <v>31</v>
      </c>
      <c r="E819" s="66" t="n">
        <v>10</v>
      </c>
      <c r="F819" s="21" t="str">
        <f aca="false">CONCATENATE(B819,"_",C819, TEXT(E819, "000"))</f>
        <v>TRTZ_M. laciniatus010</v>
      </c>
      <c r="G819" s="21" t="s">
        <v>410</v>
      </c>
      <c r="H819" s="18" t="n">
        <v>1</v>
      </c>
      <c r="I819" s="22" t="n">
        <v>44683</v>
      </c>
      <c r="J819" s="2" t="s">
        <v>981</v>
      </c>
      <c r="K819" s="2" t="s">
        <v>1024</v>
      </c>
      <c r="L819" s="2" t="n">
        <v>1</v>
      </c>
      <c r="M819" s="2" t="n">
        <v>1</v>
      </c>
      <c r="N819" s="3" t="n">
        <v>44938</v>
      </c>
      <c r="O819" s="2" t="n">
        <v>9.47</v>
      </c>
      <c r="P819" s="2" t="n">
        <v>2</v>
      </c>
      <c r="Q819" s="62" t="str">
        <f aca="false">IF(ISBLANK(N819),"",IF(N819&lt;DATE(2023,5,1),"OLD","NEW"))</f>
        <v>OLD</v>
      </c>
      <c r="S819" s="33" t="n">
        <f aca="false">IF(COUNTIF('[1]Plate_1-2_LongFormat'!$A$2:$A$193,G819)&gt;0,1,0)</f>
        <v>1</v>
      </c>
      <c r="T819" s="33" t="n">
        <f aca="false">IF(COUNTIF([2]Attached_indexes!$C$2:$C$193,G819)&gt;0,1,0)</f>
        <v>1</v>
      </c>
      <c r="U819" s="59"/>
      <c r="V819" s="1" t="s">
        <v>982</v>
      </c>
    </row>
    <row r="820" customFormat="false" ht="15.75" hidden="false" customHeight="true" outlineLevel="0" collapsed="false">
      <c r="A820" s="18" t="s">
        <v>803</v>
      </c>
      <c r="B820" s="18" t="s">
        <v>803</v>
      </c>
      <c r="C820" s="18" t="s">
        <v>31</v>
      </c>
      <c r="E820" s="66" t="n">
        <v>10</v>
      </c>
      <c r="F820" s="21" t="str">
        <f aca="false">CONCATENATE(B820,"_",C820, TEXT(E820, "000"))</f>
        <v>TRTZ_M. laciniatus010</v>
      </c>
      <c r="G820" s="21" t="s">
        <v>410</v>
      </c>
      <c r="H820" s="18" t="n">
        <v>1</v>
      </c>
      <c r="I820" s="22" t="n">
        <v>44683</v>
      </c>
      <c r="J820" s="2" t="s">
        <v>981</v>
      </c>
      <c r="K820" s="2" t="s">
        <v>1024</v>
      </c>
      <c r="L820" s="2" t="n">
        <v>1</v>
      </c>
      <c r="M820" s="2" t="n">
        <v>1</v>
      </c>
      <c r="N820" s="3" t="n">
        <v>44938</v>
      </c>
      <c r="O820" s="2" t="n">
        <v>9.47</v>
      </c>
      <c r="P820" s="2" t="n">
        <v>2</v>
      </c>
      <c r="Q820" s="62" t="str">
        <f aca="false">IF(ISBLANK(N820),"",IF(N820&lt;DATE(2023,5,1),"OLD","NEW"))</f>
        <v>OLD</v>
      </c>
      <c r="S820" s="33" t="n">
        <f aca="false">IF(COUNTIF('[1]Plate_1-2_LongFormat'!$A$2:$A$193,G820)&gt;0,1,0)</f>
        <v>1</v>
      </c>
      <c r="T820" s="33" t="n">
        <f aca="false">IF(COUNTIF([2]Attached_indexes!$C$2:$C$193,G820)&gt;0,1,0)</f>
        <v>1</v>
      </c>
      <c r="U820" s="59"/>
      <c r="V820" s="1" t="s">
        <v>982</v>
      </c>
    </row>
    <row r="821" customFormat="false" ht="15.75" hidden="false" customHeight="true" outlineLevel="0" collapsed="false">
      <c r="A821" s="18" t="s">
        <v>803</v>
      </c>
      <c r="B821" s="18" t="s">
        <v>803</v>
      </c>
      <c r="C821" s="18" t="s">
        <v>31</v>
      </c>
      <c r="E821" s="66" t="n">
        <v>2</v>
      </c>
      <c r="F821" s="21" t="str">
        <f aca="false">CONCATENATE(B821,"_",C821, TEXT(E821, "000"))</f>
        <v>TRTZ_M. laciniatus002</v>
      </c>
      <c r="G821" s="21" t="s">
        <v>394</v>
      </c>
      <c r="H821" s="18" t="n">
        <v>1</v>
      </c>
      <c r="I821" s="22" t="n">
        <v>44683</v>
      </c>
      <c r="J821" s="2" t="s">
        <v>981</v>
      </c>
      <c r="L821" s="2" t="n">
        <v>1</v>
      </c>
      <c r="M821" s="2" t="n">
        <v>1</v>
      </c>
      <c r="N821" s="3" t="n">
        <v>44999</v>
      </c>
      <c r="O821" s="2" t="n">
        <v>2.65</v>
      </c>
      <c r="P821" s="2" t="n">
        <v>3</v>
      </c>
      <c r="Q821" s="62" t="str">
        <f aca="false">IF(ISBLANK(N821),"",IF(N821&lt;DATE(2023,5,1),"OLD","NEW"))</f>
        <v>OLD</v>
      </c>
      <c r="S821" s="33" t="n">
        <f aca="false">IF(COUNTIF('[1]Plate_1-2_LongFormat'!$A$2:$A$193,G821)&gt;0,1,0)</f>
        <v>1</v>
      </c>
      <c r="T821" s="33" t="n">
        <f aca="false">IF(COUNTIF([2]Attached_indexes!$C$2:$C$193,G821)&gt;0,1,0)</f>
        <v>1</v>
      </c>
      <c r="U821" s="59"/>
      <c r="V821" s="1" t="s">
        <v>982</v>
      </c>
    </row>
    <row r="822" customFormat="false" ht="15.75" hidden="false" customHeight="true" outlineLevel="0" collapsed="false">
      <c r="A822" s="18" t="s">
        <v>803</v>
      </c>
      <c r="B822" s="18" t="s">
        <v>803</v>
      </c>
      <c r="C822" s="18" t="s">
        <v>31</v>
      </c>
      <c r="E822" s="66" t="n">
        <v>2</v>
      </c>
      <c r="F822" s="21" t="str">
        <f aca="false">CONCATENATE(B822,"_",C822, TEXT(E822, "000"))</f>
        <v>TRTZ_M. laciniatus002</v>
      </c>
      <c r="G822" s="21" t="s">
        <v>394</v>
      </c>
      <c r="H822" s="18" t="n">
        <v>1</v>
      </c>
      <c r="I822" s="22" t="n">
        <v>44683</v>
      </c>
      <c r="J822" s="2" t="s">
        <v>981</v>
      </c>
      <c r="L822" s="2" t="n">
        <v>1</v>
      </c>
      <c r="M822" s="2" t="n">
        <v>1</v>
      </c>
      <c r="N822" s="3" t="n">
        <v>44999</v>
      </c>
      <c r="O822" s="2" t="n">
        <v>2.65</v>
      </c>
      <c r="P822" s="2" t="n">
        <v>3</v>
      </c>
      <c r="Q822" s="62" t="str">
        <f aca="false">IF(ISBLANK(N822),"",IF(N822&lt;DATE(2023,5,1),"OLD","NEW"))</f>
        <v>OLD</v>
      </c>
      <c r="S822" s="33" t="n">
        <f aca="false">IF(COUNTIF('[1]Plate_1-2_LongFormat'!$A$2:$A$193,G822)&gt;0,1,0)</f>
        <v>1</v>
      </c>
      <c r="T822" s="33" t="n">
        <f aca="false">IF(COUNTIF([2]Attached_indexes!$C$2:$C$193,G822)&gt;0,1,0)</f>
        <v>1</v>
      </c>
      <c r="U822" s="59"/>
      <c r="V822" s="1" t="s">
        <v>982</v>
      </c>
    </row>
    <row r="823" customFormat="false" ht="15.75" hidden="false" customHeight="true" outlineLevel="0" collapsed="false">
      <c r="A823" s="18" t="s">
        <v>803</v>
      </c>
      <c r="B823" s="18" t="s">
        <v>803</v>
      </c>
      <c r="C823" s="18" t="s">
        <v>31</v>
      </c>
      <c r="E823" s="66" t="n">
        <v>2</v>
      </c>
      <c r="F823" s="21" t="str">
        <f aca="false">CONCATENATE(B823,"_",C823, TEXT(E823, "000"))</f>
        <v>TRTZ_M. laciniatus002</v>
      </c>
      <c r="G823" s="21" t="s">
        <v>394</v>
      </c>
      <c r="H823" s="18" t="n">
        <v>1</v>
      </c>
      <c r="I823" s="22" t="n">
        <v>44683</v>
      </c>
      <c r="J823" s="2" t="s">
        <v>981</v>
      </c>
      <c r="L823" s="2" t="n">
        <v>1</v>
      </c>
      <c r="M823" s="2" t="n">
        <v>1</v>
      </c>
      <c r="N823" s="3" t="n">
        <v>44999</v>
      </c>
      <c r="O823" s="2" t="n">
        <v>2.65</v>
      </c>
      <c r="P823" s="2" t="n">
        <v>3</v>
      </c>
      <c r="Q823" s="62" t="str">
        <f aca="false">IF(ISBLANK(N823),"",IF(N823&lt;DATE(2023,5,1),"OLD","NEW"))</f>
        <v>OLD</v>
      </c>
      <c r="S823" s="33" t="n">
        <f aca="false">IF(COUNTIF('[1]Plate_1-2_LongFormat'!$A$2:$A$193,G823)&gt;0,1,0)</f>
        <v>1</v>
      </c>
      <c r="T823" s="33" t="n">
        <f aca="false">IF(COUNTIF([2]Attached_indexes!$C$2:$C$193,G823)&gt;0,1,0)</f>
        <v>1</v>
      </c>
      <c r="U823" s="59"/>
      <c r="V823" s="1" t="s">
        <v>982</v>
      </c>
    </row>
    <row r="824" customFormat="false" ht="15.75" hidden="false" customHeight="true" outlineLevel="0" collapsed="false">
      <c r="A824" s="18" t="s">
        <v>803</v>
      </c>
      <c r="B824" s="18" t="s">
        <v>803</v>
      </c>
      <c r="C824" s="18" t="s">
        <v>31</v>
      </c>
      <c r="E824" s="66" t="n">
        <v>3</v>
      </c>
      <c r="F824" s="21" t="str">
        <f aca="false">CONCATENATE(B824,"_",C824, TEXT(E824, "000"))</f>
        <v>TRTZ_M. laciniatus003</v>
      </c>
      <c r="G824" s="21" t="s">
        <v>396</v>
      </c>
      <c r="H824" s="18" t="n">
        <v>1</v>
      </c>
      <c r="I824" s="22" t="n">
        <v>44683</v>
      </c>
      <c r="J824" s="2" t="s">
        <v>981</v>
      </c>
      <c r="L824" s="2" t="n">
        <v>1</v>
      </c>
      <c r="M824" s="2" t="n">
        <v>1</v>
      </c>
      <c r="N824" s="3" t="n">
        <v>44834</v>
      </c>
      <c r="O824" s="2" t="n">
        <v>7.07</v>
      </c>
      <c r="P824" s="2" t="n">
        <v>1</v>
      </c>
      <c r="Q824" s="62" t="str">
        <f aca="false">IF(ISBLANK(N824),"",IF(N824&lt;DATE(2023,5,1),"OLD","NEW"))</f>
        <v>OLD</v>
      </c>
      <c r="S824" s="33" t="n">
        <f aca="false">IF(COUNTIF('[1]Plate_1-2_LongFormat'!$A$2:$A$193,G824)&gt;0,1,0)</f>
        <v>1</v>
      </c>
      <c r="T824" s="33" t="n">
        <f aca="false">IF(COUNTIF([2]Attached_indexes!$C$2:$C$193,G824)&gt;0,1,0)</f>
        <v>1</v>
      </c>
      <c r="U824" s="59"/>
      <c r="V824" s="1" t="s">
        <v>982</v>
      </c>
    </row>
    <row r="825" customFormat="false" ht="15.75" hidden="false" customHeight="true" outlineLevel="0" collapsed="false">
      <c r="A825" s="18" t="s">
        <v>803</v>
      </c>
      <c r="B825" s="18" t="s">
        <v>803</v>
      </c>
      <c r="C825" s="18" t="s">
        <v>31</v>
      </c>
      <c r="E825" s="66" t="n">
        <v>3</v>
      </c>
      <c r="F825" s="21" t="str">
        <f aca="false">CONCATENATE(B825,"_",C825, TEXT(E825, "000"))</f>
        <v>TRTZ_M. laciniatus003</v>
      </c>
      <c r="G825" s="21" t="s">
        <v>396</v>
      </c>
      <c r="H825" s="18" t="n">
        <v>1</v>
      </c>
      <c r="I825" s="22" t="n">
        <v>44683</v>
      </c>
      <c r="J825" s="2" t="s">
        <v>981</v>
      </c>
      <c r="L825" s="2" t="n">
        <v>1</v>
      </c>
      <c r="M825" s="2" t="n">
        <v>1</v>
      </c>
      <c r="N825" s="3" t="n">
        <v>44834</v>
      </c>
      <c r="O825" s="2" t="n">
        <v>7.07</v>
      </c>
      <c r="P825" s="2" t="n">
        <v>1</v>
      </c>
      <c r="Q825" s="62" t="str">
        <f aca="false">IF(ISBLANK(N825),"",IF(N825&lt;DATE(2023,5,1),"OLD","NEW"))</f>
        <v>OLD</v>
      </c>
      <c r="S825" s="33" t="n">
        <f aca="false">IF(COUNTIF('[1]Plate_1-2_LongFormat'!$A$2:$A$193,G825)&gt;0,1,0)</f>
        <v>1</v>
      </c>
      <c r="T825" s="33" t="n">
        <f aca="false">IF(COUNTIF([2]Attached_indexes!$C$2:$C$193,G825)&gt;0,1,0)</f>
        <v>1</v>
      </c>
      <c r="U825" s="59"/>
      <c r="V825" s="1" t="s">
        <v>982</v>
      </c>
    </row>
    <row r="826" customFormat="false" ht="15.75" hidden="false" customHeight="true" outlineLevel="0" collapsed="false">
      <c r="A826" s="18" t="s">
        <v>803</v>
      </c>
      <c r="B826" s="18" t="s">
        <v>803</v>
      </c>
      <c r="C826" s="18" t="s">
        <v>31</v>
      </c>
      <c r="E826" s="66" t="n">
        <v>3</v>
      </c>
      <c r="F826" s="21" t="str">
        <f aca="false">CONCATENATE(B826,"_",C826, TEXT(E826, "000"))</f>
        <v>TRTZ_M. laciniatus003</v>
      </c>
      <c r="G826" s="21" t="s">
        <v>396</v>
      </c>
      <c r="H826" s="18" t="n">
        <v>1</v>
      </c>
      <c r="I826" s="22" t="n">
        <v>44683</v>
      </c>
      <c r="J826" s="2" t="s">
        <v>981</v>
      </c>
      <c r="L826" s="2" t="n">
        <v>1</v>
      </c>
      <c r="M826" s="2" t="n">
        <v>1</v>
      </c>
      <c r="N826" s="3" t="n">
        <v>44834</v>
      </c>
      <c r="O826" s="2" t="n">
        <v>7.07</v>
      </c>
      <c r="P826" s="2" t="n">
        <v>1</v>
      </c>
      <c r="Q826" s="62" t="str">
        <f aca="false">IF(ISBLANK(N826),"",IF(N826&lt;DATE(2023,5,1),"OLD","NEW"))</f>
        <v>OLD</v>
      </c>
      <c r="S826" s="33" t="n">
        <f aca="false">IF(COUNTIF('[1]Plate_1-2_LongFormat'!$A$2:$A$193,G826)&gt;0,1,0)</f>
        <v>1</v>
      </c>
      <c r="T826" s="33" t="n">
        <f aca="false">IF(COUNTIF([2]Attached_indexes!$C$2:$C$193,G826)&gt;0,1,0)</f>
        <v>1</v>
      </c>
      <c r="U826" s="59"/>
      <c r="V826" s="1" t="s">
        <v>982</v>
      </c>
    </row>
    <row r="827" customFormat="false" ht="15.75" hidden="false" customHeight="true" outlineLevel="0" collapsed="false">
      <c r="A827" s="18" t="s">
        <v>803</v>
      </c>
      <c r="B827" s="18" t="s">
        <v>803</v>
      </c>
      <c r="C827" s="18" t="s">
        <v>31</v>
      </c>
      <c r="E827" s="66" t="n">
        <v>4</v>
      </c>
      <c r="F827" s="21" t="str">
        <f aca="false">CONCATENATE(B827,"_",C827, TEXT(E827, "000"))</f>
        <v>TRTZ_M. laciniatus004</v>
      </c>
      <c r="G827" s="21" t="s">
        <v>398</v>
      </c>
      <c r="H827" s="18" t="n">
        <v>1</v>
      </c>
      <c r="I827" s="22" t="n">
        <v>44683</v>
      </c>
      <c r="J827" s="2" t="s">
        <v>981</v>
      </c>
      <c r="L827" s="2" t="n">
        <v>1</v>
      </c>
      <c r="M827" s="2" t="n">
        <v>1</v>
      </c>
      <c r="N827" s="3" t="n">
        <v>44914</v>
      </c>
      <c r="O827" s="2" t="n">
        <v>18.9</v>
      </c>
      <c r="P827" s="2" t="n">
        <v>2</v>
      </c>
      <c r="Q827" s="62" t="str">
        <f aca="false">IF(ISBLANK(N827),"",IF(N827&lt;DATE(2023,5,1),"OLD","NEW"))</f>
        <v>OLD</v>
      </c>
      <c r="S827" s="33" t="n">
        <f aca="false">IF(COUNTIF('[1]Plate_1-2_LongFormat'!$A$2:$A$193,G827)&gt;0,1,0)</f>
        <v>1</v>
      </c>
      <c r="T827" s="33" t="n">
        <f aca="false">IF(COUNTIF([2]Attached_indexes!$C$2:$C$193,G827)&gt;0,1,0)</f>
        <v>1</v>
      </c>
      <c r="U827" s="59"/>
      <c r="V827" s="1" t="s">
        <v>982</v>
      </c>
    </row>
    <row r="828" customFormat="false" ht="15.75" hidden="false" customHeight="true" outlineLevel="0" collapsed="false">
      <c r="A828" s="18" t="s">
        <v>803</v>
      </c>
      <c r="B828" s="18" t="s">
        <v>803</v>
      </c>
      <c r="C828" s="18" t="s">
        <v>31</v>
      </c>
      <c r="E828" s="66" t="n">
        <v>4</v>
      </c>
      <c r="F828" s="21" t="str">
        <f aca="false">CONCATENATE(B828,"_",C828, TEXT(E828, "000"))</f>
        <v>TRTZ_M. laciniatus004</v>
      </c>
      <c r="G828" s="21" t="s">
        <v>398</v>
      </c>
      <c r="H828" s="18" t="n">
        <v>1</v>
      </c>
      <c r="I828" s="22" t="n">
        <v>44683</v>
      </c>
      <c r="J828" s="2" t="s">
        <v>981</v>
      </c>
      <c r="L828" s="2" t="n">
        <v>1</v>
      </c>
      <c r="M828" s="2" t="n">
        <v>1</v>
      </c>
      <c r="N828" s="3" t="n">
        <v>44914</v>
      </c>
      <c r="O828" s="2" t="n">
        <v>18.9</v>
      </c>
      <c r="P828" s="2" t="n">
        <v>2</v>
      </c>
      <c r="Q828" s="62" t="str">
        <f aca="false">IF(ISBLANK(N828),"",IF(N828&lt;DATE(2023,5,1),"OLD","NEW"))</f>
        <v>OLD</v>
      </c>
      <c r="S828" s="33" t="n">
        <f aca="false">IF(COUNTIF('[1]Plate_1-2_LongFormat'!$A$2:$A$193,G828)&gt;0,1,0)</f>
        <v>1</v>
      </c>
      <c r="T828" s="33" t="n">
        <f aca="false">IF(COUNTIF([2]Attached_indexes!$C$2:$C$193,G828)&gt;0,1,0)</f>
        <v>1</v>
      </c>
      <c r="U828" s="59"/>
      <c r="V828" s="1" t="s">
        <v>982</v>
      </c>
    </row>
    <row r="829" customFormat="false" ht="15.75" hidden="false" customHeight="true" outlineLevel="0" collapsed="false">
      <c r="A829" s="18" t="s">
        <v>803</v>
      </c>
      <c r="B829" s="18" t="s">
        <v>803</v>
      </c>
      <c r="C829" s="18" t="s">
        <v>31</v>
      </c>
      <c r="E829" s="66" t="n">
        <v>4</v>
      </c>
      <c r="F829" s="21" t="str">
        <f aca="false">CONCATENATE(B829,"_",C829, TEXT(E829, "000"))</f>
        <v>TRTZ_M. laciniatus004</v>
      </c>
      <c r="G829" s="21" t="s">
        <v>398</v>
      </c>
      <c r="H829" s="18" t="n">
        <v>1</v>
      </c>
      <c r="I829" s="22" t="n">
        <v>44683</v>
      </c>
      <c r="J829" s="2" t="s">
        <v>981</v>
      </c>
      <c r="L829" s="2" t="n">
        <v>1</v>
      </c>
      <c r="M829" s="2" t="n">
        <v>1</v>
      </c>
      <c r="N829" s="3" t="n">
        <v>44914</v>
      </c>
      <c r="O829" s="2" t="n">
        <v>18.9</v>
      </c>
      <c r="P829" s="2" t="n">
        <v>2</v>
      </c>
      <c r="Q829" s="62" t="str">
        <f aca="false">IF(ISBLANK(N829),"",IF(N829&lt;DATE(2023,5,1),"OLD","NEW"))</f>
        <v>OLD</v>
      </c>
      <c r="S829" s="33" t="n">
        <f aca="false">IF(COUNTIF('[1]Plate_1-2_LongFormat'!$A$2:$A$193,G829)&gt;0,1,0)</f>
        <v>1</v>
      </c>
      <c r="T829" s="33" t="n">
        <f aca="false">IF(COUNTIF([2]Attached_indexes!$C$2:$C$193,G829)&gt;0,1,0)</f>
        <v>1</v>
      </c>
      <c r="U829" s="59"/>
      <c r="V829" s="1" t="s">
        <v>982</v>
      </c>
    </row>
    <row r="830" customFormat="false" ht="15.75" hidden="false" customHeight="true" outlineLevel="0" collapsed="false">
      <c r="A830" s="18" t="s">
        <v>803</v>
      </c>
      <c r="B830" s="18" t="s">
        <v>803</v>
      </c>
      <c r="C830" s="18" t="s">
        <v>31</v>
      </c>
      <c r="E830" s="66" t="n">
        <v>5</v>
      </c>
      <c r="F830" s="21" t="str">
        <f aca="false">CONCATENATE(B830,"_",C830, TEXT(E830, "000"))</f>
        <v>TRTZ_M. laciniatus005</v>
      </c>
      <c r="G830" s="21" t="s">
        <v>400</v>
      </c>
      <c r="H830" s="18" t="n">
        <v>1</v>
      </c>
      <c r="I830" s="22" t="n">
        <v>44683</v>
      </c>
      <c r="J830" s="2" t="s">
        <v>981</v>
      </c>
      <c r="L830" s="2" t="n">
        <v>1</v>
      </c>
      <c r="M830" s="2" t="n">
        <v>1</v>
      </c>
      <c r="N830" s="3" t="n">
        <v>44834</v>
      </c>
      <c r="O830" s="2" t="n">
        <v>3.71</v>
      </c>
      <c r="P830" s="2" t="n">
        <v>1</v>
      </c>
      <c r="Q830" s="62" t="str">
        <f aca="false">IF(ISBLANK(N830),"",IF(N830&lt;DATE(2023,5,1),"OLD","NEW"))</f>
        <v>OLD</v>
      </c>
      <c r="S830" s="33" t="n">
        <f aca="false">IF(COUNTIF('[1]Plate_1-2_LongFormat'!$A$2:$A$193,G830)&gt;0,1,0)</f>
        <v>1</v>
      </c>
      <c r="T830" s="33" t="n">
        <f aca="false">IF(COUNTIF([2]Attached_indexes!$C$2:$C$193,G830)&gt;0,1,0)</f>
        <v>1</v>
      </c>
      <c r="U830" s="59"/>
      <c r="V830" s="1" t="s">
        <v>982</v>
      </c>
    </row>
    <row r="831" customFormat="false" ht="15.75" hidden="false" customHeight="true" outlineLevel="0" collapsed="false">
      <c r="A831" s="18" t="s">
        <v>803</v>
      </c>
      <c r="B831" s="18" t="s">
        <v>803</v>
      </c>
      <c r="C831" s="18" t="s">
        <v>31</v>
      </c>
      <c r="E831" s="66" t="n">
        <v>5</v>
      </c>
      <c r="F831" s="21" t="str">
        <f aca="false">CONCATENATE(B831,"_",C831, TEXT(E831, "000"))</f>
        <v>TRTZ_M. laciniatus005</v>
      </c>
      <c r="G831" s="21" t="s">
        <v>400</v>
      </c>
      <c r="H831" s="18" t="n">
        <v>1</v>
      </c>
      <c r="I831" s="22" t="n">
        <v>44683</v>
      </c>
      <c r="J831" s="2" t="s">
        <v>981</v>
      </c>
      <c r="L831" s="2" t="n">
        <v>1</v>
      </c>
      <c r="M831" s="2" t="n">
        <v>1</v>
      </c>
      <c r="N831" s="3" t="n">
        <v>44834</v>
      </c>
      <c r="O831" s="2" t="n">
        <v>3.71</v>
      </c>
      <c r="P831" s="2" t="n">
        <v>1</v>
      </c>
      <c r="Q831" s="62" t="str">
        <f aca="false">IF(ISBLANK(N831),"",IF(N831&lt;DATE(2023,5,1),"OLD","NEW"))</f>
        <v>OLD</v>
      </c>
      <c r="S831" s="33" t="n">
        <f aca="false">IF(COUNTIF('[1]Plate_1-2_LongFormat'!$A$2:$A$193,G831)&gt;0,1,0)</f>
        <v>1</v>
      </c>
      <c r="T831" s="33" t="n">
        <f aca="false">IF(COUNTIF([2]Attached_indexes!$C$2:$C$193,G831)&gt;0,1,0)</f>
        <v>1</v>
      </c>
      <c r="U831" s="59"/>
      <c r="V831" s="1" t="s">
        <v>982</v>
      </c>
    </row>
    <row r="832" customFormat="false" ht="15.75" hidden="false" customHeight="true" outlineLevel="0" collapsed="false">
      <c r="A832" s="18" t="s">
        <v>803</v>
      </c>
      <c r="B832" s="18" t="s">
        <v>803</v>
      </c>
      <c r="C832" s="18" t="s">
        <v>31</v>
      </c>
      <c r="E832" s="66" t="n">
        <v>5</v>
      </c>
      <c r="F832" s="21" t="str">
        <f aca="false">CONCATENATE(B832,"_",C832, TEXT(E832, "000"))</f>
        <v>TRTZ_M. laciniatus005</v>
      </c>
      <c r="G832" s="21" t="s">
        <v>400</v>
      </c>
      <c r="H832" s="18" t="n">
        <v>1</v>
      </c>
      <c r="I832" s="22" t="n">
        <v>44683</v>
      </c>
      <c r="J832" s="2" t="s">
        <v>981</v>
      </c>
      <c r="L832" s="2" t="n">
        <v>1</v>
      </c>
      <c r="M832" s="2" t="n">
        <v>1</v>
      </c>
      <c r="N832" s="3" t="n">
        <v>44834</v>
      </c>
      <c r="O832" s="2" t="n">
        <v>3.71</v>
      </c>
      <c r="P832" s="2" t="n">
        <v>1</v>
      </c>
      <c r="Q832" s="62" t="str">
        <f aca="false">IF(ISBLANK(N832),"",IF(N832&lt;DATE(2023,5,1),"OLD","NEW"))</f>
        <v>OLD</v>
      </c>
      <c r="S832" s="33" t="n">
        <f aca="false">IF(COUNTIF('[1]Plate_1-2_LongFormat'!$A$2:$A$193,G832)&gt;0,1,0)</f>
        <v>1</v>
      </c>
      <c r="T832" s="33" t="n">
        <f aca="false">IF(COUNTIF([2]Attached_indexes!$C$2:$C$193,G832)&gt;0,1,0)</f>
        <v>1</v>
      </c>
      <c r="U832" s="59"/>
      <c r="V832" s="1" t="s">
        <v>982</v>
      </c>
    </row>
    <row r="833" customFormat="false" ht="15.75" hidden="false" customHeight="true" outlineLevel="0" collapsed="false">
      <c r="A833" s="18" t="s">
        <v>803</v>
      </c>
      <c r="B833" s="18" t="s">
        <v>803</v>
      </c>
      <c r="C833" s="18" t="s">
        <v>31</v>
      </c>
      <c r="E833" s="66" t="n">
        <v>6</v>
      </c>
      <c r="F833" s="21" t="str">
        <f aca="false">CONCATENATE(B833,"_",C833, TEXT(E833, "000"))</f>
        <v>TRTZ_M. laciniatus006</v>
      </c>
      <c r="G833" s="21" t="s">
        <v>402</v>
      </c>
      <c r="H833" s="18" t="n">
        <v>1</v>
      </c>
      <c r="I833" s="22" t="n">
        <v>44683</v>
      </c>
      <c r="J833" s="2" t="s">
        <v>981</v>
      </c>
      <c r="L833" s="2" t="n">
        <v>1</v>
      </c>
      <c r="M833" s="2" t="n">
        <v>1</v>
      </c>
      <c r="N833" s="3" t="n">
        <v>44834</v>
      </c>
      <c r="O833" s="2" t="n">
        <v>1.31</v>
      </c>
      <c r="P833" s="2" t="n">
        <v>1</v>
      </c>
      <c r="Q833" s="62" t="str">
        <f aca="false">IF(ISBLANK(N833),"",IF(N833&lt;DATE(2023,5,1),"OLD","NEW"))</f>
        <v>OLD</v>
      </c>
      <c r="S833" s="33" t="n">
        <f aca="false">IF(COUNTIF('[1]Plate_1-2_LongFormat'!$A$2:$A$193,G833)&gt;0,1,0)</f>
        <v>1</v>
      </c>
      <c r="T833" s="33" t="n">
        <f aca="false">IF(COUNTIF([2]Attached_indexes!$C$2:$C$193,G833)&gt;0,1,0)</f>
        <v>1</v>
      </c>
      <c r="U833" s="59"/>
      <c r="V833" s="1" t="s">
        <v>982</v>
      </c>
    </row>
    <row r="834" customFormat="false" ht="15.75" hidden="false" customHeight="true" outlineLevel="0" collapsed="false">
      <c r="A834" s="18" t="s">
        <v>803</v>
      </c>
      <c r="B834" s="18" t="s">
        <v>803</v>
      </c>
      <c r="C834" s="18" t="s">
        <v>31</v>
      </c>
      <c r="E834" s="66" t="n">
        <v>6</v>
      </c>
      <c r="F834" s="21" t="str">
        <f aca="false">CONCATENATE(B834,"_",C834, TEXT(E834, "000"))</f>
        <v>TRTZ_M. laciniatus006</v>
      </c>
      <c r="G834" s="21" t="s">
        <v>402</v>
      </c>
      <c r="H834" s="18" t="n">
        <v>1</v>
      </c>
      <c r="I834" s="22" t="n">
        <v>44683</v>
      </c>
      <c r="J834" s="2" t="s">
        <v>981</v>
      </c>
      <c r="L834" s="2" t="n">
        <v>1</v>
      </c>
      <c r="M834" s="2" t="n">
        <v>1</v>
      </c>
      <c r="N834" s="3" t="n">
        <v>44834</v>
      </c>
      <c r="O834" s="2" t="n">
        <v>1.31</v>
      </c>
      <c r="P834" s="2" t="n">
        <v>1</v>
      </c>
      <c r="Q834" s="62" t="str">
        <f aca="false">IF(ISBLANK(N834),"",IF(N834&lt;DATE(2023,5,1),"OLD","NEW"))</f>
        <v>OLD</v>
      </c>
      <c r="S834" s="33" t="n">
        <f aca="false">IF(COUNTIF('[1]Plate_1-2_LongFormat'!$A$2:$A$193,G834)&gt;0,1,0)</f>
        <v>1</v>
      </c>
      <c r="T834" s="33" t="n">
        <f aca="false">IF(COUNTIF([2]Attached_indexes!$C$2:$C$193,G834)&gt;0,1,0)</f>
        <v>1</v>
      </c>
      <c r="U834" s="59"/>
      <c r="V834" s="1" t="s">
        <v>982</v>
      </c>
    </row>
    <row r="835" customFormat="false" ht="15.75" hidden="false" customHeight="true" outlineLevel="0" collapsed="false">
      <c r="A835" s="18" t="s">
        <v>803</v>
      </c>
      <c r="B835" s="18" t="s">
        <v>803</v>
      </c>
      <c r="C835" s="18" t="s">
        <v>31</v>
      </c>
      <c r="E835" s="66" t="n">
        <v>6</v>
      </c>
      <c r="F835" s="21" t="str">
        <f aca="false">CONCATENATE(B835,"_",C835, TEXT(E835, "000"))</f>
        <v>TRTZ_M. laciniatus006</v>
      </c>
      <c r="G835" s="21" t="s">
        <v>402</v>
      </c>
      <c r="H835" s="18" t="n">
        <v>1</v>
      </c>
      <c r="I835" s="22" t="n">
        <v>44683</v>
      </c>
      <c r="J835" s="2" t="s">
        <v>981</v>
      </c>
      <c r="L835" s="2" t="n">
        <v>1</v>
      </c>
      <c r="M835" s="2" t="n">
        <v>1</v>
      </c>
      <c r="N835" s="3" t="n">
        <v>44834</v>
      </c>
      <c r="O835" s="2" t="n">
        <v>1.31</v>
      </c>
      <c r="P835" s="2" t="n">
        <v>1</v>
      </c>
      <c r="Q835" s="62" t="str">
        <f aca="false">IF(ISBLANK(N835),"",IF(N835&lt;DATE(2023,5,1),"OLD","NEW"))</f>
        <v>OLD</v>
      </c>
      <c r="S835" s="33" t="n">
        <f aca="false">IF(COUNTIF('[1]Plate_1-2_LongFormat'!$A$2:$A$193,G835)&gt;0,1,0)</f>
        <v>1</v>
      </c>
      <c r="T835" s="33" t="n">
        <f aca="false">IF(COUNTIF([2]Attached_indexes!$C$2:$C$193,G835)&gt;0,1,0)</f>
        <v>1</v>
      </c>
      <c r="U835" s="59"/>
      <c r="V835" s="1" t="s">
        <v>982</v>
      </c>
    </row>
    <row r="836" customFormat="false" ht="15.75" hidden="false" customHeight="true" outlineLevel="0" collapsed="false">
      <c r="A836" s="18" t="s">
        <v>803</v>
      </c>
      <c r="B836" s="18" t="s">
        <v>803</v>
      </c>
      <c r="C836" s="18" t="s">
        <v>31</v>
      </c>
      <c r="E836" s="66" t="n">
        <v>7</v>
      </c>
      <c r="F836" s="21" t="str">
        <f aca="false">CONCATENATE(B836,"_",C836, TEXT(E836, "000"))</f>
        <v>TRTZ_M. laciniatus007</v>
      </c>
      <c r="G836" s="21" t="s">
        <v>404</v>
      </c>
      <c r="H836" s="18" t="n">
        <v>1</v>
      </c>
      <c r="I836" s="22" t="n">
        <v>44683</v>
      </c>
      <c r="J836" s="2" t="s">
        <v>981</v>
      </c>
      <c r="K836" s="2" t="s">
        <v>1043</v>
      </c>
      <c r="L836" s="2" t="n">
        <v>1</v>
      </c>
      <c r="M836" s="2" t="n">
        <v>1</v>
      </c>
      <c r="N836" s="3" t="n">
        <v>45053</v>
      </c>
      <c r="O836" s="2" t="n">
        <v>8.87</v>
      </c>
      <c r="P836" s="2" t="n">
        <v>3</v>
      </c>
      <c r="Q836" s="62" t="str">
        <f aca="false">IF(ISBLANK(N836),"",IF(N836&lt;DATE(2023,5,1),"OLD","NEW"))</f>
        <v>NEW</v>
      </c>
      <c r="S836" s="33" t="n">
        <f aca="false">IF(COUNTIF('[1]Plate_1-2_LongFormat'!$A$2:$A$193,G836)&gt;0,1,0)</f>
        <v>0</v>
      </c>
      <c r="T836" s="33" t="n">
        <f aca="false">IF(COUNTIF([2]Attached_indexes!$C$2:$C$193,G836)&gt;0,1,0)</f>
        <v>0</v>
      </c>
      <c r="U836" s="59"/>
      <c r="V836" s="1" t="s">
        <v>982</v>
      </c>
    </row>
    <row r="837" customFormat="false" ht="15.75" hidden="false" customHeight="true" outlineLevel="0" collapsed="false">
      <c r="A837" s="18" t="s">
        <v>803</v>
      </c>
      <c r="B837" s="18" t="s">
        <v>803</v>
      </c>
      <c r="C837" s="18" t="s">
        <v>31</v>
      </c>
      <c r="E837" s="66" t="n">
        <v>7</v>
      </c>
      <c r="F837" s="21" t="str">
        <f aca="false">CONCATENATE(B837,"_",C837, TEXT(E837, "000"))</f>
        <v>TRTZ_M. laciniatus007</v>
      </c>
      <c r="G837" s="21" t="s">
        <v>404</v>
      </c>
      <c r="H837" s="18" t="n">
        <v>1</v>
      </c>
      <c r="I837" s="22" t="n">
        <v>44683</v>
      </c>
      <c r="J837" s="2" t="s">
        <v>981</v>
      </c>
      <c r="K837" s="2" t="s">
        <v>1043</v>
      </c>
      <c r="L837" s="2" t="n">
        <v>1</v>
      </c>
      <c r="M837" s="2" t="n">
        <v>1</v>
      </c>
      <c r="N837" s="3" t="n">
        <v>45053</v>
      </c>
      <c r="O837" s="2" t="n">
        <v>8.87</v>
      </c>
      <c r="P837" s="2" t="n">
        <v>3</v>
      </c>
      <c r="Q837" s="62" t="str">
        <f aca="false">IF(ISBLANK(N837),"",IF(N837&lt;DATE(2023,5,1),"OLD","NEW"))</f>
        <v>NEW</v>
      </c>
      <c r="S837" s="33" t="n">
        <f aca="false">IF(COUNTIF('[1]Plate_1-2_LongFormat'!$A$2:$A$193,G837)&gt;0,1,0)</f>
        <v>0</v>
      </c>
      <c r="T837" s="33" t="n">
        <f aca="false">IF(COUNTIF([2]Attached_indexes!$C$2:$C$193,G837)&gt;0,1,0)</f>
        <v>0</v>
      </c>
      <c r="U837" s="59"/>
      <c r="V837" s="1" t="s">
        <v>982</v>
      </c>
    </row>
    <row r="838" customFormat="false" ht="15.75" hidden="false" customHeight="true" outlineLevel="0" collapsed="false">
      <c r="A838" s="18" t="s">
        <v>803</v>
      </c>
      <c r="B838" s="18" t="s">
        <v>803</v>
      </c>
      <c r="C838" s="18" t="s">
        <v>31</v>
      </c>
      <c r="E838" s="66" t="n">
        <v>7</v>
      </c>
      <c r="F838" s="21" t="str">
        <f aca="false">CONCATENATE(B838,"_",C838, TEXT(E838, "000"))</f>
        <v>TRTZ_M. laciniatus007</v>
      </c>
      <c r="G838" s="21" t="s">
        <v>404</v>
      </c>
      <c r="H838" s="18" t="n">
        <v>1</v>
      </c>
      <c r="I838" s="22" t="n">
        <v>44683</v>
      </c>
      <c r="J838" s="2" t="s">
        <v>981</v>
      </c>
      <c r="K838" s="2" t="s">
        <v>1043</v>
      </c>
      <c r="L838" s="2" t="n">
        <v>1</v>
      </c>
      <c r="M838" s="2" t="n">
        <v>1</v>
      </c>
      <c r="N838" s="3" t="n">
        <v>45053</v>
      </c>
      <c r="O838" s="2" t="n">
        <v>8.87</v>
      </c>
      <c r="P838" s="2" t="n">
        <v>3</v>
      </c>
      <c r="Q838" s="62" t="str">
        <f aca="false">IF(ISBLANK(N838),"",IF(N838&lt;DATE(2023,5,1),"OLD","NEW"))</f>
        <v>NEW</v>
      </c>
      <c r="S838" s="33" t="n">
        <f aca="false">IF(COUNTIF('[1]Plate_1-2_LongFormat'!$A$2:$A$193,G838)&gt;0,1,0)</f>
        <v>0</v>
      </c>
      <c r="T838" s="33" t="n">
        <f aca="false">IF(COUNTIF([2]Attached_indexes!$C$2:$C$193,G838)&gt;0,1,0)</f>
        <v>0</v>
      </c>
      <c r="U838" s="59"/>
      <c r="V838" s="1" t="s">
        <v>982</v>
      </c>
    </row>
    <row r="839" customFormat="false" ht="15.75" hidden="false" customHeight="true" outlineLevel="0" collapsed="false">
      <c r="A839" s="18" t="s">
        <v>803</v>
      </c>
      <c r="B839" s="18" t="s">
        <v>803</v>
      </c>
      <c r="C839" s="18" t="s">
        <v>31</v>
      </c>
      <c r="E839" s="66" t="n">
        <v>8</v>
      </c>
      <c r="F839" s="21" t="str">
        <f aca="false">CONCATENATE(B839,"_",C839, TEXT(E839, "000"))</f>
        <v>TRTZ_M. laciniatus008</v>
      </c>
      <c r="G839" s="21" t="s">
        <v>406</v>
      </c>
      <c r="H839" s="18" t="n">
        <v>1</v>
      </c>
      <c r="I839" s="22" t="n">
        <v>44683</v>
      </c>
      <c r="J839" s="2" t="s">
        <v>981</v>
      </c>
      <c r="L839" s="2" t="n">
        <v>1</v>
      </c>
      <c r="M839" s="2" t="n">
        <v>1</v>
      </c>
      <c r="N839" s="3" t="n">
        <v>45058</v>
      </c>
      <c r="O839" s="2" t="n">
        <v>6.12</v>
      </c>
      <c r="P839" s="2" t="n">
        <v>3</v>
      </c>
      <c r="Q839" s="62" t="str">
        <f aca="false">IF(ISBLANK(N839),"",IF(N839&lt;DATE(2023,5,1),"OLD","NEW"))</f>
        <v>NEW</v>
      </c>
      <c r="S839" s="33" t="n">
        <f aca="false">IF(COUNTIF('[1]Plate_1-2_LongFormat'!$A$2:$A$193,G839)&gt;0,1,0)</f>
        <v>0</v>
      </c>
      <c r="T839" s="33" t="n">
        <f aca="false">IF(COUNTIF([2]Attached_indexes!$C$2:$C$193,G839)&gt;0,1,0)</f>
        <v>0</v>
      </c>
      <c r="U839" s="59"/>
      <c r="V839" s="1" t="s">
        <v>982</v>
      </c>
    </row>
    <row r="840" customFormat="false" ht="15.75" hidden="false" customHeight="true" outlineLevel="0" collapsed="false">
      <c r="A840" s="18" t="s">
        <v>803</v>
      </c>
      <c r="B840" s="18" t="s">
        <v>803</v>
      </c>
      <c r="C840" s="18" t="s">
        <v>31</v>
      </c>
      <c r="E840" s="66" t="n">
        <v>8</v>
      </c>
      <c r="F840" s="21" t="str">
        <f aca="false">CONCATENATE(B840,"_",C840, TEXT(E840, "000"))</f>
        <v>TRTZ_M. laciniatus008</v>
      </c>
      <c r="G840" s="21" t="s">
        <v>406</v>
      </c>
      <c r="H840" s="18" t="n">
        <v>1</v>
      </c>
      <c r="I840" s="22" t="n">
        <v>44683</v>
      </c>
      <c r="J840" s="2" t="s">
        <v>981</v>
      </c>
      <c r="L840" s="2" t="n">
        <v>1</v>
      </c>
      <c r="M840" s="2" t="n">
        <v>1</v>
      </c>
      <c r="N840" s="3" t="n">
        <v>45058</v>
      </c>
      <c r="O840" s="2" t="n">
        <v>6.12</v>
      </c>
      <c r="P840" s="2" t="n">
        <v>3</v>
      </c>
      <c r="Q840" s="62" t="str">
        <f aca="false">IF(ISBLANK(N840),"",IF(N840&lt;DATE(2023,5,1),"OLD","NEW"))</f>
        <v>NEW</v>
      </c>
      <c r="S840" s="33" t="n">
        <f aca="false">IF(COUNTIF('[1]Plate_1-2_LongFormat'!$A$2:$A$193,G840)&gt;0,1,0)</f>
        <v>0</v>
      </c>
      <c r="T840" s="33" t="n">
        <f aca="false">IF(COUNTIF([2]Attached_indexes!$C$2:$C$193,G840)&gt;0,1,0)</f>
        <v>0</v>
      </c>
      <c r="U840" s="59"/>
      <c r="V840" s="1" t="s">
        <v>982</v>
      </c>
    </row>
    <row r="841" customFormat="false" ht="15.75" hidden="false" customHeight="true" outlineLevel="0" collapsed="false">
      <c r="A841" s="18" t="s">
        <v>803</v>
      </c>
      <c r="B841" s="18" t="s">
        <v>803</v>
      </c>
      <c r="C841" s="18" t="s">
        <v>31</v>
      </c>
      <c r="E841" s="66" t="n">
        <v>8</v>
      </c>
      <c r="F841" s="21" t="str">
        <f aca="false">CONCATENATE(B841,"_",C841, TEXT(E841, "000"))</f>
        <v>TRTZ_M. laciniatus008</v>
      </c>
      <c r="G841" s="21" t="s">
        <v>406</v>
      </c>
      <c r="H841" s="18" t="n">
        <v>1</v>
      </c>
      <c r="I841" s="22" t="n">
        <v>44683</v>
      </c>
      <c r="J841" s="2" t="s">
        <v>981</v>
      </c>
      <c r="L841" s="2" t="n">
        <v>1</v>
      </c>
      <c r="M841" s="2" t="n">
        <v>1</v>
      </c>
      <c r="N841" s="3" t="n">
        <v>45058</v>
      </c>
      <c r="O841" s="2" t="n">
        <v>6.12</v>
      </c>
      <c r="P841" s="2" t="n">
        <v>3</v>
      </c>
      <c r="Q841" s="62" t="str">
        <f aca="false">IF(ISBLANK(N841),"",IF(N841&lt;DATE(2023,5,1),"OLD","NEW"))</f>
        <v>NEW</v>
      </c>
      <c r="S841" s="33" t="n">
        <f aca="false">IF(COUNTIF('[1]Plate_1-2_LongFormat'!$A$2:$A$193,G841)&gt;0,1,0)</f>
        <v>0</v>
      </c>
      <c r="T841" s="33" t="n">
        <f aca="false">IF(COUNTIF([2]Attached_indexes!$C$2:$C$193,G841)&gt;0,1,0)</f>
        <v>0</v>
      </c>
      <c r="U841" s="59"/>
      <c r="V841" s="1" t="s">
        <v>982</v>
      </c>
    </row>
    <row r="842" customFormat="false" ht="15.75" hidden="false" customHeight="true" outlineLevel="0" collapsed="false">
      <c r="A842" s="18" t="s">
        <v>803</v>
      </c>
      <c r="B842" s="18" t="s">
        <v>803</v>
      </c>
      <c r="C842" s="18" t="s">
        <v>31</v>
      </c>
      <c r="E842" s="66" t="n">
        <v>9</v>
      </c>
      <c r="F842" s="21" t="str">
        <f aca="false">CONCATENATE(B842,"_",C842, TEXT(E842, "000"))</f>
        <v>TRTZ_M. laciniatus009</v>
      </c>
      <c r="G842" s="21" t="s">
        <v>408</v>
      </c>
      <c r="H842" s="18" t="n">
        <v>1</v>
      </c>
      <c r="I842" s="22" t="n">
        <v>44683</v>
      </c>
      <c r="J842" s="2" t="s">
        <v>981</v>
      </c>
      <c r="L842" s="2" t="n">
        <v>1</v>
      </c>
      <c r="M842" s="2" t="n">
        <v>1</v>
      </c>
      <c r="N842" s="3" t="n">
        <v>45058</v>
      </c>
      <c r="O842" s="2" t="n">
        <v>19.6</v>
      </c>
      <c r="P842" s="2" t="n">
        <v>3</v>
      </c>
      <c r="Q842" s="62" t="str">
        <f aca="false">IF(ISBLANK(N842),"",IF(N842&lt;DATE(2023,5,1),"OLD","NEW"))</f>
        <v>NEW</v>
      </c>
      <c r="S842" s="33" t="n">
        <f aca="false">IF(COUNTIF('[1]Plate_1-2_LongFormat'!$A$2:$A$193,G842)&gt;0,1,0)</f>
        <v>0</v>
      </c>
      <c r="T842" s="33" t="n">
        <f aca="false">IF(COUNTIF([2]Attached_indexes!$C$2:$C$193,G842)&gt;0,1,0)</f>
        <v>0</v>
      </c>
      <c r="U842" s="59"/>
      <c r="V842" s="1" t="s">
        <v>982</v>
      </c>
    </row>
    <row r="843" customFormat="false" ht="15.75" hidden="false" customHeight="true" outlineLevel="0" collapsed="false">
      <c r="A843" s="18" t="s">
        <v>803</v>
      </c>
      <c r="B843" s="18" t="s">
        <v>803</v>
      </c>
      <c r="C843" s="18" t="s">
        <v>31</v>
      </c>
      <c r="E843" s="66" t="n">
        <v>9</v>
      </c>
      <c r="F843" s="21" t="str">
        <f aca="false">CONCATENATE(B843,"_",C843, TEXT(E843, "000"))</f>
        <v>TRTZ_M. laciniatus009</v>
      </c>
      <c r="G843" s="21" t="s">
        <v>408</v>
      </c>
      <c r="H843" s="18" t="n">
        <v>1</v>
      </c>
      <c r="I843" s="22" t="n">
        <v>44683</v>
      </c>
      <c r="J843" s="2" t="s">
        <v>981</v>
      </c>
      <c r="L843" s="2" t="n">
        <v>1</v>
      </c>
      <c r="M843" s="2" t="n">
        <v>1</v>
      </c>
      <c r="N843" s="3" t="n">
        <v>45058</v>
      </c>
      <c r="O843" s="2" t="n">
        <v>19.6</v>
      </c>
      <c r="P843" s="2" t="n">
        <v>3</v>
      </c>
      <c r="Q843" s="62" t="str">
        <f aca="false">IF(ISBLANK(N843),"",IF(N843&lt;DATE(2023,5,1),"OLD","NEW"))</f>
        <v>NEW</v>
      </c>
      <c r="S843" s="33" t="n">
        <f aca="false">IF(COUNTIF('[1]Plate_1-2_LongFormat'!$A$2:$A$193,G843)&gt;0,1,0)</f>
        <v>0</v>
      </c>
      <c r="T843" s="33" t="n">
        <f aca="false">IF(COUNTIF([2]Attached_indexes!$C$2:$C$193,G843)&gt;0,1,0)</f>
        <v>0</v>
      </c>
      <c r="U843" s="59"/>
      <c r="V843" s="1" t="s">
        <v>982</v>
      </c>
    </row>
    <row r="844" customFormat="false" ht="15.75" hidden="false" customHeight="true" outlineLevel="0" collapsed="false">
      <c r="A844" s="18" t="s">
        <v>803</v>
      </c>
      <c r="B844" s="18" t="s">
        <v>803</v>
      </c>
      <c r="C844" s="18" t="s">
        <v>31</v>
      </c>
      <c r="E844" s="66" t="n">
        <v>9</v>
      </c>
      <c r="F844" s="73" t="str">
        <f aca="false">CONCATENATE(B844,"_",C844, TEXT(E844, "000"))</f>
        <v>TRTZ_M. laciniatus009</v>
      </c>
      <c r="G844" s="73" t="s">
        <v>408</v>
      </c>
      <c r="H844" s="18" t="n">
        <v>1</v>
      </c>
      <c r="I844" s="22" t="n">
        <v>44683</v>
      </c>
      <c r="J844" s="2" t="s">
        <v>981</v>
      </c>
      <c r="L844" s="2" t="n">
        <v>1</v>
      </c>
      <c r="M844" s="2" t="n">
        <v>1</v>
      </c>
      <c r="N844" s="3" t="n">
        <v>45058</v>
      </c>
      <c r="O844" s="2" t="n">
        <v>19.6</v>
      </c>
      <c r="P844" s="2" t="n">
        <v>3</v>
      </c>
      <c r="Q844" s="62" t="str">
        <f aca="false">IF(ISBLANK(N844),"",IF(N844&lt;DATE(2023,5,1),"OLD","NEW"))</f>
        <v>NEW</v>
      </c>
      <c r="S844" s="33" t="n">
        <f aca="false">IF(COUNTIF('[1]Plate_1-2_LongFormat'!$A$2:$A$193,G844)&gt;0,1,0)</f>
        <v>0</v>
      </c>
      <c r="T844" s="33" t="n">
        <f aca="false">IF(COUNTIF([2]Attached_indexes!$C$2:$C$193,G844)&gt;0,1,0)</f>
        <v>0</v>
      </c>
      <c r="U844" s="59"/>
      <c r="V844" s="1" t="s">
        <v>982</v>
      </c>
    </row>
    <row r="845" customFormat="false" ht="15.75" hidden="false" customHeight="true" outlineLevel="0" collapsed="false">
      <c r="A845" s="18" t="s">
        <v>30</v>
      </c>
      <c r="B845" s="18" t="s">
        <v>30</v>
      </c>
      <c r="C845" s="18" t="s">
        <v>31</v>
      </c>
      <c r="D845" s="2"/>
      <c r="E845" s="66" t="n">
        <v>1</v>
      </c>
      <c r="F845" s="73" t="str">
        <f aca="false">CONCATENATE(B845,"_",C845, TEXT(E845, "000"))</f>
        <v>TRTB_M. laciniatus001</v>
      </c>
      <c r="G845" s="73" t="s">
        <v>33</v>
      </c>
      <c r="H845" s="18" t="n">
        <v>1</v>
      </c>
      <c r="I845" s="22" t="n">
        <v>44319</v>
      </c>
      <c r="J845" s="2" t="s">
        <v>981</v>
      </c>
      <c r="K845" s="68" t="s">
        <v>1025</v>
      </c>
      <c r="L845" s="2" t="n">
        <v>1</v>
      </c>
      <c r="M845" s="2" t="n">
        <v>1</v>
      </c>
      <c r="N845" s="3" t="n">
        <v>45077</v>
      </c>
      <c r="O845" s="2" t="n">
        <v>22.4</v>
      </c>
      <c r="P845" s="2" t="n">
        <v>4</v>
      </c>
      <c r="Q845" s="62" t="str">
        <f aca="false">IF(ISBLANK(N845),"",IF(N845&lt;DATE(2023,5,1),"OLD","NEW"))</f>
        <v>NEW</v>
      </c>
      <c r="R845" s="2"/>
      <c r="S845" s="33" t="n">
        <f aca="false">IF(COUNTIF('[1]Plate_1-2_LongFormat'!$A$2:$A$193,G845)&gt;0,1,0)</f>
        <v>0</v>
      </c>
      <c r="T845" s="33" t="n">
        <f aca="false">IF(COUNTIF([2]Attached_indexes!$C$2:$C$193,G845)&gt;0,1,0)</f>
        <v>0</v>
      </c>
      <c r="U845" s="59"/>
      <c r="V845" s="1" t="s">
        <v>982</v>
      </c>
      <c r="W845" s="2"/>
      <c r="X845" s="2"/>
      <c r="Y845" s="2"/>
      <c r="Z845" s="2"/>
    </row>
    <row r="846" customFormat="false" ht="15.75" hidden="false" customHeight="true" outlineLevel="0" collapsed="false">
      <c r="A846" s="18" t="s">
        <v>30</v>
      </c>
      <c r="B846" s="18" t="s">
        <v>30</v>
      </c>
      <c r="C846" s="18" t="s">
        <v>31</v>
      </c>
      <c r="D846" s="2"/>
      <c r="E846" s="66" t="n">
        <v>1</v>
      </c>
      <c r="F846" s="73" t="str">
        <f aca="false">CONCATENATE(B846,"_",C846, TEXT(E846, "000"))</f>
        <v>TRTB_M. laciniatus001</v>
      </c>
      <c r="G846" s="73" t="s">
        <v>33</v>
      </c>
      <c r="H846" s="18" t="n">
        <v>1</v>
      </c>
      <c r="I846" s="22" t="n">
        <v>44319</v>
      </c>
      <c r="J846" s="2" t="s">
        <v>981</v>
      </c>
      <c r="K846" s="68" t="s">
        <v>1025</v>
      </c>
      <c r="L846" s="2" t="n">
        <v>1</v>
      </c>
      <c r="M846" s="2" t="n">
        <v>1</v>
      </c>
      <c r="N846" s="3" t="n">
        <v>45077</v>
      </c>
      <c r="O846" s="2" t="n">
        <v>22.4</v>
      </c>
      <c r="P846" s="2" t="n">
        <v>4</v>
      </c>
      <c r="Q846" s="62" t="str">
        <f aca="false">IF(ISBLANK(N846),"",IF(N846&lt;DATE(2023,5,1),"OLD","NEW"))</f>
        <v>NEW</v>
      </c>
      <c r="R846" s="2"/>
      <c r="S846" s="33" t="n">
        <f aca="false">IF(COUNTIF('[1]Plate_1-2_LongFormat'!$A$2:$A$193,G846)&gt;0,1,0)</f>
        <v>0</v>
      </c>
      <c r="T846" s="33" t="n">
        <f aca="false">IF(COUNTIF([2]Attached_indexes!$C$2:$C$193,G846)&gt;0,1,0)</f>
        <v>0</v>
      </c>
      <c r="U846" s="59"/>
      <c r="V846" s="1" t="s">
        <v>982</v>
      </c>
      <c r="W846" s="2"/>
      <c r="X846" s="2"/>
      <c r="Y846" s="2"/>
      <c r="Z846" s="2"/>
    </row>
    <row r="847" customFormat="false" ht="15.75" hidden="false" customHeight="true" outlineLevel="0" collapsed="false">
      <c r="A847" s="18" t="s">
        <v>30</v>
      </c>
      <c r="B847" s="18" t="s">
        <v>30</v>
      </c>
      <c r="C847" s="18" t="s">
        <v>31</v>
      </c>
      <c r="D847" s="2"/>
      <c r="E847" s="66" t="n">
        <v>1</v>
      </c>
      <c r="F847" s="73" t="str">
        <f aca="false">CONCATENATE(B847,"_",C847, TEXT(E847, "000"))</f>
        <v>TRTB_M. laciniatus001</v>
      </c>
      <c r="G847" s="73" t="s">
        <v>33</v>
      </c>
      <c r="H847" s="18" t="n">
        <v>1</v>
      </c>
      <c r="I847" s="22" t="n">
        <v>44319</v>
      </c>
      <c r="J847" s="2" t="s">
        <v>981</v>
      </c>
      <c r="K847" s="68" t="s">
        <v>1025</v>
      </c>
      <c r="L847" s="2" t="n">
        <v>1</v>
      </c>
      <c r="M847" s="2" t="n">
        <v>1</v>
      </c>
      <c r="N847" s="3" t="n">
        <v>45077</v>
      </c>
      <c r="O847" s="2" t="n">
        <v>22.4</v>
      </c>
      <c r="P847" s="2" t="n">
        <v>4</v>
      </c>
      <c r="Q847" s="62" t="str">
        <f aca="false">IF(ISBLANK(N847),"",IF(N847&lt;DATE(2023,5,1),"OLD","NEW"))</f>
        <v>NEW</v>
      </c>
      <c r="R847" s="2"/>
      <c r="S847" s="33" t="n">
        <f aca="false">IF(COUNTIF('[1]Plate_1-2_LongFormat'!$A$2:$A$193,G847)&gt;0,1,0)</f>
        <v>0</v>
      </c>
      <c r="T847" s="33" t="n">
        <f aca="false">IF(COUNTIF([2]Attached_indexes!$C$2:$C$193,G847)&gt;0,1,0)</f>
        <v>0</v>
      </c>
      <c r="U847" s="59"/>
      <c r="V847" s="1" t="s">
        <v>982</v>
      </c>
      <c r="W847" s="2"/>
      <c r="X847" s="2"/>
      <c r="Y847" s="2"/>
      <c r="Z847" s="2"/>
    </row>
    <row r="848" customFormat="false" ht="15.75" hidden="false" customHeight="true" outlineLevel="0" collapsed="false">
      <c r="A848" s="18" t="s">
        <v>411</v>
      </c>
      <c r="B848" s="18" t="s">
        <v>411</v>
      </c>
      <c r="C848" s="18" t="s">
        <v>40</v>
      </c>
      <c r="E848" s="66" t="n">
        <v>1</v>
      </c>
      <c r="F848" s="21" t="str">
        <f aca="false">CONCATENATE(B848,"_",C848, TEXT(E848, "000"))</f>
        <v>TWGB_M. guttatus001</v>
      </c>
      <c r="G848" s="21" t="s">
        <v>412</v>
      </c>
      <c r="H848" s="18" t="n">
        <v>1</v>
      </c>
      <c r="I848" s="22" t="n">
        <v>44683</v>
      </c>
      <c r="J848" s="2" t="s">
        <v>981</v>
      </c>
      <c r="L848" s="2" t="n">
        <v>1</v>
      </c>
      <c r="M848" s="2" t="n">
        <v>1</v>
      </c>
      <c r="N848" s="3" t="n">
        <v>44799</v>
      </c>
      <c r="O848" s="2" t="n">
        <v>0.449</v>
      </c>
      <c r="P848" s="2" t="n">
        <v>1</v>
      </c>
      <c r="Q848" s="62" t="str">
        <f aca="false">IF(ISBLANK(N848),"",IF(N848&lt;DATE(2023,5,1),"OLD","NEW"))</f>
        <v>OLD</v>
      </c>
      <c r="R848" s="2" t="s">
        <v>1016</v>
      </c>
      <c r="S848" s="33" t="n">
        <f aca="false">IF(COUNTIF('[1]Plate_1-2_LongFormat'!$A$2:$A$193,G848)&gt;0,1,0)</f>
        <v>1</v>
      </c>
      <c r="T848" s="33" t="n">
        <f aca="false">IF(COUNTIF([2]Attached_indexes!$C$2:$C$193,G848)&gt;0,1,0)</f>
        <v>1</v>
      </c>
      <c r="U848" s="59"/>
      <c r="V848" s="1" t="s">
        <v>982</v>
      </c>
    </row>
    <row r="849" customFormat="false" ht="15.75" hidden="false" customHeight="true" outlineLevel="0" collapsed="false">
      <c r="A849" s="18" t="s">
        <v>411</v>
      </c>
      <c r="B849" s="18" t="s">
        <v>411</v>
      </c>
      <c r="C849" s="18" t="s">
        <v>40</v>
      </c>
      <c r="E849" s="66" t="n">
        <v>1</v>
      </c>
      <c r="F849" s="21" t="str">
        <f aca="false">CONCATENATE(B849,"_",C849, TEXT(E849, "000"))</f>
        <v>TWGB_M. guttatus001</v>
      </c>
      <c r="G849" s="21" t="s">
        <v>412</v>
      </c>
      <c r="H849" s="18" t="n">
        <v>1</v>
      </c>
      <c r="I849" s="22" t="n">
        <v>44683</v>
      </c>
      <c r="J849" s="2" t="s">
        <v>981</v>
      </c>
      <c r="L849" s="2" t="n">
        <v>1</v>
      </c>
      <c r="M849" s="2" t="n">
        <v>1</v>
      </c>
      <c r="N849" s="3" t="n">
        <v>44799</v>
      </c>
      <c r="O849" s="2" t="n">
        <v>0.449</v>
      </c>
      <c r="P849" s="2" t="n">
        <v>1</v>
      </c>
      <c r="Q849" s="62" t="str">
        <f aca="false">IF(ISBLANK(N849),"",IF(N849&lt;DATE(2023,5,1),"OLD","NEW"))</f>
        <v>OLD</v>
      </c>
      <c r="R849" s="2" t="s">
        <v>1016</v>
      </c>
      <c r="S849" s="33" t="n">
        <f aca="false">IF(COUNTIF('[1]Plate_1-2_LongFormat'!$A$2:$A$193,G849)&gt;0,1,0)</f>
        <v>1</v>
      </c>
      <c r="T849" s="33" t="n">
        <f aca="false">IF(COUNTIF([2]Attached_indexes!$C$2:$C$193,G849)&gt;0,1,0)</f>
        <v>1</v>
      </c>
      <c r="U849" s="59"/>
      <c r="V849" s="1" t="s">
        <v>982</v>
      </c>
    </row>
    <row r="850" customFormat="false" ht="15.75" hidden="false" customHeight="true" outlineLevel="0" collapsed="false">
      <c r="A850" s="18" t="s">
        <v>411</v>
      </c>
      <c r="B850" s="18" t="s">
        <v>411</v>
      </c>
      <c r="C850" s="18" t="s">
        <v>40</v>
      </c>
      <c r="E850" s="66" t="n">
        <v>1</v>
      </c>
      <c r="F850" s="21" t="str">
        <f aca="false">CONCATENATE(B850,"_",C850, TEXT(E850, "000"))</f>
        <v>TWGB_M. guttatus001</v>
      </c>
      <c r="G850" s="21" t="s">
        <v>412</v>
      </c>
      <c r="H850" s="18" t="n">
        <v>1</v>
      </c>
      <c r="I850" s="22" t="n">
        <v>44683</v>
      </c>
      <c r="J850" s="2" t="s">
        <v>981</v>
      </c>
      <c r="L850" s="2" t="n">
        <v>1</v>
      </c>
      <c r="M850" s="2" t="n">
        <v>1</v>
      </c>
      <c r="N850" s="3" t="n">
        <v>44799</v>
      </c>
      <c r="O850" s="2" t="n">
        <v>0.449</v>
      </c>
      <c r="P850" s="2" t="n">
        <v>1</v>
      </c>
      <c r="Q850" s="62" t="str">
        <f aca="false">IF(ISBLANK(N850),"",IF(N850&lt;DATE(2023,5,1),"OLD","NEW"))</f>
        <v>OLD</v>
      </c>
      <c r="R850" s="2" t="s">
        <v>1016</v>
      </c>
      <c r="S850" s="33" t="n">
        <f aca="false">IF(COUNTIF('[1]Plate_1-2_LongFormat'!$A$2:$A$193,G850)&gt;0,1,0)</f>
        <v>1</v>
      </c>
      <c r="T850" s="33" t="n">
        <f aca="false">IF(COUNTIF([2]Attached_indexes!$C$2:$C$193,G850)&gt;0,1,0)</f>
        <v>1</v>
      </c>
      <c r="U850" s="59"/>
      <c r="V850" s="1" t="s">
        <v>982</v>
      </c>
    </row>
    <row r="851" customFormat="false" ht="15.75" hidden="false" customHeight="true" outlineLevel="0" collapsed="false">
      <c r="A851" s="18" t="s">
        <v>411</v>
      </c>
      <c r="B851" s="18" t="s">
        <v>411</v>
      </c>
      <c r="C851" s="18" t="s">
        <v>40</v>
      </c>
      <c r="E851" s="66" t="n">
        <v>2</v>
      </c>
      <c r="F851" s="21" t="str">
        <f aca="false">CONCATENATE(B851,"_",C851, TEXT(E851, "000"))</f>
        <v>TWGB_M. guttatus002</v>
      </c>
      <c r="G851" s="21" t="s">
        <v>414</v>
      </c>
      <c r="H851" s="18" t="n">
        <v>1</v>
      </c>
      <c r="I851" s="22" t="n">
        <v>44683</v>
      </c>
      <c r="J851" s="2" t="s">
        <v>981</v>
      </c>
      <c r="L851" s="2" t="n">
        <v>1</v>
      </c>
      <c r="M851" s="2" t="n">
        <v>1</v>
      </c>
      <c r="N851" s="3" t="n">
        <v>44870</v>
      </c>
      <c r="O851" s="2" t="n">
        <v>2.07</v>
      </c>
      <c r="P851" s="2" t="n">
        <v>1</v>
      </c>
      <c r="Q851" s="62" t="str">
        <f aca="false">IF(ISBLANK(N851),"",IF(N851&lt;DATE(2023,5,1),"OLD","NEW"))</f>
        <v>OLD</v>
      </c>
      <c r="S851" s="33" t="n">
        <f aca="false">IF(COUNTIF('[1]Plate_1-2_LongFormat'!$A$2:$A$193,G851)&gt;0,1,0)</f>
        <v>1</v>
      </c>
      <c r="T851" s="33" t="n">
        <f aca="false">IF(COUNTIF([2]Attached_indexes!$C$2:$C$193,G851)&gt;0,1,0)</f>
        <v>1</v>
      </c>
      <c r="U851" s="59"/>
      <c r="V851" s="1" t="s">
        <v>982</v>
      </c>
    </row>
    <row r="852" customFormat="false" ht="15.75" hidden="false" customHeight="true" outlineLevel="0" collapsed="false">
      <c r="A852" s="18" t="s">
        <v>411</v>
      </c>
      <c r="B852" s="18" t="s">
        <v>411</v>
      </c>
      <c r="C852" s="18" t="s">
        <v>40</v>
      </c>
      <c r="E852" s="66" t="n">
        <v>2</v>
      </c>
      <c r="F852" s="21" t="str">
        <f aca="false">CONCATENATE(B852,"_",C852, TEXT(E852, "000"))</f>
        <v>TWGB_M. guttatus002</v>
      </c>
      <c r="G852" s="21" t="s">
        <v>414</v>
      </c>
      <c r="H852" s="18" t="n">
        <v>1</v>
      </c>
      <c r="I852" s="22" t="n">
        <v>44683</v>
      </c>
      <c r="J852" s="2" t="s">
        <v>981</v>
      </c>
      <c r="L852" s="2" t="n">
        <v>1</v>
      </c>
      <c r="M852" s="2" t="n">
        <v>1</v>
      </c>
      <c r="N852" s="3" t="n">
        <v>44870</v>
      </c>
      <c r="O852" s="2" t="n">
        <v>2.07</v>
      </c>
      <c r="P852" s="2" t="n">
        <v>1</v>
      </c>
      <c r="Q852" s="62" t="str">
        <f aca="false">IF(ISBLANK(N852),"",IF(N852&lt;DATE(2023,5,1),"OLD","NEW"))</f>
        <v>OLD</v>
      </c>
      <c r="S852" s="33" t="n">
        <f aca="false">IF(COUNTIF('[1]Plate_1-2_LongFormat'!$A$2:$A$193,G852)&gt;0,1,0)</f>
        <v>1</v>
      </c>
      <c r="T852" s="33" t="n">
        <f aca="false">IF(COUNTIF([2]Attached_indexes!$C$2:$C$193,G852)&gt;0,1,0)</f>
        <v>1</v>
      </c>
      <c r="U852" s="59"/>
      <c r="V852" s="1" t="s">
        <v>982</v>
      </c>
    </row>
    <row r="853" customFormat="false" ht="15.75" hidden="false" customHeight="true" outlineLevel="0" collapsed="false">
      <c r="A853" s="18" t="s">
        <v>411</v>
      </c>
      <c r="B853" s="18" t="s">
        <v>411</v>
      </c>
      <c r="C853" s="18" t="s">
        <v>40</v>
      </c>
      <c r="E853" s="66" t="n">
        <v>2</v>
      </c>
      <c r="F853" s="21" t="str">
        <f aca="false">CONCATENATE(B853,"_",C853, TEXT(E853, "000"))</f>
        <v>TWGB_M. guttatus002</v>
      </c>
      <c r="G853" s="21" t="s">
        <v>414</v>
      </c>
      <c r="H853" s="18" t="n">
        <v>1</v>
      </c>
      <c r="I853" s="22" t="n">
        <v>44683</v>
      </c>
      <c r="J853" s="2" t="s">
        <v>981</v>
      </c>
      <c r="L853" s="2" t="n">
        <v>1</v>
      </c>
      <c r="M853" s="2" t="n">
        <v>1</v>
      </c>
      <c r="N853" s="3" t="n">
        <v>44870</v>
      </c>
      <c r="O853" s="2" t="n">
        <v>2.07</v>
      </c>
      <c r="P853" s="2" t="n">
        <v>1</v>
      </c>
      <c r="Q853" s="62" t="str">
        <f aca="false">IF(ISBLANK(N853),"",IF(N853&lt;DATE(2023,5,1),"OLD","NEW"))</f>
        <v>OLD</v>
      </c>
      <c r="S853" s="33" t="n">
        <f aca="false">IF(COUNTIF('[1]Plate_1-2_LongFormat'!$A$2:$A$193,G853)&gt;0,1,0)</f>
        <v>1</v>
      </c>
      <c r="T853" s="33" t="n">
        <f aca="false">IF(COUNTIF([2]Attached_indexes!$C$2:$C$193,G853)&gt;0,1,0)</f>
        <v>1</v>
      </c>
      <c r="U853" s="59"/>
      <c r="V853" s="1" t="s">
        <v>982</v>
      </c>
    </row>
    <row r="854" customFormat="false" ht="15.75" hidden="false" customHeight="true" outlineLevel="0" collapsed="false">
      <c r="A854" s="18" t="s">
        <v>411</v>
      </c>
      <c r="B854" s="18" t="s">
        <v>411</v>
      </c>
      <c r="C854" s="18" t="s">
        <v>40</v>
      </c>
      <c r="E854" s="66" t="n">
        <v>3</v>
      </c>
      <c r="F854" s="21" t="str">
        <f aca="false">CONCATENATE(B854,"_",C854, TEXT(E854, "000"))</f>
        <v>TWGB_M. guttatus003</v>
      </c>
      <c r="G854" s="21" t="s">
        <v>416</v>
      </c>
      <c r="H854" s="18" t="n">
        <v>1</v>
      </c>
      <c r="I854" s="22" t="n">
        <v>44683</v>
      </c>
      <c r="J854" s="2" t="s">
        <v>981</v>
      </c>
      <c r="L854" s="2" t="n">
        <v>1</v>
      </c>
      <c r="M854" s="2" t="n">
        <v>1</v>
      </c>
      <c r="N854" s="3" t="n">
        <v>45056</v>
      </c>
      <c r="O854" s="2" t="n">
        <v>8.07</v>
      </c>
      <c r="P854" s="2" t="n">
        <v>3</v>
      </c>
      <c r="Q854" s="62" t="str">
        <f aca="false">IF(ISBLANK(N854),"",IF(N854&lt;DATE(2023,5,1),"OLD","NEW"))</f>
        <v>NEW</v>
      </c>
      <c r="S854" s="33" t="n">
        <f aca="false">IF(COUNTIF('[1]Plate_1-2_LongFormat'!$A$2:$A$193,G854)&gt;0,1,0)</f>
        <v>0</v>
      </c>
      <c r="T854" s="33" t="n">
        <f aca="false">IF(COUNTIF([2]Attached_indexes!$C$2:$C$193,G854)&gt;0,1,0)</f>
        <v>0</v>
      </c>
      <c r="U854" s="59"/>
      <c r="V854" s="1" t="s">
        <v>982</v>
      </c>
    </row>
    <row r="855" customFormat="false" ht="15.75" hidden="false" customHeight="true" outlineLevel="0" collapsed="false">
      <c r="A855" s="18" t="s">
        <v>411</v>
      </c>
      <c r="B855" s="18" t="s">
        <v>411</v>
      </c>
      <c r="C855" s="18" t="s">
        <v>40</v>
      </c>
      <c r="E855" s="66" t="n">
        <v>3</v>
      </c>
      <c r="F855" s="21" t="str">
        <f aca="false">CONCATENATE(B855,"_",C855, TEXT(E855, "000"))</f>
        <v>TWGB_M. guttatus003</v>
      </c>
      <c r="G855" s="21" t="s">
        <v>416</v>
      </c>
      <c r="H855" s="18" t="n">
        <v>1</v>
      </c>
      <c r="I855" s="22" t="n">
        <v>44683</v>
      </c>
      <c r="J855" s="2" t="s">
        <v>981</v>
      </c>
      <c r="L855" s="2" t="n">
        <v>1</v>
      </c>
      <c r="M855" s="2" t="n">
        <v>1</v>
      </c>
      <c r="N855" s="3" t="n">
        <v>45056</v>
      </c>
      <c r="O855" s="2" t="n">
        <v>8.07</v>
      </c>
      <c r="P855" s="2" t="n">
        <v>3</v>
      </c>
      <c r="Q855" s="62" t="str">
        <f aca="false">IF(ISBLANK(N855),"",IF(N855&lt;DATE(2023,5,1),"OLD","NEW"))</f>
        <v>NEW</v>
      </c>
      <c r="S855" s="33" t="n">
        <f aca="false">IF(COUNTIF('[1]Plate_1-2_LongFormat'!$A$2:$A$193,G855)&gt;0,1,0)</f>
        <v>0</v>
      </c>
      <c r="T855" s="33" t="n">
        <f aca="false">IF(COUNTIF([2]Attached_indexes!$C$2:$C$193,G855)&gt;0,1,0)</f>
        <v>0</v>
      </c>
      <c r="U855" s="59"/>
      <c r="V855" s="1" t="s">
        <v>982</v>
      </c>
    </row>
    <row r="856" customFormat="false" ht="15.75" hidden="false" customHeight="true" outlineLevel="0" collapsed="false">
      <c r="A856" s="18" t="s">
        <v>411</v>
      </c>
      <c r="B856" s="18" t="s">
        <v>411</v>
      </c>
      <c r="C856" s="18" t="s">
        <v>40</v>
      </c>
      <c r="E856" s="66" t="n">
        <v>3</v>
      </c>
      <c r="F856" s="21" t="str">
        <f aca="false">CONCATENATE(B856,"_",C856, TEXT(E856, "000"))</f>
        <v>TWGB_M. guttatus003</v>
      </c>
      <c r="G856" s="21" t="s">
        <v>416</v>
      </c>
      <c r="H856" s="18" t="n">
        <v>1</v>
      </c>
      <c r="I856" s="22" t="n">
        <v>44683</v>
      </c>
      <c r="J856" s="2" t="s">
        <v>981</v>
      </c>
      <c r="L856" s="2" t="n">
        <v>1</v>
      </c>
      <c r="M856" s="2" t="n">
        <v>1</v>
      </c>
      <c r="N856" s="3" t="n">
        <v>45056</v>
      </c>
      <c r="O856" s="2" t="n">
        <v>8.07</v>
      </c>
      <c r="P856" s="2" t="n">
        <v>3</v>
      </c>
      <c r="Q856" s="62" t="str">
        <f aca="false">IF(ISBLANK(N856),"",IF(N856&lt;DATE(2023,5,1),"OLD","NEW"))</f>
        <v>NEW</v>
      </c>
      <c r="S856" s="33" t="n">
        <f aca="false">IF(COUNTIF('[1]Plate_1-2_LongFormat'!$A$2:$A$193,G856)&gt;0,1,0)</f>
        <v>0</v>
      </c>
      <c r="T856" s="33" t="n">
        <f aca="false">IF(COUNTIF([2]Attached_indexes!$C$2:$C$193,G856)&gt;0,1,0)</f>
        <v>0</v>
      </c>
      <c r="U856" s="59"/>
      <c r="V856" s="1" t="s">
        <v>982</v>
      </c>
    </row>
    <row r="857" customFormat="false" ht="15.75" hidden="false" customHeight="true" outlineLevel="0" collapsed="false">
      <c r="A857" s="18" t="s">
        <v>411</v>
      </c>
      <c r="B857" s="18" t="s">
        <v>411</v>
      </c>
      <c r="C857" s="18" t="s">
        <v>40</v>
      </c>
      <c r="E857" s="66" t="n">
        <v>4</v>
      </c>
      <c r="F857" s="21" t="str">
        <f aca="false">CONCATENATE(B857,"_",C857, TEXT(E857, "000"))</f>
        <v>TWGB_M. guttatus004</v>
      </c>
      <c r="G857" s="21" t="s">
        <v>417</v>
      </c>
      <c r="H857" s="18" t="n">
        <v>1</v>
      </c>
      <c r="I857" s="22" t="n">
        <v>44683</v>
      </c>
      <c r="J857" s="2" t="s">
        <v>981</v>
      </c>
      <c r="K857" s="2" t="s">
        <v>985</v>
      </c>
      <c r="L857" s="2" t="n">
        <v>1</v>
      </c>
      <c r="M857" s="2" t="n">
        <v>1</v>
      </c>
      <c r="N857" s="3" t="n">
        <v>44945</v>
      </c>
      <c r="O857" s="2" t="n">
        <v>0.384</v>
      </c>
      <c r="P857" s="2" t="n">
        <v>2</v>
      </c>
      <c r="Q857" s="62" t="str">
        <f aca="false">IF(ISBLANK(N857),"",IF(N857&lt;DATE(2023,5,1),"OLD","NEW"))</f>
        <v>OLD</v>
      </c>
      <c r="S857" s="33" t="n">
        <f aca="false">IF(COUNTIF('[1]Plate_1-2_LongFormat'!$A$2:$A$193,G857)&gt;0,1,0)</f>
        <v>1</v>
      </c>
      <c r="T857" s="33" t="n">
        <f aca="false">IF(COUNTIF([2]Attached_indexes!$C$2:$C$193,G857)&gt;0,1,0)</f>
        <v>1</v>
      </c>
      <c r="U857" s="59"/>
      <c r="V857" s="1" t="s">
        <v>982</v>
      </c>
    </row>
    <row r="858" customFormat="false" ht="15.75" hidden="false" customHeight="true" outlineLevel="0" collapsed="false">
      <c r="A858" s="18" t="s">
        <v>411</v>
      </c>
      <c r="B858" s="18" t="s">
        <v>411</v>
      </c>
      <c r="C858" s="18" t="s">
        <v>40</v>
      </c>
      <c r="E858" s="66" t="n">
        <v>4</v>
      </c>
      <c r="F858" s="21" t="str">
        <f aca="false">CONCATENATE(B858,"_",C858, TEXT(E858, "000"))</f>
        <v>TWGB_M. guttatus004</v>
      </c>
      <c r="G858" s="21" t="s">
        <v>417</v>
      </c>
      <c r="H858" s="18" t="n">
        <v>1</v>
      </c>
      <c r="I858" s="22" t="n">
        <v>44683</v>
      </c>
      <c r="J858" s="2" t="s">
        <v>981</v>
      </c>
      <c r="K858" s="2" t="s">
        <v>985</v>
      </c>
      <c r="L858" s="2" t="n">
        <v>1</v>
      </c>
      <c r="M858" s="2" t="n">
        <v>1</v>
      </c>
      <c r="N858" s="3" t="n">
        <v>44945</v>
      </c>
      <c r="O858" s="2" t="n">
        <v>0.384</v>
      </c>
      <c r="P858" s="2" t="n">
        <v>2</v>
      </c>
      <c r="Q858" s="62" t="str">
        <f aca="false">IF(ISBLANK(N858),"",IF(N858&lt;DATE(2023,5,1),"OLD","NEW"))</f>
        <v>OLD</v>
      </c>
      <c r="S858" s="33" t="n">
        <f aca="false">IF(COUNTIF('[1]Plate_1-2_LongFormat'!$A$2:$A$193,G858)&gt;0,1,0)</f>
        <v>1</v>
      </c>
      <c r="T858" s="33" t="n">
        <f aca="false">IF(COUNTIF([2]Attached_indexes!$C$2:$C$193,G858)&gt;0,1,0)</f>
        <v>1</v>
      </c>
      <c r="U858" s="59"/>
      <c r="V858" s="1" t="s">
        <v>982</v>
      </c>
    </row>
    <row r="859" customFormat="false" ht="15.75" hidden="false" customHeight="true" outlineLevel="0" collapsed="false">
      <c r="A859" s="18" t="s">
        <v>411</v>
      </c>
      <c r="B859" s="18" t="s">
        <v>411</v>
      </c>
      <c r="C859" s="18" t="s">
        <v>40</v>
      </c>
      <c r="E859" s="66" t="n">
        <v>4</v>
      </c>
      <c r="F859" s="21" t="str">
        <f aca="false">CONCATENATE(B859,"_",C859, TEXT(E859, "000"))</f>
        <v>TWGB_M. guttatus004</v>
      </c>
      <c r="G859" s="21" t="s">
        <v>417</v>
      </c>
      <c r="H859" s="18" t="n">
        <v>1</v>
      </c>
      <c r="I859" s="22" t="n">
        <v>44683</v>
      </c>
      <c r="J859" s="2" t="s">
        <v>981</v>
      </c>
      <c r="K859" s="2" t="s">
        <v>985</v>
      </c>
      <c r="L859" s="2" t="n">
        <v>1</v>
      </c>
      <c r="M859" s="2" t="n">
        <v>1</v>
      </c>
      <c r="N859" s="3" t="n">
        <v>44945</v>
      </c>
      <c r="O859" s="2" t="n">
        <v>0.384</v>
      </c>
      <c r="P859" s="2" t="n">
        <v>2</v>
      </c>
      <c r="Q859" s="62" t="str">
        <f aca="false">IF(ISBLANK(N859),"",IF(N859&lt;DATE(2023,5,1),"OLD","NEW"))</f>
        <v>OLD</v>
      </c>
      <c r="R859" s="63"/>
      <c r="S859" s="33" t="n">
        <f aca="false">IF(COUNTIF('[1]Plate_1-2_LongFormat'!$A$2:$A$193,G859)&gt;0,1,0)</f>
        <v>1</v>
      </c>
      <c r="T859" s="33" t="n">
        <f aca="false">IF(COUNTIF([2]Attached_indexes!$C$2:$C$193,G859)&gt;0,1,0)</f>
        <v>1</v>
      </c>
      <c r="U859" s="59"/>
      <c r="V859" s="1" t="s">
        <v>982</v>
      </c>
    </row>
    <row r="860" customFormat="false" ht="15.75" hidden="false" customHeight="true" outlineLevel="0" collapsed="false">
      <c r="A860" s="18" t="s">
        <v>411</v>
      </c>
      <c r="B860" s="18" t="s">
        <v>411</v>
      </c>
      <c r="C860" s="18" t="s">
        <v>40</v>
      </c>
      <c r="E860" s="66" t="n">
        <v>5</v>
      </c>
      <c r="F860" s="21" t="str">
        <f aca="false">CONCATENATE(B860,"_",C860, TEXT(E860, "000"))</f>
        <v>TWGB_M. guttatus005</v>
      </c>
      <c r="G860" s="21" t="s">
        <v>421</v>
      </c>
      <c r="H860" s="18" t="n">
        <v>1</v>
      </c>
      <c r="I860" s="22" t="n">
        <v>44683</v>
      </c>
      <c r="J860" s="2" t="s">
        <v>981</v>
      </c>
      <c r="K860" s="2" t="s">
        <v>1020</v>
      </c>
      <c r="L860" s="2" t="n">
        <v>1</v>
      </c>
      <c r="M860" s="2" t="n">
        <v>1</v>
      </c>
      <c r="N860" s="3" t="n">
        <v>45058</v>
      </c>
      <c r="O860" s="2" t="n">
        <v>2.6</v>
      </c>
      <c r="P860" s="2" t="n">
        <v>3</v>
      </c>
      <c r="Q860" s="62" t="str">
        <f aca="false">IF(ISBLANK(N860),"",IF(N860&lt;DATE(2023,5,1),"OLD","NEW"))</f>
        <v>NEW</v>
      </c>
      <c r="R860" s="63"/>
      <c r="S860" s="33" t="n">
        <f aca="false">IF(COUNTIF('[1]Plate_1-2_LongFormat'!$A$2:$A$193,G860)&gt;0,1,0)</f>
        <v>0</v>
      </c>
      <c r="T860" s="33" t="n">
        <f aca="false">IF(COUNTIF([2]Attached_indexes!$C$2:$C$193,G860)&gt;0,1,0)</f>
        <v>0</v>
      </c>
      <c r="U860" s="59"/>
      <c r="V860" s="1" t="s">
        <v>982</v>
      </c>
    </row>
    <row r="861" customFormat="false" ht="15.75" hidden="false" customHeight="true" outlineLevel="0" collapsed="false">
      <c r="A861" s="18" t="s">
        <v>411</v>
      </c>
      <c r="B861" s="18" t="s">
        <v>411</v>
      </c>
      <c r="C861" s="18" t="s">
        <v>40</v>
      </c>
      <c r="E861" s="66" t="n">
        <v>5</v>
      </c>
      <c r="F861" s="21" t="str">
        <f aca="false">CONCATENATE(B861,"_",C861, TEXT(E861, "000"))</f>
        <v>TWGB_M. guttatus005</v>
      </c>
      <c r="G861" s="21" t="s">
        <v>421</v>
      </c>
      <c r="H861" s="18" t="n">
        <v>1</v>
      </c>
      <c r="I861" s="22" t="n">
        <v>44683</v>
      </c>
      <c r="J861" s="2" t="s">
        <v>981</v>
      </c>
      <c r="K861" s="2" t="s">
        <v>1020</v>
      </c>
      <c r="L861" s="2" t="n">
        <v>1</v>
      </c>
      <c r="M861" s="2" t="n">
        <v>1</v>
      </c>
      <c r="N861" s="3" t="n">
        <v>45058</v>
      </c>
      <c r="O861" s="2" t="n">
        <v>2.6</v>
      </c>
      <c r="P861" s="2" t="n">
        <v>3</v>
      </c>
      <c r="Q861" s="62" t="str">
        <f aca="false">IF(ISBLANK(N861),"",IF(N861&lt;DATE(2023,5,1),"OLD","NEW"))</f>
        <v>NEW</v>
      </c>
      <c r="R861" s="63"/>
      <c r="S861" s="33" t="n">
        <f aca="false">IF(COUNTIF('[1]Plate_1-2_LongFormat'!$A$2:$A$193,G861)&gt;0,1,0)</f>
        <v>0</v>
      </c>
      <c r="T861" s="33" t="n">
        <f aca="false">IF(COUNTIF([2]Attached_indexes!$C$2:$C$193,G861)&gt;0,1,0)</f>
        <v>0</v>
      </c>
      <c r="U861" s="59"/>
      <c r="V861" s="1" t="s">
        <v>982</v>
      </c>
    </row>
    <row r="862" customFormat="false" ht="15.75" hidden="false" customHeight="true" outlineLevel="0" collapsed="false">
      <c r="A862" s="18" t="s">
        <v>411</v>
      </c>
      <c r="B862" s="18" t="s">
        <v>411</v>
      </c>
      <c r="C862" s="18" t="s">
        <v>40</v>
      </c>
      <c r="E862" s="66" t="n">
        <v>5</v>
      </c>
      <c r="F862" s="21" t="str">
        <f aca="false">CONCATENATE(B862,"_",C862, TEXT(E862, "000"))</f>
        <v>TWGB_M. guttatus005</v>
      </c>
      <c r="G862" s="21" t="s">
        <v>421</v>
      </c>
      <c r="H862" s="18" t="n">
        <v>1</v>
      </c>
      <c r="I862" s="22" t="n">
        <v>44683</v>
      </c>
      <c r="J862" s="2" t="s">
        <v>981</v>
      </c>
      <c r="K862" s="2" t="s">
        <v>1020</v>
      </c>
      <c r="L862" s="2" t="n">
        <v>1</v>
      </c>
      <c r="M862" s="2" t="n">
        <v>1</v>
      </c>
      <c r="N862" s="3" t="n">
        <v>45058</v>
      </c>
      <c r="O862" s="2" t="n">
        <v>2.6</v>
      </c>
      <c r="P862" s="2" t="n">
        <v>3</v>
      </c>
      <c r="Q862" s="62" t="str">
        <f aca="false">IF(ISBLANK(N862),"",IF(N862&lt;DATE(2023,5,1),"OLD","NEW"))</f>
        <v>NEW</v>
      </c>
      <c r="S862" s="33" t="n">
        <f aca="false">IF(COUNTIF('[1]Plate_1-2_LongFormat'!$A$2:$A$193,G862)&gt;0,1,0)</f>
        <v>0</v>
      </c>
      <c r="T862" s="33" t="n">
        <f aca="false">IF(COUNTIF([2]Attached_indexes!$C$2:$C$193,G862)&gt;0,1,0)</f>
        <v>0</v>
      </c>
      <c r="U862" s="59"/>
      <c r="V862" s="1" t="s">
        <v>982</v>
      </c>
    </row>
    <row r="863" customFormat="false" ht="15.75" hidden="false" customHeight="true" outlineLevel="0" collapsed="false">
      <c r="A863" s="18" t="s">
        <v>411</v>
      </c>
      <c r="B863" s="18" t="s">
        <v>411</v>
      </c>
      <c r="C863" s="18" t="s">
        <v>40</v>
      </c>
      <c r="E863" s="66" t="n">
        <v>6</v>
      </c>
      <c r="F863" s="21" t="str">
        <f aca="false">CONCATENATE(B863,"_",C863, TEXT(E863, "000"))</f>
        <v>TWGB_M. guttatus006</v>
      </c>
      <c r="G863" s="21" t="s">
        <v>422</v>
      </c>
      <c r="H863" s="18" t="n">
        <v>1</v>
      </c>
      <c r="I863" s="22" t="n">
        <v>44683</v>
      </c>
      <c r="J863" s="2" t="s">
        <v>981</v>
      </c>
      <c r="L863" s="2" t="n">
        <v>1</v>
      </c>
      <c r="M863" s="2" t="n">
        <v>1</v>
      </c>
      <c r="N863" s="3" t="n">
        <v>44799</v>
      </c>
      <c r="O863" s="76" t="n">
        <v>1</v>
      </c>
      <c r="P863" s="64" t="n">
        <v>1</v>
      </c>
      <c r="Q863" s="62" t="str">
        <f aca="false">IF(ISBLANK(N863),"",IF(N863&lt;DATE(2023,5,1),"OLD","NEW"))</f>
        <v>OLD</v>
      </c>
      <c r="S863" s="33" t="n">
        <f aca="false">IF(COUNTIF('[1]Plate_1-2_LongFormat'!$A$2:$A$193,G863)&gt;0,1,0)</f>
        <v>1</v>
      </c>
      <c r="T863" s="33" t="n">
        <f aca="false">IF(COUNTIF([2]Attached_indexes!$C$2:$C$193,G863)&gt;0,1,0)</f>
        <v>1</v>
      </c>
      <c r="U863" s="59"/>
      <c r="V863" s="1" t="s">
        <v>982</v>
      </c>
    </row>
    <row r="864" customFormat="false" ht="15.75" hidden="false" customHeight="true" outlineLevel="0" collapsed="false">
      <c r="A864" s="18" t="s">
        <v>411</v>
      </c>
      <c r="B864" s="18" t="s">
        <v>411</v>
      </c>
      <c r="C864" s="18" t="s">
        <v>40</v>
      </c>
      <c r="E864" s="66" t="n">
        <v>6</v>
      </c>
      <c r="F864" s="21" t="str">
        <f aca="false">CONCATENATE(B864,"_",C864, TEXT(E864, "000"))</f>
        <v>TWGB_M. guttatus006</v>
      </c>
      <c r="G864" s="21" t="s">
        <v>422</v>
      </c>
      <c r="H864" s="18" t="n">
        <v>1</v>
      </c>
      <c r="I864" s="22" t="n">
        <v>44683</v>
      </c>
      <c r="J864" s="2" t="s">
        <v>981</v>
      </c>
      <c r="L864" s="2" t="n">
        <v>1</v>
      </c>
      <c r="M864" s="2" t="n">
        <v>1</v>
      </c>
      <c r="N864" s="3" t="n">
        <v>44799</v>
      </c>
      <c r="O864" s="76" t="n">
        <v>1</v>
      </c>
      <c r="P864" s="64" t="n">
        <v>1</v>
      </c>
      <c r="Q864" s="62" t="str">
        <f aca="false">IF(ISBLANK(N864),"",IF(N864&lt;DATE(2023,5,1),"OLD","NEW"))</f>
        <v>OLD</v>
      </c>
      <c r="S864" s="33" t="n">
        <f aca="false">IF(COUNTIF('[1]Plate_1-2_LongFormat'!$A$2:$A$193,G864)&gt;0,1,0)</f>
        <v>1</v>
      </c>
      <c r="T864" s="33" t="n">
        <f aca="false">IF(COUNTIF([2]Attached_indexes!$C$2:$C$193,G864)&gt;0,1,0)</f>
        <v>1</v>
      </c>
      <c r="U864" s="59"/>
      <c r="V864" s="1" t="s">
        <v>982</v>
      </c>
    </row>
    <row r="865" customFormat="false" ht="15.75" hidden="false" customHeight="true" outlineLevel="0" collapsed="false">
      <c r="A865" s="18" t="s">
        <v>411</v>
      </c>
      <c r="B865" s="18" t="s">
        <v>411</v>
      </c>
      <c r="C865" s="18" t="s">
        <v>40</v>
      </c>
      <c r="E865" s="66" t="n">
        <v>6</v>
      </c>
      <c r="F865" s="21" t="str">
        <f aca="false">CONCATENATE(B865,"_",C865, TEXT(E865, "000"))</f>
        <v>TWGB_M. guttatus006</v>
      </c>
      <c r="G865" s="21" t="s">
        <v>422</v>
      </c>
      <c r="H865" s="18" t="n">
        <v>1</v>
      </c>
      <c r="I865" s="22" t="n">
        <v>44683</v>
      </c>
      <c r="J865" s="2" t="s">
        <v>981</v>
      </c>
      <c r="L865" s="2" t="n">
        <v>1</v>
      </c>
      <c r="M865" s="2" t="n">
        <v>1</v>
      </c>
      <c r="N865" s="3" t="n">
        <v>44799</v>
      </c>
      <c r="O865" s="76" t="n">
        <v>1</v>
      </c>
      <c r="P865" s="64" t="n">
        <v>1</v>
      </c>
      <c r="Q865" s="62" t="str">
        <f aca="false">IF(ISBLANK(N865),"",IF(N865&lt;DATE(2023,5,1),"OLD","NEW"))</f>
        <v>OLD</v>
      </c>
      <c r="S865" s="33" t="n">
        <f aca="false">IF(COUNTIF('[1]Plate_1-2_LongFormat'!$A$2:$A$193,G865)&gt;0,1,0)</f>
        <v>1</v>
      </c>
      <c r="T865" s="33" t="n">
        <f aca="false">IF(COUNTIF([2]Attached_indexes!$C$2:$C$193,G865)&gt;0,1,0)</f>
        <v>1</v>
      </c>
      <c r="U865" s="59"/>
      <c r="V865" s="1" t="s">
        <v>982</v>
      </c>
    </row>
    <row r="866" customFormat="false" ht="15.75" hidden="false" customHeight="true" outlineLevel="0" collapsed="false">
      <c r="A866" s="18" t="s">
        <v>411</v>
      </c>
      <c r="B866" s="18" t="s">
        <v>411</v>
      </c>
      <c r="C866" s="18" t="s">
        <v>40</v>
      </c>
      <c r="E866" s="66" t="n">
        <v>7</v>
      </c>
      <c r="F866" s="21" t="str">
        <f aca="false">CONCATENATE(B866,"_",C866, TEXT(E866, "000"))</f>
        <v>TWGB_M. guttatus007</v>
      </c>
      <c r="G866" s="21" t="s">
        <v>423</v>
      </c>
      <c r="H866" s="18" t="n">
        <v>1</v>
      </c>
      <c r="I866" s="22" t="n">
        <v>44683</v>
      </c>
      <c r="J866" s="2" t="s">
        <v>981</v>
      </c>
      <c r="K866" s="2" t="s">
        <v>1021</v>
      </c>
      <c r="L866" s="2" t="n">
        <v>1</v>
      </c>
      <c r="M866" s="2" t="n">
        <v>1</v>
      </c>
      <c r="N866" s="3" t="n">
        <v>44945</v>
      </c>
      <c r="O866" s="76" t="n">
        <v>3.05</v>
      </c>
      <c r="P866" s="64" t="n">
        <v>2</v>
      </c>
      <c r="Q866" s="62" t="str">
        <f aca="false">IF(ISBLANK(N866),"",IF(N866&lt;DATE(2023,5,1),"OLD","NEW"))</f>
        <v>OLD</v>
      </c>
      <c r="S866" s="33" t="n">
        <f aca="false">IF(COUNTIF('[1]Plate_1-2_LongFormat'!$A$2:$A$193,G866)&gt;0,1,0)</f>
        <v>1</v>
      </c>
      <c r="T866" s="33" t="n">
        <f aca="false">IF(COUNTIF([2]Attached_indexes!$C$2:$C$193,G866)&gt;0,1,0)</f>
        <v>1</v>
      </c>
      <c r="U866" s="59"/>
      <c r="V866" s="1" t="s">
        <v>982</v>
      </c>
    </row>
    <row r="867" customFormat="false" ht="15.75" hidden="false" customHeight="true" outlineLevel="0" collapsed="false">
      <c r="A867" s="18" t="s">
        <v>411</v>
      </c>
      <c r="B867" s="18" t="s">
        <v>411</v>
      </c>
      <c r="C867" s="18" t="s">
        <v>40</v>
      </c>
      <c r="E867" s="66" t="n">
        <v>7</v>
      </c>
      <c r="F867" s="21" t="str">
        <f aca="false">CONCATENATE(B867,"_",C867, TEXT(E867, "000"))</f>
        <v>TWGB_M. guttatus007</v>
      </c>
      <c r="G867" s="21" t="s">
        <v>423</v>
      </c>
      <c r="H867" s="18" t="n">
        <v>1</v>
      </c>
      <c r="I867" s="22" t="n">
        <v>44683</v>
      </c>
      <c r="J867" s="2" t="s">
        <v>981</v>
      </c>
      <c r="K867" s="2" t="s">
        <v>1021</v>
      </c>
      <c r="L867" s="2" t="n">
        <v>1</v>
      </c>
      <c r="M867" s="2" t="n">
        <v>1</v>
      </c>
      <c r="N867" s="3" t="n">
        <v>44945</v>
      </c>
      <c r="O867" s="76" t="n">
        <v>3.05</v>
      </c>
      <c r="P867" s="64" t="n">
        <v>2</v>
      </c>
      <c r="Q867" s="62" t="str">
        <f aca="false">IF(ISBLANK(N867),"",IF(N867&lt;DATE(2023,5,1),"OLD","NEW"))</f>
        <v>OLD</v>
      </c>
      <c r="S867" s="33" t="n">
        <f aca="false">IF(COUNTIF('[1]Plate_1-2_LongFormat'!$A$2:$A$193,G867)&gt;0,1,0)</f>
        <v>1</v>
      </c>
      <c r="T867" s="33" t="n">
        <f aca="false">IF(COUNTIF([2]Attached_indexes!$C$2:$C$193,G867)&gt;0,1,0)</f>
        <v>1</v>
      </c>
      <c r="U867" s="59"/>
      <c r="V867" s="1" t="s">
        <v>982</v>
      </c>
    </row>
    <row r="868" customFormat="false" ht="15.75" hidden="false" customHeight="true" outlineLevel="0" collapsed="false">
      <c r="A868" s="18" t="s">
        <v>411</v>
      </c>
      <c r="B868" s="18" t="s">
        <v>411</v>
      </c>
      <c r="C868" s="18" t="s">
        <v>40</v>
      </c>
      <c r="E868" s="66" t="n">
        <v>7</v>
      </c>
      <c r="F868" s="21" t="str">
        <f aca="false">CONCATENATE(B868,"_",C868, TEXT(E868, "000"))</f>
        <v>TWGB_M. guttatus007</v>
      </c>
      <c r="G868" s="21" t="s">
        <v>423</v>
      </c>
      <c r="H868" s="18" t="n">
        <v>1</v>
      </c>
      <c r="I868" s="22" t="n">
        <v>44683</v>
      </c>
      <c r="J868" s="2" t="s">
        <v>981</v>
      </c>
      <c r="K868" s="2" t="s">
        <v>1021</v>
      </c>
      <c r="L868" s="2" t="n">
        <v>1</v>
      </c>
      <c r="M868" s="2" t="n">
        <v>1</v>
      </c>
      <c r="N868" s="3" t="n">
        <v>44945</v>
      </c>
      <c r="O868" s="76" t="n">
        <v>3.05</v>
      </c>
      <c r="P868" s="64" t="n">
        <v>2</v>
      </c>
      <c r="Q868" s="62" t="str">
        <f aca="false">IF(ISBLANK(N868),"",IF(N868&lt;DATE(2023,5,1),"OLD","NEW"))</f>
        <v>OLD</v>
      </c>
      <c r="S868" s="33" t="n">
        <f aca="false">IF(COUNTIF('[1]Plate_1-2_LongFormat'!$A$2:$A$193,G868)&gt;0,1,0)</f>
        <v>1</v>
      </c>
      <c r="T868" s="33" t="n">
        <f aca="false">IF(COUNTIF([2]Attached_indexes!$C$2:$C$193,G868)&gt;0,1,0)</f>
        <v>1</v>
      </c>
      <c r="U868" s="59"/>
      <c r="V868" s="1" t="s">
        <v>982</v>
      </c>
    </row>
    <row r="869" customFormat="false" ht="15.75" hidden="false" customHeight="true" outlineLevel="0" collapsed="false">
      <c r="A869" s="18" t="s">
        <v>411</v>
      </c>
      <c r="B869" s="18" t="s">
        <v>411</v>
      </c>
      <c r="C869" s="18" t="s">
        <v>40</v>
      </c>
      <c r="E869" s="66" t="n">
        <v>8</v>
      </c>
      <c r="F869" s="21" t="str">
        <f aca="false">CONCATENATE(B869,"_",C869, TEXT(E869, "000"))</f>
        <v>TWGB_M. guttatus008</v>
      </c>
      <c r="G869" s="21" t="s">
        <v>425</v>
      </c>
      <c r="H869" s="18" t="n">
        <v>1</v>
      </c>
      <c r="I869" s="22" t="n">
        <v>44683</v>
      </c>
      <c r="J869" s="2" t="s">
        <v>981</v>
      </c>
      <c r="L869" s="2" t="n">
        <v>1</v>
      </c>
      <c r="M869" s="2" t="n">
        <v>1</v>
      </c>
      <c r="N869" s="3" t="n">
        <v>44938</v>
      </c>
      <c r="O869" s="2" t="n">
        <v>0.53</v>
      </c>
      <c r="P869" s="2" t="n">
        <v>2</v>
      </c>
      <c r="Q869" s="62" t="str">
        <f aca="false">IF(ISBLANK(N869),"",IF(N869&lt;DATE(2023,5,1),"OLD","NEW"))</f>
        <v>OLD</v>
      </c>
      <c r="S869" s="33" t="n">
        <f aca="false">IF(COUNTIF('[1]Plate_1-2_LongFormat'!$A$2:$A$193,G869)&gt;0,1,0)</f>
        <v>1</v>
      </c>
      <c r="T869" s="33" t="n">
        <f aca="false">IF(COUNTIF([2]Attached_indexes!$C$2:$C$193,G869)&gt;0,1,0)</f>
        <v>1</v>
      </c>
      <c r="U869" s="59"/>
      <c r="V869" s="1" t="s">
        <v>982</v>
      </c>
    </row>
    <row r="870" customFormat="false" ht="15.75" hidden="false" customHeight="true" outlineLevel="0" collapsed="false">
      <c r="A870" s="18" t="s">
        <v>411</v>
      </c>
      <c r="B870" s="18" t="s">
        <v>411</v>
      </c>
      <c r="C870" s="18" t="s">
        <v>40</v>
      </c>
      <c r="E870" s="66" t="n">
        <v>8</v>
      </c>
      <c r="F870" s="21" t="str">
        <f aca="false">CONCATENATE(B870,"_",C870, TEXT(E870, "000"))</f>
        <v>TWGB_M. guttatus008</v>
      </c>
      <c r="G870" s="21" t="s">
        <v>425</v>
      </c>
      <c r="H870" s="18" t="n">
        <v>1</v>
      </c>
      <c r="I870" s="22" t="n">
        <v>44683</v>
      </c>
      <c r="J870" s="2" t="s">
        <v>981</v>
      </c>
      <c r="K870" s="61"/>
      <c r="L870" s="2" t="n">
        <v>1</v>
      </c>
      <c r="M870" s="2" t="n">
        <v>1</v>
      </c>
      <c r="N870" s="3" t="n">
        <v>44938</v>
      </c>
      <c r="O870" s="2" t="n">
        <v>0.53</v>
      </c>
      <c r="P870" s="2" t="n">
        <v>2</v>
      </c>
      <c r="Q870" s="62" t="str">
        <f aca="false">IF(ISBLANK(N870),"",IF(N870&lt;DATE(2023,5,1),"OLD","NEW"))</f>
        <v>OLD</v>
      </c>
      <c r="S870" s="33" t="n">
        <f aca="false">IF(COUNTIF('[1]Plate_1-2_LongFormat'!$A$2:$A$193,G870)&gt;0,1,0)</f>
        <v>1</v>
      </c>
      <c r="T870" s="33" t="n">
        <f aca="false">IF(COUNTIF([2]Attached_indexes!$C$2:$C$193,G870)&gt;0,1,0)</f>
        <v>1</v>
      </c>
      <c r="U870" s="59"/>
      <c r="V870" s="1" t="s">
        <v>982</v>
      </c>
    </row>
    <row r="871" customFormat="false" ht="15.75" hidden="false" customHeight="true" outlineLevel="0" collapsed="false">
      <c r="A871" s="18" t="s">
        <v>411</v>
      </c>
      <c r="B871" s="18" t="s">
        <v>411</v>
      </c>
      <c r="C871" s="18" t="s">
        <v>40</v>
      </c>
      <c r="E871" s="66" t="n">
        <v>8</v>
      </c>
      <c r="F871" s="21" t="str">
        <f aca="false">CONCATENATE(B871,"_",C871, TEXT(E871, "000"))</f>
        <v>TWGB_M. guttatus008</v>
      </c>
      <c r="G871" s="21" t="s">
        <v>425</v>
      </c>
      <c r="H871" s="18" t="n">
        <v>1</v>
      </c>
      <c r="I871" s="22" t="n">
        <v>44683</v>
      </c>
      <c r="J871" s="2" t="s">
        <v>981</v>
      </c>
      <c r="K871" s="61"/>
      <c r="L871" s="2" t="n">
        <v>1</v>
      </c>
      <c r="M871" s="2" t="n">
        <v>1</v>
      </c>
      <c r="N871" s="3" t="n">
        <v>44938</v>
      </c>
      <c r="O871" s="2" t="n">
        <v>0.53</v>
      </c>
      <c r="P871" s="2" t="n">
        <v>2</v>
      </c>
      <c r="Q871" s="62" t="str">
        <f aca="false">IF(ISBLANK(N871),"",IF(N871&lt;DATE(2023,5,1),"OLD","NEW"))</f>
        <v>OLD</v>
      </c>
      <c r="S871" s="33" t="n">
        <f aca="false">IF(COUNTIF('[1]Plate_1-2_LongFormat'!$A$2:$A$193,G871)&gt;0,1,0)</f>
        <v>1</v>
      </c>
      <c r="T871" s="33" t="n">
        <f aca="false">IF(COUNTIF([2]Attached_indexes!$C$2:$C$193,G871)&gt;0,1,0)</f>
        <v>1</v>
      </c>
      <c r="U871" s="59"/>
      <c r="V871" s="1" t="s">
        <v>982</v>
      </c>
    </row>
    <row r="872" customFormat="false" ht="15.75" hidden="false" customHeight="true" outlineLevel="0" collapsed="false">
      <c r="A872" s="18" t="s">
        <v>411</v>
      </c>
      <c r="B872" s="18" t="s">
        <v>411</v>
      </c>
      <c r="C872" s="18" t="s">
        <v>40</v>
      </c>
      <c r="E872" s="66" t="n">
        <v>9</v>
      </c>
      <c r="F872" s="21" t="str">
        <f aca="false">CONCATENATE(B872,"_",C872, TEXT(E872, "000"))</f>
        <v>TWGB_M. guttatus009</v>
      </c>
      <c r="G872" s="21" t="s">
        <v>427</v>
      </c>
      <c r="H872" s="18" t="n">
        <v>1</v>
      </c>
      <c r="I872" s="22" t="n">
        <v>44683</v>
      </c>
      <c r="J872" s="2" t="s">
        <v>981</v>
      </c>
      <c r="K872" s="61"/>
      <c r="L872" s="2" t="n">
        <v>1</v>
      </c>
      <c r="M872" s="2" t="n">
        <v>1</v>
      </c>
      <c r="N872" s="3" t="n">
        <v>44834</v>
      </c>
      <c r="O872" s="77" t="n">
        <v>17</v>
      </c>
      <c r="P872" s="2" t="n">
        <v>1</v>
      </c>
      <c r="Q872" s="62" t="str">
        <f aca="false">IF(ISBLANK(N872),"",IF(N872&lt;DATE(2023,5,1),"OLD","NEW"))</f>
        <v>OLD</v>
      </c>
      <c r="R872" s="2" t="s">
        <v>1044</v>
      </c>
      <c r="S872" s="33" t="n">
        <f aca="false">IF(COUNTIF('[1]Plate_1-2_LongFormat'!$A$2:$A$193,G872)&gt;0,1,0)</f>
        <v>1</v>
      </c>
      <c r="T872" s="33" t="n">
        <f aca="false">IF(COUNTIF([2]Attached_indexes!$C$2:$C$193,G872)&gt;0,1,0)</f>
        <v>1</v>
      </c>
      <c r="U872" s="59"/>
      <c r="V872" s="1" t="s">
        <v>982</v>
      </c>
    </row>
    <row r="873" customFormat="false" ht="15.75" hidden="false" customHeight="true" outlineLevel="0" collapsed="false">
      <c r="A873" s="18" t="s">
        <v>411</v>
      </c>
      <c r="B873" s="18" t="s">
        <v>411</v>
      </c>
      <c r="C873" s="18" t="s">
        <v>40</v>
      </c>
      <c r="E873" s="66" t="n">
        <v>9</v>
      </c>
      <c r="F873" s="21" t="str">
        <f aca="false">CONCATENATE(B873,"_",C873, TEXT(E873, "000"))</f>
        <v>TWGB_M. guttatus009</v>
      </c>
      <c r="G873" s="21" t="s">
        <v>427</v>
      </c>
      <c r="H873" s="18" t="n">
        <v>1</v>
      </c>
      <c r="I873" s="22" t="n">
        <v>44683</v>
      </c>
      <c r="J873" s="2" t="s">
        <v>981</v>
      </c>
      <c r="K873" s="61"/>
      <c r="L873" s="2" t="n">
        <v>1</v>
      </c>
      <c r="M873" s="2" t="n">
        <v>1</v>
      </c>
      <c r="N873" s="3" t="n">
        <v>44834</v>
      </c>
      <c r="O873" s="77" t="n">
        <v>17</v>
      </c>
      <c r="P873" s="2" t="n">
        <v>1</v>
      </c>
      <c r="Q873" s="62" t="str">
        <f aca="false">IF(ISBLANK(N873),"",IF(N873&lt;DATE(2023,5,1),"OLD","NEW"))</f>
        <v>OLD</v>
      </c>
      <c r="S873" s="33" t="n">
        <f aca="false">IF(COUNTIF('[1]Plate_1-2_LongFormat'!$A$2:$A$193,G873)&gt;0,1,0)</f>
        <v>1</v>
      </c>
      <c r="T873" s="33" t="n">
        <f aca="false">IF(COUNTIF([2]Attached_indexes!$C$2:$C$193,G873)&gt;0,1,0)</f>
        <v>1</v>
      </c>
      <c r="U873" s="59"/>
      <c r="V873" s="1" t="s">
        <v>982</v>
      </c>
    </row>
    <row r="874" customFormat="false" ht="15.75" hidden="false" customHeight="true" outlineLevel="0" collapsed="false">
      <c r="A874" s="18" t="s">
        <v>411</v>
      </c>
      <c r="B874" s="18" t="s">
        <v>411</v>
      </c>
      <c r="C874" s="18" t="s">
        <v>40</v>
      </c>
      <c r="E874" s="66" t="n">
        <v>9</v>
      </c>
      <c r="F874" s="21" t="str">
        <f aca="false">CONCATENATE(B874,"_",C874, TEXT(E874, "000"))</f>
        <v>TWGB_M. guttatus009</v>
      </c>
      <c r="G874" s="21" t="s">
        <v>427</v>
      </c>
      <c r="H874" s="18" t="n">
        <v>1</v>
      </c>
      <c r="I874" s="22" t="n">
        <v>44683</v>
      </c>
      <c r="J874" s="2" t="s">
        <v>981</v>
      </c>
      <c r="K874" s="61"/>
      <c r="L874" s="2" t="n">
        <v>1</v>
      </c>
      <c r="M874" s="2" t="n">
        <v>1</v>
      </c>
      <c r="N874" s="3" t="n">
        <v>44834</v>
      </c>
      <c r="O874" s="77" t="n">
        <v>17</v>
      </c>
      <c r="P874" s="2" t="n">
        <v>1</v>
      </c>
      <c r="Q874" s="62" t="str">
        <f aca="false">IF(ISBLANK(N874),"",IF(N874&lt;DATE(2023,5,1),"OLD","NEW"))</f>
        <v>OLD</v>
      </c>
      <c r="S874" s="33" t="n">
        <f aca="false">IF(COUNTIF('[1]Plate_1-2_LongFormat'!$A$2:$A$193,G874)&gt;0,1,0)</f>
        <v>1</v>
      </c>
      <c r="T874" s="33" t="n">
        <f aca="false">IF(COUNTIF([2]Attached_indexes!$C$2:$C$193,G874)&gt;0,1,0)</f>
        <v>1</v>
      </c>
      <c r="U874" s="59"/>
      <c r="V874" s="1" t="s">
        <v>982</v>
      </c>
    </row>
    <row r="875" customFormat="false" ht="15.75" hidden="false" customHeight="true" outlineLevel="0" collapsed="false">
      <c r="A875" s="18" t="s">
        <v>512</v>
      </c>
      <c r="B875" s="18" t="s">
        <v>512</v>
      </c>
      <c r="C875" s="18" t="s">
        <v>40</v>
      </c>
      <c r="E875" s="66" t="n">
        <v>1</v>
      </c>
      <c r="F875" s="21" t="str">
        <f aca="false">CONCATENATE(B875,"_",C875, TEXT(E875, "000"))</f>
        <v>WCFB_M. guttatus001</v>
      </c>
      <c r="G875" s="21" t="s">
        <v>534</v>
      </c>
      <c r="H875" s="18" t="n">
        <v>1</v>
      </c>
      <c r="I875" s="22" t="n">
        <v>44693</v>
      </c>
      <c r="J875" s="2" t="s">
        <v>981</v>
      </c>
      <c r="K875" s="67" t="s">
        <v>1004</v>
      </c>
      <c r="L875" s="2" t="n">
        <v>1</v>
      </c>
      <c r="M875" s="2" t="n">
        <v>1</v>
      </c>
      <c r="N875" s="3" t="n">
        <v>45071</v>
      </c>
      <c r="O875" s="77" t="n">
        <v>3.62</v>
      </c>
      <c r="P875" s="2" t="n">
        <v>4</v>
      </c>
      <c r="Q875" s="62" t="str">
        <f aca="false">IF(ISBLANK(N875),"",IF(N875&lt;DATE(2023,5,1),"OLD","NEW"))</f>
        <v>NEW</v>
      </c>
      <c r="S875" s="33" t="n">
        <f aca="false">IF(COUNTIF('[1]Plate_1-2_LongFormat'!$A$2:$A$193,G875)&gt;0,1,0)</f>
        <v>0</v>
      </c>
      <c r="T875" s="33" t="n">
        <f aca="false">IF(COUNTIF([2]Attached_indexes!$C$2:$C$193,G875)&gt;0,1,0)</f>
        <v>0</v>
      </c>
      <c r="U875" s="59"/>
      <c r="V875" s="1" t="s">
        <v>982</v>
      </c>
    </row>
    <row r="876" customFormat="false" ht="15.75" hidden="false" customHeight="true" outlineLevel="0" collapsed="false">
      <c r="A876" s="18" t="s">
        <v>512</v>
      </c>
      <c r="B876" s="18" t="s">
        <v>512</v>
      </c>
      <c r="C876" s="18" t="s">
        <v>40</v>
      </c>
      <c r="E876" s="66" t="n">
        <v>1</v>
      </c>
      <c r="F876" s="21" t="str">
        <f aca="false">CONCATENATE(B876,"_",C876, TEXT(E876, "000"))</f>
        <v>WCFB_M. guttatus001</v>
      </c>
      <c r="G876" s="21" t="s">
        <v>534</v>
      </c>
      <c r="H876" s="18" t="n">
        <v>1</v>
      </c>
      <c r="I876" s="22" t="n">
        <v>44693</v>
      </c>
      <c r="J876" s="2" t="s">
        <v>981</v>
      </c>
      <c r="K876" s="67" t="s">
        <v>1004</v>
      </c>
      <c r="L876" s="2" t="n">
        <v>1</v>
      </c>
      <c r="M876" s="2" t="n">
        <v>1</v>
      </c>
      <c r="N876" s="3" t="n">
        <v>45071</v>
      </c>
      <c r="O876" s="77" t="n">
        <v>3.62</v>
      </c>
      <c r="P876" s="2" t="n">
        <v>4</v>
      </c>
      <c r="Q876" s="62" t="str">
        <f aca="false">IF(ISBLANK(N876),"",IF(N876&lt;DATE(2023,5,1),"OLD","NEW"))</f>
        <v>NEW</v>
      </c>
      <c r="S876" s="33" t="n">
        <f aca="false">IF(COUNTIF('[1]Plate_1-2_LongFormat'!$A$2:$A$193,G876)&gt;0,1,0)</f>
        <v>0</v>
      </c>
      <c r="T876" s="33" t="n">
        <f aca="false">IF(COUNTIF([2]Attached_indexes!$C$2:$C$193,G876)&gt;0,1,0)</f>
        <v>0</v>
      </c>
      <c r="U876" s="59"/>
      <c r="V876" s="1" t="s">
        <v>982</v>
      </c>
    </row>
    <row r="877" customFormat="false" ht="15.75" hidden="false" customHeight="true" outlineLevel="0" collapsed="false">
      <c r="A877" s="18" t="s">
        <v>512</v>
      </c>
      <c r="B877" s="18" t="s">
        <v>512</v>
      </c>
      <c r="C877" s="18" t="s">
        <v>40</v>
      </c>
      <c r="E877" s="66" t="n">
        <v>1</v>
      </c>
      <c r="F877" s="21" t="str">
        <f aca="false">CONCATENATE(B877,"_",C877, TEXT(E877, "000"))</f>
        <v>WCFB_M. guttatus001</v>
      </c>
      <c r="G877" s="21" t="s">
        <v>534</v>
      </c>
      <c r="H877" s="18" t="n">
        <v>1</v>
      </c>
      <c r="I877" s="22" t="n">
        <v>44693</v>
      </c>
      <c r="J877" s="2" t="s">
        <v>981</v>
      </c>
      <c r="K877" s="67" t="s">
        <v>1004</v>
      </c>
      <c r="L877" s="2" t="n">
        <v>1</v>
      </c>
      <c r="M877" s="2" t="n">
        <v>1</v>
      </c>
      <c r="N877" s="3" t="n">
        <v>45071</v>
      </c>
      <c r="O877" s="77" t="n">
        <v>3.62</v>
      </c>
      <c r="P877" s="2" t="n">
        <v>4</v>
      </c>
      <c r="Q877" s="62" t="str">
        <f aca="false">IF(ISBLANK(N877),"",IF(N877&lt;DATE(2023,5,1),"OLD","NEW"))</f>
        <v>NEW</v>
      </c>
      <c r="S877" s="33" t="n">
        <f aca="false">IF(COUNTIF('[1]Plate_1-2_LongFormat'!$A$2:$A$193,G877)&gt;0,1,0)</f>
        <v>0</v>
      </c>
      <c r="T877" s="33" t="n">
        <f aca="false">IF(COUNTIF([2]Attached_indexes!$C$2:$C$193,G877)&gt;0,1,0)</f>
        <v>0</v>
      </c>
      <c r="U877" s="59"/>
      <c r="V877" s="1" t="s">
        <v>982</v>
      </c>
    </row>
    <row r="878" customFormat="false" ht="15.75" hidden="false" customHeight="true" outlineLevel="0" collapsed="false">
      <c r="A878" s="18" t="s">
        <v>512</v>
      </c>
      <c r="B878" s="18" t="s">
        <v>512</v>
      </c>
      <c r="C878" s="18" t="s">
        <v>40</v>
      </c>
      <c r="E878" s="66" t="n">
        <v>10</v>
      </c>
      <c r="F878" s="21" t="str">
        <f aca="false">CONCATENATE(B878,"_",C878, TEXT(E878, "000"))</f>
        <v>WCFB_M. guttatus010</v>
      </c>
      <c r="G878" s="21" t="s">
        <v>554</v>
      </c>
      <c r="H878" s="18" t="n">
        <v>1</v>
      </c>
      <c r="I878" s="22" t="n">
        <v>44693</v>
      </c>
      <c r="J878" s="2" t="s">
        <v>981</v>
      </c>
      <c r="K878" s="61"/>
      <c r="L878" s="2" t="n">
        <v>1</v>
      </c>
      <c r="M878" s="2" t="n">
        <v>1</v>
      </c>
      <c r="N878" s="3" t="n">
        <v>44945</v>
      </c>
      <c r="O878" s="2" t="n">
        <v>8.53</v>
      </c>
      <c r="P878" s="2" t="n">
        <v>2</v>
      </c>
      <c r="Q878" s="62" t="str">
        <f aca="false">IF(ISBLANK(N878),"",IF(N878&lt;DATE(2023,5,1),"OLD","NEW"))</f>
        <v>OLD</v>
      </c>
      <c r="S878" s="33" t="n">
        <f aca="false">IF(COUNTIF('[1]Plate_1-2_LongFormat'!$A$2:$A$193,G878)&gt;0,1,0)</f>
        <v>1</v>
      </c>
      <c r="T878" s="33" t="n">
        <f aca="false">IF(COUNTIF([2]Attached_indexes!$C$2:$C$193,G878)&gt;0,1,0)</f>
        <v>1</v>
      </c>
      <c r="U878" s="59"/>
      <c r="V878" s="1" t="s">
        <v>982</v>
      </c>
    </row>
    <row r="879" customFormat="false" ht="15.75" hidden="false" customHeight="true" outlineLevel="0" collapsed="false">
      <c r="A879" s="18" t="s">
        <v>512</v>
      </c>
      <c r="B879" s="18" t="s">
        <v>512</v>
      </c>
      <c r="C879" s="18" t="s">
        <v>40</v>
      </c>
      <c r="E879" s="66" t="n">
        <v>10</v>
      </c>
      <c r="F879" s="21" t="str">
        <f aca="false">CONCATENATE(B879,"_",C879, TEXT(E879, "000"))</f>
        <v>WCFB_M. guttatus010</v>
      </c>
      <c r="G879" s="21" t="s">
        <v>554</v>
      </c>
      <c r="H879" s="18" t="n">
        <v>1</v>
      </c>
      <c r="I879" s="22" t="n">
        <v>44693</v>
      </c>
      <c r="J879" s="2" t="s">
        <v>981</v>
      </c>
      <c r="K879" s="61"/>
      <c r="L879" s="2" t="n">
        <v>1</v>
      </c>
      <c r="M879" s="2" t="n">
        <v>1</v>
      </c>
      <c r="N879" s="3" t="n">
        <v>44945</v>
      </c>
      <c r="O879" s="2" t="n">
        <v>8.53</v>
      </c>
      <c r="P879" s="2" t="n">
        <v>2</v>
      </c>
      <c r="Q879" s="62" t="str">
        <f aca="false">IF(ISBLANK(N879),"",IF(N879&lt;DATE(2023,5,1),"OLD","NEW"))</f>
        <v>OLD</v>
      </c>
      <c r="S879" s="33" t="n">
        <f aca="false">IF(COUNTIF('[1]Plate_1-2_LongFormat'!$A$2:$A$193,G879)&gt;0,1,0)</f>
        <v>1</v>
      </c>
      <c r="T879" s="33" t="n">
        <f aca="false">IF(COUNTIF([2]Attached_indexes!$C$2:$C$193,G879)&gt;0,1,0)</f>
        <v>1</v>
      </c>
      <c r="U879" s="59"/>
      <c r="V879" s="1" t="s">
        <v>982</v>
      </c>
    </row>
    <row r="880" customFormat="false" ht="15.75" hidden="false" customHeight="true" outlineLevel="0" collapsed="false">
      <c r="A880" s="18" t="s">
        <v>512</v>
      </c>
      <c r="B880" s="18" t="s">
        <v>512</v>
      </c>
      <c r="C880" s="18" t="s">
        <v>40</v>
      </c>
      <c r="E880" s="66" t="n">
        <v>10</v>
      </c>
      <c r="F880" s="21" t="str">
        <f aca="false">CONCATENATE(B880,"_",C880, TEXT(E880, "000"))</f>
        <v>WCFB_M. guttatus010</v>
      </c>
      <c r="G880" s="21" t="s">
        <v>554</v>
      </c>
      <c r="H880" s="18" t="n">
        <v>1</v>
      </c>
      <c r="I880" s="22" t="n">
        <v>44693</v>
      </c>
      <c r="J880" s="2" t="s">
        <v>981</v>
      </c>
      <c r="K880" s="61"/>
      <c r="L880" s="2" t="n">
        <v>1</v>
      </c>
      <c r="M880" s="2" t="n">
        <v>1</v>
      </c>
      <c r="N880" s="3" t="n">
        <v>44945</v>
      </c>
      <c r="O880" s="2" t="n">
        <v>8.53</v>
      </c>
      <c r="P880" s="2" t="n">
        <v>2</v>
      </c>
      <c r="Q880" s="62" t="str">
        <f aca="false">IF(ISBLANK(N880),"",IF(N880&lt;DATE(2023,5,1),"OLD","NEW"))</f>
        <v>OLD</v>
      </c>
      <c r="S880" s="33" t="n">
        <f aca="false">IF(COUNTIF('[1]Plate_1-2_LongFormat'!$A$2:$A$193,G880)&gt;0,1,0)</f>
        <v>1</v>
      </c>
      <c r="T880" s="33" t="n">
        <f aca="false">IF(COUNTIF([2]Attached_indexes!$C$2:$C$193,G880)&gt;0,1,0)</f>
        <v>1</v>
      </c>
      <c r="U880" s="59"/>
      <c r="V880" s="1" t="s">
        <v>982</v>
      </c>
    </row>
    <row r="881" customFormat="false" ht="15.75" hidden="false" customHeight="true" outlineLevel="0" collapsed="false">
      <c r="A881" s="18" t="s">
        <v>512</v>
      </c>
      <c r="B881" s="18" t="s">
        <v>512</v>
      </c>
      <c r="C881" s="18" t="s">
        <v>40</v>
      </c>
      <c r="E881" s="66" t="n">
        <v>11</v>
      </c>
      <c r="F881" s="21" t="str">
        <f aca="false">CONCATENATE(B881,"_",C881, TEXT(E881, "000"))</f>
        <v>WCFB_M. guttatus011</v>
      </c>
      <c r="G881" s="21" t="s">
        <v>556</v>
      </c>
      <c r="H881" s="18" t="n">
        <v>1</v>
      </c>
      <c r="I881" s="22" t="n">
        <v>44693</v>
      </c>
      <c r="J881" s="2" t="s">
        <v>981</v>
      </c>
      <c r="K881" s="61"/>
      <c r="L881" s="2" t="n">
        <v>1</v>
      </c>
      <c r="M881" s="2" t="n">
        <v>1</v>
      </c>
      <c r="N881" s="3" t="n">
        <v>44914</v>
      </c>
      <c r="O881" s="2" t="n">
        <v>8.67</v>
      </c>
      <c r="P881" s="2" t="n">
        <v>2</v>
      </c>
      <c r="Q881" s="62" t="str">
        <f aca="false">IF(ISBLANK(N881),"",IF(N881&lt;DATE(2023,5,1),"OLD","NEW"))</f>
        <v>OLD</v>
      </c>
      <c r="S881" s="33" t="n">
        <f aca="false">IF(COUNTIF('[1]Plate_1-2_LongFormat'!$A$2:$A$193,G881)&gt;0,1,0)</f>
        <v>1</v>
      </c>
      <c r="T881" s="33" t="n">
        <f aca="false">IF(COUNTIF([2]Attached_indexes!$C$2:$C$193,G881)&gt;0,1,0)</f>
        <v>1</v>
      </c>
      <c r="U881" s="59"/>
      <c r="V881" s="1" t="s">
        <v>982</v>
      </c>
    </row>
    <row r="882" customFormat="false" ht="15.75" hidden="false" customHeight="true" outlineLevel="0" collapsed="false">
      <c r="A882" s="18" t="s">
        <v>512</v>
      </c>
      <c r="B882" s="18" t="s">
        <v>512</v>
      </c>
      <c r="C882" s="18" t="s">
        <v>40</v>
      </c>
      <c r="E882" s="66" t="n">
        <v>11</v>
      </c>
      <c r="F882" s="21" t="str">
        <f aca="false">CONCATENATE(B882,"_",C882, TEXT(E882, "000"))</f>
        <v>WCFB_M. guttatus011</v>
      </c>
      <c r="G882" s="21" t="s">
        <v>556</v>
      </c>
      <c r="H882" s="18" t="n">
        <v>1</v>
      </c>
      <c r="I882" s="22" t="n">
        <v>44693</v>
      </c>
      <c r="J882" s="2" t="s">
        <v>981</v>
      </c>
      <c r="K882" s="61"/>
      <c r="L882" s="2" t="n">
        <v>1</v>
      </c>
      <c r="M882" s="2" t="n">
        <v>1</v>
      </c>
      <c r="N882" s="3" t="n">
        <v>44914</v>
      </c>
      <c r="O882" s="2" t="n">
        <v>8.67</v>
      </c>
      <c r="P882" s="2" t="n">
        <v>2</v>
      </c>
      <c r="Q882" s="62" t="str">
        <f aca="false">IF(ISBLANK(N882),"",IF(N882&lt;DATE(2023,5,1),"OLD","NEW"))</f>
        <v>OLD</v>
      </c>
      <c r="S882" s="33" t="n">
        <f aca="false">IF(COUNTIF('[1]Plate_1-2_LongFormat'!$A$2:$A$193,G882)&gt;0,1,0)</f>
        <v>1</v>
      </c>
      <c r="T882" s="33" t="n">
        <f aca="false">IF(COUNTIF([2]Attached_indexes!$C$2:$C$193,G882)&gt;0,1,0)</f>
        <v>1</v>
      </c>
      <c r="U882" s="59"/>
      <c r="V882" s="1" t="s">
        <v>982</v>
      </c>
    </row>
    <row r="883" customFormat="false" ht="15.75" hidden="false" customHeight="true" outlineLevel="0" collapsed="false">
      <c r="A883" s="18" t="s">
        <v>512</v>
      </c>
      <c r="B883" s="18" t="s">
        <v>512</v>
      </c>
      <c r="C883" s="18" t="s">
        <v>40</v>
      </c>
      <c r="E883" s="66" t="n">
        <v>11</v>
      </c>
      <c r="F883" s="21" t="str">
        <f aca="false">CONCATENATE(B883,"_",C883, TEXT(E883, "000"))</f>
        <v>WCFB_M. guttatus011</v>
      </c>
      <c r="G883" s="21" t="s">
        <v>556</v>
      </c>
      <c r="H883" s="18" t="n">
        <v>1</v>
      </c>
      <c r="I883" s="22" t="n">
        <v>44693</v>
      </c>
      <c r="J883" s="2" t="s">
        <v>981</v>
      </c>
      <c r="K883" s="61"/>
      <c r="L883" s="2" t="n">
        <v>1</v>
      </c>
      <c r="M883" s="2" t="n">
        <v>1</v>
      </c>
      <c r="N883" s="3" t="n">
        <v>44914</v>
      </c>
      <c r="O883" s="2" t="n">
        <v>8.67</v>
      </c>
      <c r="P883" s="2" t="n">
        <v>2</v>
      </c>
      <c r="Q883" s="62" t="str">
        <f aca="false">IF(ISBLANK(N883),"",IF(N883&lt;DATE(2023,5,1),"OLD","NEW"))</f>
        <v>OLD</v>
      </c>
      <c r="S883" s="33" t="n">
        <f aca="false">IF(COUNTIF('[1]Plate_1-2_LongFormat'!$A$2:$A$193,G883)&gt;0,1,0)</f>
        <v>1</v>
      </c>
      <c r="T883" s="33" t="n">
        <f aca="false">IF(COUNTIF([2]Attached_indexes!$C$2:$C$193,G883)&gt;0,1,0)</f>
        <v>1</v>
      </c>
      <c r="U883" s="59"/>
      <c r="V883" s="1" t="s">
        <v>982</v>
      </c>
    </row>
    <row r="884" customFormat="false" ht="15.75" hidden="false" customHeight="true" outlineLevel="0" collapsed="false">
      <c r="A884" s="18" t="s">
        <v>512</v>
      </c>
      <c r="B884" s="18" t="s">
        <v>512</v>
      </c>
      <c r="C884" s="18" t="s">
        <v>40</v>
      </c>
      <c r="E884" s="66" t="n">
        <v>12</v>
      </c>
      <c r="F884" s="21" t="str">
        <f aca="false">CONCATENATE(B884,"_",C884, TEXT(E884, "000"))</f>
        <v>WCFB_M. guttatus012</v>
      </c>
      <c r="G884" s="21" t="s">
        <v>558</v>
      </c>
      <c r="H884" s="18" t="n">
        <v>1</v>
      </c>
      <c r="I884" s="22" t="n">
        <v>44693</v>
      </c>
      <c r="J884" s="2" t="s">
        <v>981</v>
      </c>
      <c r="K884" s="61"/>
      <c r="L884" s="2" t="n">
        <v>1</v>
      </c>
      <c r="M884" s="2" t="n">
        <v>1</v>
      </c>
      <c r="N884" s="3" t="n">
        <v>44799</v>
      </c>
      <c r="O884" s="64" t="n">
        <v>1.93</v>
      </c>
      <c r="P884" s="64" t="n">
        <v>1</v>
      </c>
      <c r="Q884" s="62" t="str">
        <f aca="false">IF(ISBLANK(N884),"",IF(N884&lt;DATE(2023,5,1),"OLD","NEW"))</f>
        <v>OLD</v>
      </c>
      <c r="S884" s="33" t="n">
        <f aca="false">IF(COUNTIF('[1]Plate_1-2_LongFormat'!$A$2:$A$193,G884)&gt;0,1,0)</f>
        <v>1</v>
      </c>
      <c r="T884" s="33" t="n">
        <f aca="false">IF(COUNTIF([2]Attached_indexes!$C$2:$C$193,G884)&gt;0,1,0)</f>
        <v>1</v>
      </c>
      <c r="U884" s="59"/>
      <c r="V884" s="1" t="s">
        <v>982</v>
      </c>
    </row>
    <row r="885" customFormat="false" ht="15.75" hidden="false" customHeight="true" outlineLevel="0" collapsed="false">
      <c r="A885" s="18" t="s">
        <v>512</v>
      </c>
      <c r="B885" s="18" t="s">
        <v>512</v>
      </c>
      <c r="C885" s="18" t="s">
        <v>40</v>
      </c>
      <c r="E885" s="66" t="n">
        <v>12</v>
      </c>
      <c r="F885" s="21" t="str">
        <f aca="false">CONCATENATE(B885,"_",C885, TEXT(E885, "000"))</f>
        <v>WCFB_M. guttatus012</v>
      </c>
      <c r="G885" s="21" t="s">
        <v>558</v>
      </c>
      <c r="H885" s="18" t="n">
        <v>1</v>
      </c>
      <c r="I885" s="22" t="n">
        <v>44693</v>
      </c>
      <c r="J885" s="2" t="s">
        <v>981</v>
      </c>
      <c r="K885" s="61"/>
      <c r="L885" s="2" t="n">
        <v>1</v>
      </c>
      <c r="M885" s="2" t="n">
        <v>1</v>
      </c>
      <c r="N885" s="3" t="n">
        <v>44799</v>
      </c>
      <c r="O885" s="64" t="n">
        <v>1.93</v>
      </c>
      <c r="P885" s="64" t="n">
        <v>1</v>
      </c>
      <c r="Q885" s="62" t="str">
        <f aca="false">IF(ISBLANK(N885),"",IF(N885&lt;DATE(2023,5,1),"OLD","NEW"))</f>
        <v>OLD</v>
      </c>
      <c r="S885" s="33" t="n">
        <f aca="false">IF(COUNTIF('[1]Plate_1-2_LongFormat'!$A$2:$A$193,G885)&gt;0,1,0)</f>
        <v>1</v>
      </c>
      <c r="T885" s="33" t="n">
        <f aca="false">IF(COUNTIF([2]Attached_indexes!$C$2:$C$193,G885)&gt;0,1,0)</f>
        <v>1</v>
      </c>
      <c r="U885" s="59"/>
      <c r="V885" s="1" t="s">
        <v>982</v>
      </c>
    </row>
    <row r="886" customFormat="false" ht="15.75" hidden="false" customHeight="true" outlineLevel="0" collapsed="false">
      <c r="A886" s="18" t="s">
        <v>512</v>
      </c>
      <c r="B886" s="18" t="s">
        <v>512</v>
      </c>
      <c r="C886" s="18" t="s">
        <v>40</v>
      </c>
      <c r="E886" s="66" t="n">
        <v>12</v>
      </c>
      <c r="F886" s="21" t="str">
        <f aca="false">CONCATENATE(B886,"_",C886, TEXT(E886, "000"))</f>
        <v>WCFB_M. guttatus012</v>
      </c>
      <c r="G886" s="21" t="s">
        <v>558</v>
      </c>
      <c r="H886" s="18" t="n">
        <v>1</v>
      </c>
      <c r="I886" s="22" t="n">
        <v>44693</v>
      </c>
      <c r="J886" s="2" t="s">
        <v>981</v>
      </c>
      <c r="K886" s="61"/>
      <c r="L886" s="2" t="n">
        <v>1</v>
      </c>
      <c r="M886" s="2" t="n">
        <v>1</v>
      </c>
      <c r="N886" s="3" t="n">
        <v>44799</v>
      </c>
      <c r="O886" s="64" t="n">
        <v>1.93</v>
      </c>
      <c r="P886" s="64" t="n">
        <v>1</v>
      </c>
      <c r="Q886" s="62" t="str">
        <f aca="false">IF(ISBLANK(N886),"",IF(N886&lt;DATE(2023,5,1),"OLD","NEW"))</f>
        <v>OLD</v>
      </c>
      <c r="S886" s="33" t="n">
        <f aca="false">IF(COUNTIF('[1]Plate_1-2_LongFormat'!$A$2:$A$193,G886)&gt;0,1,0)</f>
        <v>1</v>
      </c>
      <c r="T886" s="33" t="n">
        <f aca="false">IF(COUNTIF([2]Attached_indexes!$C$2:$C$193,G886)&gt;0,1,0)</f>
        <v>1</v>
      </c>
      <c r="U886" s="59"/>
      <c r="V886" s="1" t="s">
        <v>982</v>
      </c>
    </row>
    <row r="887" customFormat="false" ht="15.75" hidden="false" customHeight="true" outlineLevel="0" collapsed="false">
      <c r="A887" s="18" t="s">
        <v>512</v>
      </c>
      <c r="B887" s="18" t="s">
        <v>512</v>
      </c>
      <c r="C887" s="18" t="s">
        <v>40</v>
      </c>
      <c r="E887" s="66" t="n">
        <v>2</v>
      </c>
      <c r="F887" s="21" t="str">
        <f aca="false">CONCATENATE(B887,"_",C887, TEXT(E887, "000"))</f>
        <v>WCFB_M. guttatus002</v>
      </c>
      <c r="G887" s="21" t="s">
        <v>537</v>
      </c>
      <c r="H887" s="18" t="n">
        <v>1</v>
      </c>
      <c r="I887" s="22" t="n">
        <v>44693</v>
      </c>
      <c r="J887" s="2" t="s">
        <v>981</v>
      </c>
      <c r="K887" s="67" t="s">
        <v>1045</v>
      </c>
      <c r="L887" s="2" t="n">
        <v>1</v>
      </c>
      <c r="M887" s="2" t="n">
        <v>1</v>
      </c>
      <c r="N887" s="3" t="n">
        <v>45071</v>
      </c>
      <c r="O887" s="64" t="n">
        <v>14.2</v>
      </c>
      <c r="P887" s="64" t="n">
        <v>4</v>
      </c>
      <c r="Q887" s="62" t="str">
        <f aca="false">IF(ISBLANK(N887),"",IF(N887&lt;DATE(2023,5,1),"OLD","NEW"))</f>
        <v>NEW</v>
      </c>
      <c r="S887" s="33" t="n">
        <f aca="false">IF(COUNTIF('[1]Plate_1-2_LongFormat'!$A$2:$A$193,G887)&gt;0,1,0)</f>
        <v>0</v>
      </c>
      <c r="T887" s="33" t="n">
        <f aca="false">IF(COUNTIF([2]Attached_indexes!$C$2:$C$193,G887)&gt;0,1,0)</f>
        <v>0</v>
      </c>
      <c r="U887" s="59"/>
      <c r="V887" s="1" t="s">
        <v>982</v>
      </c>
    </row>
    <row r="888" customFormat="false" ht="15.75" hidden="false" customHeight="true" outlineLevel="0" collapsed="false">
      <c r="A888" s="18" t="s">
        <v>512</v>
      </c>
      <c r="B888" s="18" t="s">
        <v>512</v>
      </c>
      <c r="C888" s="18" t="s">
        <v>40</v>
      </c>
      <c r="E888" s="66" t="n">
        <v>2</v>
      </c>
      <c r="F888" s="21" t="str">
        <f aca="false">CONCATENATE(B888,"_",C888, TEXT(E888, "000"))</f>
        <v>WCFB_M. guttatus002</v>
      </c>
      <c r="G888" s="21" t="s">
        <v>537</v>
      </c>
      <c r="H888" s="18" t="n">
        <v>1</v>
      </c>
      <c r="I888" s="22" t="n">
        <v>44693</v>
      </c>
      <c r="J888" s="2" t="s">
        <v>981</v>
      </c>
      <c r="K888" s="67" t="s">
        <v>1045</v>
      </c>
      <c r="L888" s="2" t="n">
        <v>1</v>
      </c>
      <c r="M888" s="2" t="n">
        <v>1</v>
      </c>
      <c r="N888" s="3" t="n">
        <v>45071</v>
      </c>
      <c r="O888" s="64" t="n">
        <v>14.2</v>
      </c>
      <c r="P888" s="64" t="n">
        <v>4</v>
      </c>
      <c r="Q888" s="62" t="str">
        <f aca="false">IF(ISBLANK(N888),"",IF(N888&lt;DATE(2023,5,1),"OLD","NEW"))</f>
        <v>NEW</v>
      </c>
      <c r="S888" s="33" t="n">
        <f aca="false">IF(COUNTIF('[1]Plate_1-2_LongFormat'!$A$2:$A$193,G888)&gt;0,1,0)</f>
        <v>0</v>
      </c>
      <c r="T888" s="33" t="n">
        <f aca="false">IF(COUNTIF([2]Attached_indexes!$C$2:$C$193,G888)&gt;0,1,0)</f>
        <v>0</v>
      </c>
      <c r="U888" s="59"/>
      <c r="V888" s="1" t="s">
        <v>982</v>
      </c>
    </row>
    <row r="889" customFormat="false" ht="15.75" hidden="false" customHeight="true" outlineLevel="0" collapsed="false">
      <c r="A889" s="18" t="s">
        <v>512</v>
      </c>
      <c r="B889" s="18" t="s">
        <v>512</v>
      </c>
      <c r="C889" s="18" t="s">
        <v>40</v>
      </c>
      <c r="E889" s="66" t="n">
        <v>2</v>
      </c>
      <c r="F889" s="21" t="str">
        <f aca="false">CONCATENATE(B889,"_",C889, TEXT(E889, "000"))</f>
        <v>WCFB_M. guttatus002</v>
      </c>
      <c r="G889" s="21" t="s">
        <v>537</v>
      </c>
      <c r="H889" s="18" t="n">
        <v>1</v>
      </c>
      <c r="I889" s="22" t="n">
        <v>44693</v>
      </c>
      <c r="J889" s="2" t="s">
        <v>981</v>
      </c>
      <c r="K889" s="67" t="s">
        <v>1045</v>
      </c>
      <c r="L889" s="2" t="n">
        <v>1</v>
      </c>
      <c r="M889" s="2" t="n">
        <v>1</v>
      </c>
      <c r="N889" s="3" t="n">
        <v>45071</v>
      </c>
      <c r="O889" s="64" t="n">
        <v>14.2</v>
      </c>
      <c r="P889" s="64" t="n">
        <v>4</v>
      </c>
      <c r="Q889" s="62" t="str">
        <f aca="false">IF(ISBLANK(N889),"",IF(N889&lt;DATE(2023,5,1),"OLD","NEW"))</f>
        <v>NEW</v>
      </c>
      <c r="S889" s="33" t="n">
        <f aca="false">IF(COUNTIF('[1]Plate_1-2_LongFormat'!$A$2:$A$193,G889)&gt;0,1,0)</f>
        <v>0</v>
      </c>
      <c r="T889" s="33" t="n">
        <f aca="false">IF(COUNTIF([2]Attached_indexes!$C$2:$C$193,G889)&gt;0,1,0)</f>
        <v>0</v>
      </c>
      <c r="U889" s="59"/>
      <c r="V889" s="1" t="s">
        <v>982</v>
      </c>
    </row>
    <row r="890" customFormat="false" ht="15.75" hidden="false" customHeight="true" outlineLevel="0" collapsed="false">
      <c r="A890" s="18" t="s">
        <v>512</v>
      </c>
      <c r="B890" s="18" t="s">
        <v>512</v>
      </c>
      <c r="C890" s="18" t="s">
        <v>40</v>
      </c>
      <c r="E890" s="66" t="n">
        <v>3</v>
      </c>
      <c r="F890" s="21" t="str">
        <f aca="false">CONCATENATE(B890,"_",C890, TEXT(E890, "000"))</f>
        <v>WCFB_M. guttatus003</v>
      </c>
      <c r="G890" s="21" t="s">
        <v>539</v>
      </c>
      <c r="H890" s="18" t="n">
        <v>1</v>
      </c>
      <c r="I890" s="22" t="n">
        <v>44693</v>
      </c>
      <c r="J890" s="2" t="s">
        <v>981</v>
      </c>
      <c r="K890" s="61"/>
      <c r="L890" s="2" t="n">
        <v>1</v>
      </c>
      <c r="M890" s="2" t="n">
        <v>1</v>
      </c>
      <c r="N890" s="3" t="n">
        <v>44999</v>
      </c>
      <c r="O890" s="2" t="n">
        <v>9.8</v>
      </c>
      <c r="P890" s="2" t="n">
        <v>3</v>
      </c>
      <c r="Q890" s="62" t="str">
        <f aca="false">IF(ISBLANK(N890),"",IF(N890&lt;DATE(2023,5,1),"OLD","NEW"))</f>
        <v>OLD</v>
      </c>
      <c r="S890" s="33" t="n">
        <f aca="false">IF(COUNTIF('[1]Plate_1-2_LongFormat'!$A$2:$A$193,G890)&gt;0,1,0)</f>
        <v>1</v>
      </c>
      <c r="T890" s="33" t="n">
        <f aca="false">IF(COUNTIF([2]Attached_indexes!$C$2:$C$193,G890)&gt;0,1,0)</f>
        <v>1</v>
      </c>
      <c r="U890" s="59"/>
      <c r="V890" s="1" t="s">
        <v>982</v>
      </c>
    </row>
    <row r="891" customFormat="false" ht="15.75" hidden="false" customHeight="true" outlineLevel="0" collapsed="false">
      <c r="A891" s="18" t="s">
        <v>512</v>
      </c>
      <c r="B891" s="18" t="s">
        <v>512</v>
      </c>
      <c r="C891" s="18" t="s">
        <v>40</v>
      </c>
      <c r="E891" s="66" t="n">
        <v>3</v>
      </c>
      <c r="F891" s="21" t="str">
        <f aca="false">CONCATENATE(B891,"_",C891, TEXT(E891, "000"))</f>
        <v>WCFB_M. guttatus003</v>
      </c>
      <c r="G891" s="21" t="s">
        <v>539</v>
      </c>
      <c r="H891" s="18" t="n">
        <v>1</v>
      </c>
      <c r="I891" s="22" t="n">
        <v>44693</v>
      </c>
      <c r="J891" s="2" t="s">
        <v>981</v>
      </c>
      <c r="K891" s="61"/>
      <c r="L891" s="2" t="n">
        <v>1</v>
      </c>
      <c r="M891" s="2" t="n">
        <v>1</v>
      </c>
      <c r="N891" s="3" t="n">
        <v>44999</v>
      </c>
      <c r="O891" s="2" t="n">
        <v>9.8</v>
      </c>
      <c r="P891" s="2" t="n">
        <v>3</v>
      </c>
      <c r="Q891" s="62" t="str">
        <f aca="false">IF(ISBLANK(N891),"",IF(N891&lt;DATE(2023,5,1),"OLD","NEW"))</f>
        <v>OLD</v>
      </c>
      <c r="S891" s="33" t="n">
        <f aca="false">IF(COUNTIF('[1]Plate_1-2_LongFormat'!$A$2:$A$193,G891)&gt;0,1,0)</f>
        <v>1</v>
      </c>
      <c r="T891" s="33" t="n">
        <f aca="false">IF(COUNTIF([2]Attached_indexes!$C$2:$C$193,G891)&gt;0,1,0)</f>
        <v>1</v>
      </c>
      <c r="U891" s="59"/>
      <c r="V891" s="1" t="s">
        <v>982</v>
      </c>
    </row>
    <row r="892" customFormat="false" ht="15.75" hidden="false" customHeight="true" outlineLevel="0" collapsed="false">
      <c r="A892" s="18" t="s">
        <v>512</v>
      </c>
      <c r="B892" s="18" t="s">
        <v>512</v>
      </c>
      <c r="C892" s="18" t="s">
        <v>40</v>
      </c>
      <c r="E892" s="66" t="n">
        <v>3</v>
      </c>
      <c r="F892" s="21" t="str">
        <f aca="false">CONCATENATE(B892,"_",C892, TEXT(E892, "000"))</f>
        <v>WCFB_M. guttatus003</v>
      </c>
      <c r="G892" s="21" t="s">
        <v>539</v>
      </c>
      <c r="H892" s="18" t="n">
        <v>1</v>
      </c>
      <c r="I892" s="22" t="n">
        <v>44693</v>
      </c>
      <c r="J892" s="2" t="s">
        <v>981</v>
      </c>
      <c r="K892" s="61"/>
      <c r="L892" s="2" t="n">
        <v>1</v>
      </c>
      <c r="M892" s="2" t="n">
        <v>1</v>
      </c>
      <c r="N892" s="3" t="n">
        <v>44999</v>
      </c>
      <c r="O892" s="2" t="n">
        <v>9.8</v>
      </c>
      <c r="P892" s="2" t="n">
        <v>3</v>
      </c>
      <c r="Q892" s="62" t="str">
        <f aca="false">IF(ISBLANK(N892),"",IF(N892&lt;DATE(2023,5,1),"OLD","NEW"))</f>
        <v>OLD</v>
      </c>
      <c r="S892" s="33" t="n">
        <f aca="false">IF(COUNTIF('[1]Plate_1-2_LongFormat'!$A$2:$A$193,G892)&gt;0,1,0)</f>
        <v>1</v>
      </c>
      <c r="T892" s="33" t="n">
        <f aca="false">IF(COUNTIF([2]Attached_indexes!$C$2:$C$193,G892)&gt;0,1,0)</f>
        <v>1</v>
      </c>
      <c r="U892" s="59"/>
      <c r="V892" s="1" t="s">
        <v>982</v>
      </c>
    </row>
    <row r="893" customFormat="false" ht="15.75" hidden="false" customHeight="true" outlineLevel="0" collapsed="false">
      <c r="A893" s="18" t="s">
        <v>512</v>
      </c>
      <c r="B893" s="18" t="s">
        <v>512</v>
      </c>
      <c r="C893" s="18" t="s">
        <v>40</v>
      </c>
      <c r="E893" s="66" t="n">
        <v>4</v>
      </c>
      <c r="F893" s="21" t="str">
        <f aca="false">CONCATENATE(B893,"_",C893, TEXT(E893, "000"))</f>
        <v>WCFB_M. guttatus004</v>
      </c>
      <c r="G893" s="21" t="s">
        <v>541</v>
      </c>
      <c r="H893" s="18" t="n">
        <v>1</v>
      </c>
      <c r="I893" s="22" t="n">
        <v>44693</v>
      </c>
      <c r="J893" s="2" t="s">
        <v>981</v>
      </c>
      <c r="K893" s="61"/>
      <c r="L893" s="2" t="n">
        <v>1</v>
      </c>
      <c r="M893" s="2" t="n">
        <v>1</v>
      </c>
      <c r="N893" s="3" t="n">
        <v>44870</v>
      </c>
      <c r="O893" s="2" t="n">
        <v>4.87</v>
      </c>
      <c r="P893" s="2" t="n">
        <v>1</v>
      </c>
      <c r="Q893" s="62" t="str">
        <f aca="false">IF(ISBLANK(N893),"",IF(N893&lt;DATE(2023,5,1),"OLD","NEW"))</f>
        <v>OLD</v>
      </c>
      <c r="S893" s="33" t="n">
        <f aca="false">IF(COUNTIF('[1]Plate_1-2_LongFormat'!$A$2:$A$193,G893)&gt;0,1,0)</f>
        <v>1</v>
      </c>
      <c r="T893" s="33" t="n">
        <f aca="false">IF(COUNTIF([2]Attached_indexes!$C$2:$C$193,G893)&gt;0,1,0)</f>
        <v>1</v>
      </c>
      <c r="U893" s="59"/>
      <c r="V893" s="1" t="s">
        <v>982</v>
      </c>
    </row>
    <row r="894" customFormat="false" ht="15.75" hidden="false" customHeight="true" outlineLevel="0" collapsed="false">
      <c r="A894" s="18" t="s">
        <v>512</v>
      </c>
      <c r="B894" s="18" t="s">
        <v>512</v>
      </c>
      <c r="C894" s="18" t="s">
        <v>40</v>
      </c>
      <c r="E894" s="66" t="n">
        <v>4</v>
      </c>
      <c r="F894" s="21" t="str">
        <f aca="false">CONCATENATE(B894,"_",C894, TEXT(E894, "000"))</f>
        <v>WCFB_M. guttatus004</v>
      </c>
      <c r="G894" s="21" t="s">
        <v>541</v>
      </c>
      <c r="H894" s="18" t="n">
        <v>1</v>
      </c>
      <c r="I894" s="22" t="n">
        <v>44693</v>
      </c>
      <c r="J894" s="2" t="s">
        <v>981</v>
      </c>
      <c r="K894" s="61"/>
      <c r="L894" s="2" t="n">
        <v>1</v>
      </c>
      <c r="M894" s="2" t="n">
        <v>1</v>
      </c>
      <c r="N894" s="3" t="n">
        <v>44870</v>
      </c>
      <c r="O894" s="2" t="n">
        <v>4.87</v>
      </c>
      <c r="P894" s="2" t="n">
        <v>1</v>
      </c>
      <c r="Q894" s="62" t="str">
        <f aca="false">IF(ISBLANK(N894),"",IF(N894&lt;DATE(2023,5,1),"OLD","NEW"))</f>
        <v>OLD</v>
      </c>
      <c r="S894" s="33" t="n">
        <f aca="false">IF(COUNTIF('[1]Plate_1-2_LongFormat'!$A$2:$A$193,G894)&gt;0,1,0)</f>
        <v>1</v>
      </c>
      <c r="T894" s="33" t="n">
        <f aca="false">IF(COUNTIF([2]Attached_indexes!$C$2:$C$193,G894)&gt;0,1,0)</f>
        <v>1</v>
      </c>
      <c r="U894" s="59"/>
      <c r="V894" s="1" t="s">
        <v>982</v>
      </c>
    </row>
    <row r="895" customFormat="false" ht="15.75" hidden="false" customHeight="true" outlineLevel="0" collapsed="false">
      <c r="A895" s="18" t="s">
        <v>512</v>
      </c>
      <c r="B895" s="18" t="s">
        <v>512</v>
      </c>
      <c r="C895" s="18" t="s">
        <v>40</v>
      </c>
      <c r="E895" s="66" t="n">
        <v>4</v>
      </c>
      <c r="F895" s="21" t="str">
        <f aca="false">CONCATENATE(B895,"_",C895, TEXT(E895, "000"))</f>
        <v>WCFB_M. guttatus004</v>
      </c>
      <c r="G895" s="21" t="s">
        <v>541</v>
      </c>
      <c r="H895" s="18" t="n">
        <v>1</v>
      </c>
      <c r="I895" s="22" t="n">
        <v>44693</v>
      </c>
      <c r="J895" s="2" t="s">
        <v>981</v>
      </c>
      <c r="K895" s="61"/>
      <c r="L895" s="2" t="n">
        <v>1</v>
      </c>
      <c r="M895" s="2" t="n">
        <v>1</v>
      </c>
      <c r="N895" s="3" t="n">
        <v>44870</v>
      </c>
      <c r="O895" s="2" t="n">
        <v>4.87</v>
      </c>
      <c r="P895" s="2" t="n">
        <v>1</v>
      </c>
      <c r="Q895" s="62" t="str">
        <f aca="false">IF(ISBLANK(N895),"",IF(N895&lt;DATE(2023,5,1),"OLD","NEW"))</f>
        <v>OLD</v>
      </c>
      <c r="S895" s="33" t="n">
        <f aca="false">IF(COUNTIF('[1]Plate_1-2_LongFormat'!$A$2:$A$193,G895)&gt;0,1,0)</f>
        <v>1</v>
      </c>
      <c r="T895" s="33" t="n">
        <f aca="false">IF(COUNTIF([2]Attached_indexes!$C$2:$C$193,G895)&gt;0,1,0)</f>
        <v>1</v>
      </c>
      <c r="U895" s="59"/>
      <c r="V895" s="1" t="s">
        <v>982</v>
      </c>
    </row>
    <row r="896" customFormat="false" ht="15.75" hidden="false" customHeight="true" outlineLevel="0" collapsed="false">
      <c r="A896" s="18" t="s">
        <v>512</v>
      </c>
      <c r="B896" s="18" t="s">
        <v>512</v>
      </c>
      <c r="C896" s="18" t="s">
        <v>40</v>
      </c>
      <c r="E896" s="66" t="n">
        <v>5</v>
      </c>
      <c r="F896" s="21" t="str">
        <f aca="false">CONCATENATE(B896,"_",C896, TEXT(E896, "000"))</f>
        <v>WCFB_M. guttatus005</v>
      </c>
      <c r="G896" s="21" t="s">
        <v>543</v>
      </c>
      <c r="H896" s="18" t="n">
        <v>1</v>
      </c>
      <c r="I896" s="22" t="n">
        <v>44693</v>
      </c>
      <c r="J896" s="2" t="s">
        <v>981</v>
      </c>
      <c r="K896" s="61"/>
      <c r="L896" s="2" t="n">
        <v>1</v>
      </c>
      <c r="M896" s="2" t="n">
        <v>1</v>
      </c>
      <c r="N896" s="3" t="n">
        <v>44945</v>
      </c>
      <c r="O896" s="2" t="n">
        <v>14.5</v>
      </c>
      <c r="P896" s="2" t="n">
        <v>2</v>
      </c>
      <c r="Q896" s="62" t="str">
        <f aca="false">IF(ISBLANK(N896),"",IF(N896&lt;DATE(2023,5,1),"OLD","NEW"))</f>
        <v>OLD</v>
      </c>
      <c r="S896" s="33" t="n">
        <f aca="false">IF(COUNTIF('[1]Plate_1-2_LongFormat'!$A$2:$A$193,G896)&gt;0,1,0)</f>
        <v>1</v>
      </c>
      <c r="T896" s="33" t="n">
        <f aca="false">IF(COUNTIF([2]Attached_indexes!$C$2:$C$193,G896)&gt;0,1,0)</f>
        <v>1</v>
      </c>
      <c r="U896" s="59"/>
      <c r="V896" s="1" t="s">
        <v>982</v>
      </c>
    </row>
    <row r="897" customFormat="false" ht="15.75" hidden="false" customHeight="true" outlineLevel="0" collapsed="false">
      <c r="A897" s="18" t="s">
        <v>512</v>
      </c>
      <c r="B897" s="18" t="s">
        <v>512</v>
      </c>
      <c r="C897" s="18" t="s">
        <v>40</v>
      </c>
      <c r="E897" s="66" t="n">
        <v>5</v>
      </c>
      <c r="F897" s="21" t="str">
        <f aca="false">CONCATENATE(B897,"_",C897, TEXT(E897, "000"))</f>
        <v>WCFB_M. guttatus005</v>
      </c>
      <c r="G897" s="21" t="s">
        <v>543</v>
      </c>
      <c r="H897" s="18" t="n">
        <v>1</v>
      </c>
      <c r="I897" s="22" t="n">
        <v>44693</v>
      </c>
      <c r="J897" s="2" t="s">
        <v>981</v>
      </c>
      <c r="K897" s="61"/>
      <c r="L897" s="2" t="n">
        <v>1</v>
      </c>
      <c r="M897" s="2" t="n">
        <v>1</v>
      </c>
      <c r="N897" s="3" t="n">
        <v>44945</v>
      </c>
      <c r="O897" s="2" t="n">
        <v>14.5</v>
      </c>
      <c r="P897" s="2" t="n">
        <v>2</v>
      </c>
      <c r="Q897" s="62" t="str">
        <f aca="false">IF(ISBLANK(N897),"",IF(N897&lt;DATE(2023,5,1),"OLD","NEW"))</f>
        <v>OLD</v>
      </c>
      <c r="S897" s="33" t="n">
        <f aca="false">IF(COUNTIF('[1]Plate_1-2_LongFormat'!$A$2:$A$193,G897)&gt;0,1,0)</f>
        <v>1</v>
      </c>
      <c r="T897" s="33" t="n">
        <f aca="false">IF(COUNTIF([2]Attached_indexes!$C$2:$C$193,G897)&gt;0,1,0)</f>
        <v>1</v>
      </c>
      <c r="U897" s="59"/>
      <c r="V897" s="1" t="s">
        <v>982</v>
      </c>
    </row>
    <row r="898" customFormat="false" ht="15.75" hidden="false" customHeight="true" outlineLevel="0" collapsed="false">
      <c r="A898" s="18" t="s">
        <v>512</v>
      </c>
      <c r="B898" s="18" t="s">
        <v>512</v>
      </c>
      <c r="C898" s="18" t="s">
        <v>40</v>
      </c>
      <c r="E898" s="66" t="n">
        <v>5</v>
      </c>
      <c r="F898" s="21" t="str">
        <f aca="false">CONCATENATE(B898,"_",C898, TEXT(E898, "000"))</f>
        <v>WCFB_M. guttatus005</v>
      </c>
      <c r="G898" s="21" t="s">
        <v>543</v>
      </c>
      <c r="H898" s="18" t="n">
        <v>1</v>
      </c>
      <c r="I898" s="22" t="n">
        <v>44693</v>
      </c>
      <c r="J898" s="2" t="s">
        <v>981</v>
      </c>
      <c r="K898" s="61"/>
      <c r="L898" s="2" t="n">
        <v>1</v>
      </c>
      <c r="M898" s="2" t="n">
        <v>1</v>
      </c>
      <c r="N898" s="3" t="n">
        <v>44945</v>
      </c>
      <c r="O898" s="2" t="n">
        <v>14.5</v>
      </c>
      <c r="P898" s="2" t="n">
        <v>2</v>
      </c>
      <c r="Q898" s="62" t="str">
        <f aca="false">IF(ISBLANK(N898),"",IF(N898&lt;DATE(2023,5,1),"OLD","NEW"))</f>
        <v>OLD</v>
      </c>
      <c r="S898" s="33" t="n">
        <f aca="false">IF(COUNTIF('[1]Plate_1-2_LongFormat'!$A$2:$A$193,G898)&gt;0,1,0)</f>
        <v>1</v>
      </c>
      <c r="T898" s="33" t="n">
        <f aca="false">IF(COUNTIF([2]Attached_indexes!$C$2:$C$193,G898)&gt;0,1,0)</f>
        <v>1</v>
      </c>
      <c r="U898" s="59"/>
      <c r="V898" s="1" t="s">
        <v>982</v>
      </c>
    </row>
    <row r="899" customFormat="false" ht="15.75" hidden="false" customHeight="true" outlineLevel="0" collapsed="false">
      <c r="A899" s="18" t="s">
        <v>512</v>
      </c>
      <c r="B899" s="18" t="s">
        <v>512</v>
      </c>
      <c r="C899" s="18" t="s">
        <v>40</v>
      </c>
      <c r="E899" s="66" t="n">
        <v>6</v>
      </c>
      <c r="F899" s="21" t="str">
        <f aca="false">CONCATENATE(B899,"_",C899, TEXT(E899, "000"))</f>
        <v>WCFB_M. guttatus006</v>
      </c>
      <c r="G899" s="21" t="s">
        <v>546</v>
      </c>
      <c r="H899" s="18" t="n">
        <v>1</v>
      </c>
      <c r="I899" s="22" t="n">
        <v>44693</v>
      </c>
      <c r="J899" s="2" t="s">
        <v>981</v>
      </c>
      <c r="K899" s="61"/>
      <c r="L899" s="2" t="n">
        <v>1</v>
      </c>
      <c r="M899" s="2" t="n">
        <v>1</v>
      </c>
      <c r="N899" s="3" t="n">
        <v>44914</v>
      </c>
      <c r="O899" s="2" t="n">
        <v>10.5</v>
      </c>
      <c r="P899" s="2" t="n">
        <v>2</v>
      </c>
      <c r="Q899" s="62" t="str">
        <f aca="false">IF(ISBLANK(N899),"",IF(N899&lt;DATE(2023,5,1),"OLD","NEW"))</f>
        <v>OLD</v>
      </c>
      <c r="S899" s="33" t="n">
        <f aca="false">IF(COUNTIF('[1]Plate_1-2_LongFormat'!$A$2:$A$193,G899)&gt;0,1,0)</f>
        <v>1</v>
      </c>
      <c r="T899" s="33" t="n">
        <f aca="false">IF(COUNTIF([2]Attached_indexes!$C$2:$C$193,G899)&gt;0,1,0)</f>
        <v>1</v>
      </c>
      <c r="U899" s="59"/>
      <c r="V899" s="1" t="s">
        <v>982</v>
      </c>
    </row>
    <row r="900" customFormat="false" ht="15.75" hidden="false" customHeight="true" outlineLevel="0" collapsed="false">
      <c r="A900" s="18" t="s">
        <v>512</v>
      </c>
      <c r="B900" s="18" t="s">
        <v>512</v>
      </c>
      <c r="C900" s="18" t="s">
        <v>40</v>
      </c>
      <c r="E900" s="66" t="n">
        <v>6</v>
      </c>
      <c r="F900" s="21" t="str">
        <f aca="false">CONCATENATE(B900,"_",C900, TEXT(E900, "000"))</f>
        <v>WCFB_M. guttatus006</v>
      </c>
      <c r="G900" s="21" t="s">
        <v>546</v>
      </c>
      <c r="H900" s="18" t="n">
        <v>1</v>
      </c>
      <c r="I900" s="22" t="n">
        <v>44693</v>
      </c>
      <c r="J900" s="2" t="s">
        <v>981</v>
      </c>
      <c r="K900" s="61"/>
      <c r="L900" s="2" t="n">
        <v>1</v>
      </c>
      <c r="M900" s="2" t="n">
        <v>1</v>
      </c>
      <c r="N900" s="3" t="n">
        <v>44914</v>
      </c>
      <c r="O900" s="2" t="n">
        <v>10.5</v>
      </c>
      <c r="P900" s="2" t="n">
        <v>2</v>
      </c>
      <c r="Q900" s="62" t="str">
        <f aca="false">IF(ISBLANK(N900),"",IF(N900&lt;DATE(2023,5,1),"OLD","NEW"))</f>
        <v>OLD</v>
      </c>
      <c r="S900" s="33" t="n">
        <f aca="false">IF(COUNTIF('[1]Plate_1-2_LongFormat'!$A$2:$A$193,G900)&gt;0,1,0)</f>
        <v>1</v>
      </c>
      <c r="T900" s="33" t="n">
        <f aca="false">IF(COUNTIF([2]Attached_indexes!$C$2:$C$193,G900)&gt;0,1,0)</f>
        <v>1</v>
      </c>
      <c r="U900" s="59"/>
      <c r="V900" s="1" t="s">
        <v>982</v>
      </c>
    </row>
    <row r="901" customFormat="false" ht="15.75" hidden="false" customHeight="true" outlineLevel="0" collapsed="false">
      <c r="A901" s="18" t="s">
        <v>512</v>
      </c>
      <c r="B901" s="18" t="s">
        <v>512</v>
      </c>
      <c r="C901" s="18" t="s">
        <v>40</v>
      </c>
      <c r="E901" s="66" t="n">
        <v>6</v>
      </c>
      <c r="F901" s="21" t="str">
        <f aca="false">CONCATENATE(B901,"_",C901, TEXT(E901, "000"))</f>
        <v>WCFB_M. guttatus006</v>
      </c>
      <c r="G901" s="21" t="s">
        <v>546</v>
      </c>
      <c r="H901" s="18" t="n">
        <v>1</v>
      </c>
      <c r="I901" s="22" t="n">
        <v>44693</v>
      </c>
      <c r="J901" s="2" t="s">
        <v>981</v>
      </c>
      <c r="K901" s="61"/>
      <c r="L901" s="2" t="n">
        <v>1</v>
      </c>
      <c r="M901" s="2" t="n">
        <v>1</v>
      </c>
      <c r="N901" s="3" t="n">
        <v>44914</v>
      </c>
      <c r="O901" s="2" t="n">
        <v>10.5</v>
      </c>
      <c r="P901" s="2" t="n">
        <v>2</v>
      </c>
      <c r="Q901" s="62" t="str">
        <f aca="false">IF(ISBLANK(N901),"",IF(N901&lt;DATE(2023,5,1),"OLD","NEW"))</f>
        <v>OLD</v>
      </c>
      <c r="S901" s="33" t="n">
        <f aca="false">IF(COUNTIF('[1]Plate_1-2_LongFormat'!$A$2:$A$193,G901)&gt;0,1,0)</f>
        <v>1</v>
      </c>
      <c r="T901" s="33" t="n">
        <f aca="false">IF(COUNTIF([2]Attached_indexes!$C$2:$C$193,G901)&gt;0,1,0)</f>
        <v>1</v>
      </c>
      <c r="U901" s="59"/>
      <c r="V901" s="1" t="s">
        <v>982</v>
      </c>
    </row>
    <row r="902" customFormat="false" ht="15.75" hidden="false" customHeight="true" outlineLevel="0" collapsed="false">
      <c r="A902" s="18" t="s">
        <v>512</v>
      </c>
      <c r="B902" s="18" t="s">
        <v>512</v>
      </c>
      <c r="C902" s="18" t="s">
        <v>40</v>
      </c>
      <c r="E902" s="66" t="n">
        <v>7</v>
      </c>
      <c r="F902" s="21" t="str">
        <f aca="false">CONCATENATE(B902,"_",C902, TEXT(E902, "000"))</f>
        <v>WCFB_M. guttatus007</v>
      </c>
      <c r="G902" s="21" t="s">
        <v>548</v>
      </c>
      <c r="H902" s="18" t="n">
        <v>1</v>
      </c>
      <c r="I902" s="22" t="n">
        <v>44693</v>
      </c>
      <c r="J902" s="2" t="s">
        <v>981</v>
      </c>
      <c r="L902" s="2" t="n">
        <v>1</v>
      </c>
      <c r="M902" s="2" t="n">
        <v>1</v>
      </c>
      <c r="N902" s="3" t="n">
        <v>44938</v>
      </c>
      <c r="O902" s="2" t="s">
        <v>952</v>
      </c>
      <c r="P902" s="2" t="n">
        <v>2</v>
      </c>
      <c r="Q902" s="62" t="str">
        <f aca="false">IF(ISBLANK(N902),"",IF(N902&lt;DATE(2023,5,1),"OLD","NEW"))</f>
        <v>OLD</v>
      </c>
      <c r="S902" s="33" t="n">
        <f aca="false">IF(COUNTIF('[1]Plate_1-2_LongFormat'!$A$2:$A$193,G902)&gt;0,1,0)</f>
        <v>1</v>
      </c>
      <c r="T902" s="33" t="n">
        <f aca="false">IF(COUNTIF([2]Attached_indexes!$C$2:$C$193,G902)&gt;0,1,0)</f>
        <v>1</v>
      </c>
      <c r="U902" s="59"/>
      <c r="V902" s="1" t="s">
        <v>982</v>
      </c>
    </row>
    <row r="903" customFormat="false" ht="15.75" hidden="false" customHeight="true" outlineLevel="0" collapsed="false">
      <c r="A903" s="18" t="s">
        <v>512</v>
      </c>
      <c r="B903" s="18" t="s">
        <v>512</v>
      </c>
      <c r="C903" s="18" t="s">
        <v>40</v>
      </c>
      <c r="E903" s="66" t="n">
        <v>7</v>
      </c>
      <c r="F903" s="21" t="str">
        <f aca="false">CONCATENATE(B903,"_",C903, TEXT(E903, "000"))</f>
        <v>WCFB_M. guttatus007</v>
      </c>
      <c r="G903" s="21" t="s">
        <v>548</v>
      </c>
      <c r="H903" s="18" t="n">
        <v>1</v>
      </c>
      <c r="I903" s="22" t="n">
        <v>44693</v>
      </c>
      <c r="J903" s="2" t="s">
        <v>981</v>
      </c>
      <c r="L903" s="2" t="n">
        <v>1</v>
      </c>
      <c r="M903" s="2" t="n">
        <v>1</v>
      </c>
      <c r="N903" s="3" t="n">
        <v>44938</v>
      </c>
      <c r="O903" s="2" t="s">
        <v>952</v>
      </c>
      <c r="P903" s="2" t="n">
        <v>2</v>
      </c>
      <c r="Q903" s="62" t="str">
        <f aca="false">IF(ISBLANK(N903),"",IF(N903&lt;DATE(2023,5,1),"OLD","NEW"))</f>
        <v>OLD</v>
      </c>
      <c r="S903" s="33" t="n">
        <f aca="false">IF(COUNTIF('[1]Plate_1-2_LongFormat'!$A$2:$A$193,G903)&gt;0,1,0)</f>
        <v>1</v>
      </c>
      <c r="T903" s="33" t="n">
        <f aca="false">IF(COUNTIF([2]Attached_indexes!$C$2:$C$193,G903)&gt;0,1,0)</f>
        <v>1</v>
      </c>
      <c r="U903" s="59"/>
      <c r="V903" s="1" t="s">
        <v>982</v>
      </c>
    </row>
    <row r="904" customFormat="false" ht="15.75" hidden="false" customHeight="true" outlineLevel="0" collapsed="false">
      <c r="A904" s="18" t="s">
        <v>512</v>
      </c>
      <c r="B904" s="18" t="s">
        <v>512</v>
      </c>
      <c r="C904" s="18" t="s">
        <v>40</v>
      </c>
      <c r="E904" s="66" t="n">
        <v>7</v>
      </c>
      <c r="F904" s="21" t="str">
        <f aca="false">CONCATENATE(B904,"_",C904, TEXT(E904, "000"))</f>
        <v>WCFB_M. guttatus007</v>
      </c>
      <c r="G904" s="21" t="s">
        <v>548</v>
      </c>
      <c r="H904" s="18" t="n">
        <v>1</v>
      </c>
      <c r="I904" s="22" t="n">
        <v>44693</v>
      </c>
      <c r="J904" s="2" t="s">
        <v>981</v>
      </c>
      <c r="L904" s="2" t="n">
        <v>1</v>
      </c>
      <c r="M904" s="2" t="n">
        <v>1</v>
      </c>
      <c r="N904" s="3" t="n">
        <v>44938</v>
      </c>
      <c r="O904" s="2" t="s">
        <v>952</v>
      </c>
      <c r="P904" s="2" t="n">
        <v>2</v>
      </c>
      <c r="Q904" s="62" t="str">
        <f aca="false">IF(ISBLANK(N904),"",IF(N904&lt;DATE(2023,5,1),"OLD","NEW"))</f>
        <v>OLD</v>
      </c>
      <c r="S904" s="33" t="n">
        <f aca="false">IF(COUNTIF('[1]Plate_1-2_LongFormat'!$A$2:$A$193,G904)&gt;0,1,0)</f>
        <v>1</v>
      </c>
      <c r="T904" s="33" t="n">
        <f aca="false">IF(COUNTIF([2]Attached_indexes!$C$2:$C$193,G904)&gt;0,1,0)</f>
        <v>1</v>
      </c>
      <c r="U904" s="59"/>
      <c r="V904" s="1" t="s">
        <v>982</v>
      </c>
    </row>
    <row r="905" customFormat="false" ht="15.75" hidden="false" customHeight="true" outlineLevel="0" collapsed="false">
      <c r="A905" s="18" t="s">
        <v>512</v>
      </c>
      <c r="B905" s="18" t="s">
        <v>512</v>
      </c>
      <c r="C905" s="18" t="s">
        <v>40</v>
      </c>
      <c r="E905" s="66" t="n">
        <v>8</v>
      </c>
      <c r="F905" s="21" t="str">
        <f aca="false">CONCATENATE(B905,"_",C905, TEXT(E905, "000"))</f>
        <v>WCFB_M. guttatus008</v>
      </c>
      <c r="G905" s="21" t="s">
        <v>550</v>
      </c>
      <c r="H905" s="18" t="n">
        <v>1</v>
      </c>
      <c r="I905" s="22" t="n">
        <v>44693</v>
      </c>
      <c r="J905" s="2" t="s">
        <v>981</v>
      </c>
      <c r="L905" s="2" t="n">
        <v>1</v>
      </c>
      <c r="M905" s="2" t="n">
        <v>1</v>
      </c>
      <c r="N905" s="3" t="n">
        <v>44834</v>
      </c>
      <c r="O905" s="2" t="n">
        <v>7.93</v>
      </c>
      <c r="P905" s="2" t="n">
        <v>1</v>
      </c>
      <c r="Q905" s="62" t="str">
        <f aca="false">IF(ISBLANK(N905),"",IF(N905&lt;DATE(2023,5,1),"OLD","NEW"))</f>
        <v>OLD</v>
      </c>
      <c r="S905" s="33" t="n">
        <f aca="false">IF(COUNTIF('[1]Plate_1-2_LongFormat'!$A$2:$A$193,G905)&gt;0,1,0)</f>
        <v>1</v>
      </c>
      <c r="T905" s="33" t="n">
        <f aca="false">IF(COUNTIF([2]Attached_indexes!$C$2:$C$193,G905)&gt;0,1,0)</f>
        <v>1</v>
      </c>
      <c r="U905" s="59"/>
      <c r="V905" s="1" t="s">
        <v>982</v>
      </c>
    </row>
    <row r="906" customFormat="false" ht="15.75" hidden="false" customHeight="true" outlineLevel="0" collapsed="false">
      <c r="A906" s="18" t="s">
        <v>512</v>
      </c>
      <c r="B906" s="18" t="s">
        <v>512</v>
      </c>
      <c r="C906" s="18" t="s">
        <v>40</v>
      </c>
      <c r="E906" s="66" t="n">
        <v>8</v>
      </c>
      <c r="F906" s="21" t="str">
        <f aca="false">CONCATENATE(B906,"_",C906, TEXT(E906, "000"))</f>
        <v>WCFB_M. guttatus008</v>
      </c>
      <c r="G906" s="21" t="s">
        <v>550</v>
      </c>
      <c r="H906" s="18" t="n">
        <v>1</v>
      </c>
      <c r="I906" s="22" t="n">
        <v>44693</v>
      </c>
      <c r="J906" s="2" t="s">
        <v>981</v>
      </c>
      <c r="L906" s="2" t="n">
        <v>1</v>
      </c>
      <c r="M906" s="2" t="n">
        <v>1</v>
      </c>
      <c r="N906" s="3" t="n">
        <v>44834</v>
      </c>
      <c r="O906" s="2" t="n">
        <v>7.93</v>
      </c>
      <c r="P906" s="2" t="n">
        <v>1</v>
      </c>
      <c r="Q906" s="62" t="str">
        <f aca="false">IF(ISBLANK(N906),"",IF(N906&lt;DATE(2023,5,1),"OLD","NEW"))</f>
        <v>OLD</v>
      </c>
      <c r="S906" s="33" t="n">
        <f aca="false">IF(COUNTIF('[1]Plate_1-2_LongFormat'!$A$2:$A$193,G906)&gt;0,1,0)</f>
        <v>1</v>
      </c>
      <c r="T906" s="33" t="n">
        <f aca="false">IF(COUNTIF([2]Attached_indexes!$C$2:$C$193,G906)&gt;0,1,0)</f>
        <v>1</v>
      </c>
      <c r="U906" s="59"/>
      <c r="V906" s="1" t="s">
        <v>982</v>
      </c>
    </row>
    <row r="907" customFormat="false" ht="15.75" hidden="false" customHeight="true" outlineLevel="0" collapsed="false">
      <c r="A907" s="18" t="s">
        <v>512</v>
      </c>
      <c r="B907" s="18" t="s">
        <v>512</v>
      </c>
      <c r="C907" s="18" t="s">
        <v>40</v>
      </c>
      <c r="E907" s="66" t="n">
        <v>8</v>
      </c>
      <c r="F907" s="21" t="str">
        <f aca="false">CONCATENATE(B907,"_",C907, TEXT(E907, "000"))</f>
        <v>WCFB_M. guttatus008</v>
      </c>
      <c r="G907" s="21" t="s">
        <v>550</v>
      </c>
      <c r="H907" s="18" t="n">
        <v>1</v>
      </c>
      <c r="I907" s="22" t="n">
        <v>44693</v>
      </c>
      <c r="J907" s="2" t="s">
        <v>981</v>
      </c>
      <c r="L907" s="2" t="n">
        <v>1</v>
      </c>
      <c r="M907" s="2" t="n">
        <v>1</v>
      </c>
      <c r="N907" s="3" t="n">
        <v>44834</v>
      </c>
      <c r="O907" s="2" t="n">
        <v>7.93</v>
      </c>
      <c r="P907" s="2" t="n">
        <v>1</v>
      </c>
      <c r="Q907" s="62" t="str">
        <f aca="false">IF(ISBLANK(N907),"",IF(N907&lt;DATE(2023,5,1),"OLD","NEW"))</f>
        <v>OLD</v>
      </c>
      <c r="S907" s="33" t="n">
        <f aca="false">IF(COUNTIF('[1]Plate_1-2_LongFormat'!$A$2:$A$193,G907)&gt;0,1,0)</f>
        <v>1</v>
      </c>
      <c r="T907" s="33" t="n">
        <f aca="false">IF(COUNTIF([2]Attached_indexes!$C$2:$C$193,G907)&gt;0,1,0)</f>
        <v>1</v>
      </c>
      <c r="U907" s="59"/>
      <c r="V907" s="1" t="s">
        <v>982</v>
      </c>
    </row>
    <row r="908" customFormat="false" ht="15.75" hidden="false" customHeight="true" outlineLevel="0" collapsed="false">
      <c r="A908" s="18" t="s">
        <v>512</v>
      </c>
      <c r="B908" s="18" t="s">
        <v>512</v>
      </c>
      <c r="C908" s="18" t="s">
        <v>40</v>
      </c>
      <c r="E908" s="66" t="n">
        <v>9</v>
      </c>
      <c r="F908" s="21" t="str">
        <f aca="false">CONCATENATE(B908,"_",C908, TEXT(E908, "000"))</f>
        <v>WCFB_M. guttatus009</v>
      </c>
      <c r="G908" s="21" t="s">
        <v>552</v>
      </c>
      <c r="H908" s="18" t="n">
        <v>1</v>
      </c>
      <c r="I908" s="22" t="n">
        <v>44693</v>
      </c>
      <c r="J908" s="2" t="s">
        <v>981</v>
      </c>
      <c r="L908" s="2" t="n">
        <v>1</v>
      </c>
      <c r="M908" s="2" t="n">
        <v>1</v>
      </c>
      <c r="N908" s="3" t="n">
        <v>44834</v>
      </c>
      <c r="O908" s="2" t="n">
        <v>10.5</v>
      </c>
      <c r="P908" s="2" t="n">
        <v>1</v>
      </c>
      <c r="Q908" s="62" t="str">
        <f aca="false">IF(ISBLANK(N908),"",IF(N908&lt;DATE(2023,5,1),"OLD","NEW"))</f>
        <v>OLD</v>
      </c>
      <c r="S908" s="33" t="n">
        <f aca="false">IF(COUNTIF('[1]Plate_1-2_LongFormat'!$A$2:$A$193,G908)&gt;0,1,0)</f>
        <v>1</v>
      </c>
      <c r="T908" s="33" t="n">
        <f aca="false">IF(COUNTIF([2]Attached_indexes!$C$2:$C$193,G908)&gt;0,1,0)</f>
        <v>1</v>
      </c>
      <c r="U908" s="59"/>
      <c r="V908" s="1" t="s">
        <v>982</v>
      </c>
    </row>
    <row r="909" customFormat="false" ht="15.75" hidden="false" customHeight="true" outlineLevel="0" collapsed="false">
      <c r="A909" s="18" t="s">
        <v>512</v>
      </c>
      <c r="B909" s="18" t="s">
        <v>512</v>
      </c>
      <c r="C909" s="18" t="s">
        <v>40</v>
      </c>
      <c r="E909" s="66" t="n">
        <v>9</v>
      </c>
      <c r="F909" s="21" t="str">
        <f aca="false">CONCATENATE(B909,"_",C909, TEXT(E909, "000"))</f>
        <v>WCFB_M. guttatus009</v>
      </c>
      <c r="G909" s="21" t="s">
        <v>552</v>
      </c>
      <c r="H909" s="18" t="n">
        <v>1</v>
      </c>
      <c r="I909" s="22" t="n">
        <v>44693</v>
      </c>
      <c r="J909" s="2" t="s">
        <v>981</v>
      </c>
      <c r="L909" s="2" t="n">
        <v>1</v>
      </c>
      <c r="M909" s="2" t="n">
        <v>1</v>
      </c>
      <c r="N909" s="3" t="n">
        <v>44834</v>
      </c>
      <c r="O909" s="2" t="n">
        <v>10.5</v>
      </c>
      <c r="P909" s="2" t="n">
        <v>1</v>
      </c>
      <c r="Q909" s="62" t="str">
        <f aca="false">IF(ISBLANK(N909),"",IF(N909&lt;DATE(2023,5,1),"OLD","NEW"))</f>
        <v>OLD</v>
      </c>
      <c r="S909" s="33" t="n">
        <f aca="false">IF(COUNTIF('[1]Plate_1-2_LongFormat'!$A$2:$A$193,G909)&gt;0,1,0)</f>
        <v>1</v>
      </c>
      <c r="T909" s="33" t="n">
        <f aca="false">IF(COUNTIF([2]Attached_indexes!$C$2:$C$193,G909)&gt;0,1,0)</f>
        <v>1</v>
      </c>
      <c r="U909" s="59"/>
      <c r="V909" s="1" t="s">
        <v>982</v>
      </c>
    </row>
    <row r="910" customFormat="false" ht="15.75" hidden="false" customHeight="true" outlineLevel="0" collapsed="false">
      <c r="A910" s="18" t="s">
        <v>512</v>
      </c>
      <c r="B910" s="18" t="s">
        <v>512</v>
      </c>
      <c r="C910" s="18" t="s">
        <v>40</v>
      </c>
      <c r="E910" s="66" t="n">
        <v>9</v>
      </c>
      <c r="F910" s="21" t="str">
        <f aca="false">CONCATENATE(B910,"_",C910, TEXT(E910, "000"))</f>
        <v>WCFB_M. guttatus009</v>
      </c>
      <c r="G910" s="21" t="s">
        <v>552</v>
      </c>
      <c r="H910" s="18" t="n">
        <v>1</v>
      </c>
      <c r="I910" s="22" t="n">
        <v>44693</v>
      </c>
      <c r="J910" s="2" t="s">
        <v>981</v>
      </c>
      <c r="L910" s="2" t="n">
        <v>1</v>
      </c>
      <c r="M910" s="2" t="n">
        <v>1</v>
      </c>
      <c r="N910" s="3" t="n">
        <v>44834</v>
      </c>
      <c r="O910" s="2" t="n">
        <v>10.5</v>
      </c>
      <c r="P910" s="2" t="n">
        <v>1</v>
      </c>
      <c r="Q910" s="62" t="str">
        <f aca="false">IF(ISBLANK(N910),"",IF(N910&lt;DATE(2023,5,1),"OLD","NEW"))</f>
        <v>OLD</v>
      </c>
      <c r="S910" s="33" t="n">
        <f aca="false">IF(COUNTIF('[1]Plate_1-2_LongFormat'!$A$2:$A$193,G910)&gt;0,1,0)</f>
        <v>1</v>
      </c>
      <c r="T910" s="33" t="n">
        <f aca="false">IF(COUNTIF([2]Attached_indexes!$C$2:$C$193,G910)&gt;0,1,0)</f>
        <v>1</v>
      </c>
      <c r="U910" s="59"/>
      <c r="V910" s="1" t="s">
        <v>982</v>
      </c>
    </row>
    <row r="911" customFormat="false" ht="15.75" hidden="false" customHeight="true" outlineLevel="0" collapsed="false">
      <c r="A911" s="18" t="s">
        <v>512</v>
      </c>
      <c r="B911" s="18" t="s">
        <v>512</v>
      </c>
      <c r="C911" s="18" t="s">
        <v>31</v>
      </c>
      <c r="E911" s="66" t="n">
        <v>1</v>
      </c>
      <c r="F911" s="21" t="str">
        <f aca="false">CONCATENATE(B911,"_",C911, TEXT(E911, "000"))</f>
        <v>WCFB_M. laciniatus001</v>
      </c>
      <c r="G911" s="21" t="s">
        <v>513</v>
      </c>
      <c r="H911" s="18" t="n">
        <v>1</v>
      </c>
      <c r="I911" s="22" t="n">
        <v>44693</v>
      </c>
      <c r="J911" s="2" t="s">
        <v>981</v>
      </c>
      <c r="L911" s="2" t="n">
        <v>1</v>
      </c>
      <c r="M911" s="2" t="n">
        <v>1</v>
      </c>
      <c r="N911" s="3" t="n">
        <v>44914</v>
      </c>
      <c r="O911" s="2" t="n">
        <v>11.7</v>
      </c>
      <c r="P911" s="2" t="n">
        <v>2</v>
      </c>
      <c r="Q911" s="62" t="str">
        <f aca="false">IF(ISBLANK(N911),"",IF(N911&lt;DATE(2023,5,1),"OLD","NEW"))</f>
        <v>OLD</v>
      </c>
      <c r="S911" s="33" t="n">
        <f aca="false">IF(COUNTIF('[1]Plate_1-2_LongFormat'!$A$2:$A$193,G911)&gt;0,1,0)</f>
        <v>1</v>
      </c>
      <c r="T911" s="33" t="n">
        <f aca="false">IF(COUNTIF([2]Attached_indexes!$C$2:$C$193,G911)&gt;0,1,0)</f>
        <v>1</v>
      </c>
      <c r="U911" s="59"/>
      <c r="V911" s="1" t="s">
        <v>982</v>
      </c>
    </row>
    <row r="912" customFormat="false" ht="15.75" hidden="false" customHeight="true" outlineLevel="0" collapsed="false">
      <c r="A912" s="18" t="s">
        <v>512</v>
      </c>
      <c r="B912" s="18" t="s">
        <v>512</v>
      </c>
      <c r="C912" s="18" t="s">
        <v>31</v>
      </c>
      <c r="E912" s="66" t="n">
        <v>1</v>
      </c>
      <c r="F912" s="21" t="str">
        <f aca="false">CONCATENATE(B912,"_",C912, TEXT(E912, "000"))</f>
        <v>WCFB_M. laciniatus001</v>
      </c>
      <c r="G912" s="21" t="s">
        <v>513</v>
      </c>
      <c r="H912" s="18" t="n">
        <v>1</v>
      </c>
      <c r="I912" s="22" t="n">
        <v>44693</v>
      </c>
      <c r="J912" s="2" t="s">
        <v>981</v>
      </c>
      <c r="L912" s="2" t="n">
        <v>1</v>
      </c>
      <c r="M912" s="2" t="n">
        <v>1</v>
      </c>
      <c r="N912" s="3" t="n">
        <v>44915</v>
      </c>
      <c r="O912" s="2" t="n">
        <v>11.7</v>
      </c>
      <c r="P912" s="2" t="n">
        <v>2</v>
      </c>
      <c r="Q912" s="62" t="str">
        <f aca="false">IF(ISBLANK(N912),"",IF(N912&lt;DATE(2023,5,1),"OLD","NEW"))</f>
        <v>OLD</v>
      </c>
      <c r="S912" s="33" t="n">
        <f aca="false">IF(COUNTIF('[1]Plate_1-2_LongFormat'!$A$2:$A$193,G912)&gt;0,1,0)</f>
        <v>1</v>
      </c>
      <c r="T912" s="33" t="n">
        <f aca="false">IF(COUNTIF([2]Attached_indexes!$C$2:$C$193,G912)&gt;0,1,0)</f>
        <v>1</v>
      </c>
      <c r="U912" s="59"/>
      <c r="V912" s="1" t="s">
        <v>982</v>
      </c>
    </row>
    <row r="913" customFormat="false" ht="15.75" hidden="false" customHeight="true" outlineLevel="0" collapsed="false">
      <c r="A913" s="18" t="s">
        <v>512</v>
      </c>
      <c r="B913" s="18" t="s">
        <v>512</v>
      </c>
      <c r="C913" s="18" t="s">
        <v>31</v>
      </c>
      <c r="E913" s="66" t="n">
        <v>1</v>
      </c>
      <c r="F913" s="21" t="str">
        <f aca="false">CONCATENATE(B913,"_",C913, TEXT(E913, "000"))</f>
        <v>WCFB_M. laciniatus001</v>
      </c>
      <c r="G913" s="21" t="s">
        <v>513</v>
      </c>
      <c r="H913" s="18" t="n">
        <v>1</v>
      </c>
      <c r="I913" s="22" t="n">
        <v>44693</v>
      </c>
      <c r="J913" s="2" t="s">
        <v>981</v>
      </c>
      <c r="L913" s="2" t="n">
        <v>1</v>
      </c>
      <c r="M913" s="2" t="n">
        <v>1</v>
      </c>
      <c r="N913" s="3" t="n">
        <v>44916</v>
      </c>
      <c r="O913" s="2" t="n">
        <v>11.7</v>
      </c>
      <c r="P913" s="2" t="n">
        <v>2</v>
      </c>
      <c r="Q913" s="62" t="str">
        <f aca="false">IF(ISBLANK(N913),"",IF(N913&lt;DATE(2023,5,1),"OLD","NEW"))</f>
        <v>OLD</v>
      </c>
      <c r="S913" s="33" t="n">
        <f aca="false">IF(COUNTIF('[1]Plate_1-2_LongFormat'!$A$2:$A$193,G913)&gt;0,1,0)</f>
        <v>1</v>
      </c>
      <c r="T913" s="33" t="n">
        <f aca="false">IF(COUNTIF([2]Attached_indexes!$C$2:$C$193,G913)&gt;0,1,0)</f>
        <v>1</v>
      </c>
      <c r="U913" s="59"/>
      <c r="V913" s="1" t="s">
        <v>982</v>
      </c>
    </row>
    <row r="914" customFormat="false" ht="15.75" hidden="false" customHeight="true" outlineLevel="0" collapsed="false">
      <c r="A914" s="18" t="s">
        <v>512</v>
      </c>
      <c r="B914" s="18" t="s">
        <v>512</v>
      </c>
      <c r="C914" s="18" t="s">
        <v>31</v>
      </c>
      <c r="E914" s="66" t="n">
        <v>10</v>
      </c>
      <c r="F914" s="21" t="str">
        <f aca="false">CONCATENATE(B914,"_",C914, TEXT(E914, "000"))</f>
        <v>WCFB_M. laciniatus010</v>
      </c>
      <c r="G914" s="21" t="s">
        <v>531</v>
      </c>
      <c r="H914" s="18" t="n">
        <v>1</v>
      </c>
      <c r="I914" s="22" t="n">
        <v>44693</v>
      </c>
      <c r="J914" s="2" t="s">
        <v>981</v>
      </c>
      <c r="L914" s="2" t="n">
        <v>1</v>
      </c>
      <c r="M914" s="2" t="n">
        <v>1</v>
      </c>
      <c r="N914" s="3" t="n">
        <v>44938</v>
      </c>
      <c r="O914" s="2" t="n">
        <v>3.05</v>
      </c>
      <c r="P914" s="2" t="n">
        <v>2</v>
      </c>
      <c r="Q914" s="62" t="str">
        <f aca="false">IF(ISBLANK(N914),"",IF(N914&lt;DATE(2023,5,1),"OLD","NEW"))</f>
        <v>OLD</v>
      </c>
      <c r="S914" s="33" t="n">
        <f aca="false">IF(COUNTIF('[1]Plate_1-2_LongFormat'!$A$2:$A$193,G914)&gt;0,1,0)</f>
        <v>1</v>
      </c>
      <c r="T914" s="33" t="n">
        <f aca="false">IF(COUNTIF([2]Attached_indexes!$C$2:$C$193,G914)&gt;0,1,0)</f>
        <v>1</v>
      </c>
      <c r="U914" s="59"/>
      <c r="V914" s="1" t="s">
        <v>982</v>
      </c>
    </row>
    <row r="915" customFormat="false" ht="15.75" hidden="false" customHeight="true" outlineLevel="0" collapsed="false">
      <c r="A915" s="18" t="s">
        <v>512</v>
      </c>
      <c r="B915" s="18" t="s">
        <v>512</v>
      </c>
      <c r="C915" s="18" t="s">
        <v>31</v>
      </c>
      <c r="E915" s="66" t="n">
        <v>10</v>
      </c>
      <c r="F915" s="21" t="str">
        <f aca="false">CONCATENATE(B915,"_",C915, TEXT(E915, "000"))</f>
        <v>WCFB_M. laciniatus010</v>
      </c>
      <c r="G915" s="21" t="s">
        <v>531</v>
      </c>
      <c r="H915" s="18" t="n">
        <v>1</v>
      </c>
      <c r="I915" s="22" t="n">
        <v>44693</v>
      </c>
      <c r="J915" s="2" t="s">
        <v>981</v>
      </c>
      <c r="L915" s="2" t="n">
        <v>1</v>
      </c>
      <c r="M915" s="2" t="n">
        <v>1</v>
      </c>
      <c r="N915" s="3" t="n">
        <v>44938</v>
      </c>
      <c r="O915" s="2" t="n">
        <v>3.05</v>
      </c>
      <c r="P915" s="2" t="n">
        <v>2</v>
      </c>
      <c r="Q915" s="62" t="str">
        <f aca="false">IF(ISBLANK(N915),"",IF(N915&lt;DATE(2023,5,1),"OLD","NEW"))</f>
        <v>OLD</v>
      </c>
      <c r="S915" s="33" t="n">
        <f aca="false">IF(COUNTIF('[1]Plate_1-2_LongFormat'!$A$2:$A$193,G915)&gt;0,1,0)</f>
        <v>1</v>
      </c>
      <c r="T915" s="33" t="n">
        <f aca="false">IF(COUNTIF([2]Attached_indexes!$C$2:$C$193,G915)&gt;0,1,0)</f>
        <v>1</v>
      </c>
      <c r="U915" s="59"/>
      <c r="V915" s="1" t="s">
        <v>982</v>
      </c>
    </row>
    <row r="916" customFormat="false" ht="15.75" hidden="false" customHeight="true" outlineLevel="0" collapsed="false">
      <c r="A916" s="18" t="s">
        <v>512</v>
      </c>
      <c r="B916" s="18" t="s">
        <v>512</v>
      </c>
      <c r="C916" s="18" t="s">
        <v>31</v>
      </c>
      <c r="E916" s="66" t="n">
        <v>10</v>
      </c>
      <c r="F916" s="21" t="str">
        <f aca="false">CONCATENATE(B916,"_",C916, TEXT(E916, "000"))</f>
        <v>WCFB_M. laciniatus010</v>
      </c>
      <c r="G916" s="21" t="s">
        <v>531</v>
      </c>
      <c r="H916" s="18" t="n">
        <v>1</v>
      </c>
      <c r="I916" s="22" t="n">
        <v>44693</v>
      </c>
      <c r="J916" s="2" t="s">
        <v>981</v>
      </c>
      <c r="L916" s="2" t="n">
        <v>1</v>
      </c>
      <c r="M916" s="2" t="n">
        <v>1</v>
      </c>
      <c r="N916" s="3" t="n">
        <v>44938</v>
      </c>
      <c r="O916" s="2" t="n">
        <v>3.05</v>
      </c>
      <c r="P916" s="2" t="n">
        <v>2</v>
      </c>
      <c r="Q916" s="62" t="str">
        <f aca="false">IF(ISBLANK(N916),"",IF(N916&lt;DATE(2023,5,1),"OLD","NEW"))</f>
        <v>OLD</v>
      </c>
      <c r="S916" s="33" t="n">
        <f aca="false">IF(COUNTIF('[1]Plate_1-2_LongFormat'!$A$2:$A$193,G916)&gt;0,1,0)</f>
        <v>1</v>
      </c>
      <c r="T916" s="33" t="n">
        <f aca="false">IF(COUNTIF([2]Attached_indexes!$C$2:$C$193,G916)&gt;0,1,0)</f>
        <v>1</v>
      </c>
      <c r="U916" s="59"/>
      <c r="V916" s="1" t="s">
        <v>982</v>
      </c>
    </row>
    <row r="917" customFormat="false" ht="15.75" hidden="false" customHeight="true" outlineLevel="0" collapsed="false">
      <c r="A917" s="18" t="s">
        <v>512</v>
      </c>
      <c r="B917" s="18" t="s">
        <v>512</v>
      </c>
      <c r="C917" s="18" t="s">
        <v>31</v>
      </c>
      <c r="E917" s="66" t="n">
        <v>11</v>
      </c>
      <c r="F917" s="21" t="str">
        <f aca="false">CONCATENATE(B917,"_",C917, TEXT(E917, "000"))</f>
        <v>WCFB_M. laciniatus011</v>
      </c>
      <c r="G917" s="21" t="s">
        <v>533</v>
      </c>
      <c r="H917" s="18" t="n">
        <v>1</v>
      </c>
      <c r="I917" s="22" t="n">
        <v>44693</v>
      </c>
      <c r="J917" s="2" t="s">
        <v>981</v>
      </c>
      <c r="L917" s="2" t="n">
        <v>1</v>
      </c>
      <c r="M917" s="2" t="n">
        <v>1</v>
      </c>
      <c r="N917" s="3" t="n">
        <v>44999</v>
      </c>
      <c r="O917" s="2" t="n">
        <v>4.24</v>
      </c>
      <c r="P917" s="2" t="n">
        <v>3</v>
      </c>
      <c r="Q917" s="62" t="str">
        <f aca="false">IF(ISBLANK(N917),"",IF(N917&lt;DATE(2023,5,1),"OLD","NEW"))</f>
        <v>OLD</v>
      </c>
      <c r="S917" s="33" t="n">
        <f aca="false">IF(COUNTIF('[1]Plate_1-2_LongFormat'!$A$2:$A$193,G917)&gt;0,1,0)</f>
        <v>1</v>
      </c>
      <c r="T917" s="33" t="n">
        <f aca="false">IF(COUNTIF([2]Attached_indexes!$C$2:$C$193,G917)&gt;0,1,0)</f>
        <v>1</v>
      </c>
      <c r="U917" s="59"/>
      <c r="V917" s="1" t="s">
        <v>982</v>
      </c>
    </row>
    <row r="918" customFormat="false" ht="15.75" hidden="false" customHeight="true" outlineLevel="0" collapsed="false">
      <c r="A918" s="18" t="s">
        <v>512</v>
      </c>
      <c r="B918" s="18" t="s">
        <v>512</v>
      </c>
      <c r="C918" s="18" t="s">
        <v>31</v>
      </c>
      <c r="E918" s="66" t="n">
        <v>11</v>
      </c>
      <c r="F918" s="21" t="str">
        <f aca="false">CONCATENATE(B918,"_",C918, TEXT(E918, "000"))</f>
        <v>WCFB_M. laciniatus011</v>
      </c>
      <c r="G918" s="21" t="s">
        <v>533</v>
      </c>
      <c r="H918" s="18" t="n">
        <v>1</v>
      </c>
      <c r="I918" s="22" t="n">
        <v>44693</v>
      </c>
      <c r="J918" s="2" t="s">
        <v>981</v>
      </c>
      <c r="L918" s="2" t="n">
        <v>1</v>
      </c>
      <c r="M918" s="2" t="n">
        <v>1</v>
      </c>
      <c r="N918" s="3" t="n">
        <v>44999</v>
      </c>
      <c r="O918" s="2" t="n">
        <v>4.24</v>
      </c>
      <c r="P918" s="2" t="n">
        <v>3</v>
      </c>
      <c r="Q918" s="62" t="str">
        <f aca="false">IF(ISBLANK(N918),"",IF(N918&lt;DATE(2023,5,1),"OLD","NEW"))</f>
        <v>OLD</v>
      </c>
      <c r="S918" s="33" t="n">
        <f aca="false">IF(COUNTIF('[1]Plate_1-2_LongFormat'!$A$2:$A$193,G918)&gt;0,1,0)</f>
        <v>1</v>
      </c>
      <c r="T918" s="33" t="n">
        <f aca="false">IF(COUNTIF([2]Attached_indexes!$C$2:$C$193,G918)&gt;0,1,0)</f>
        <v>1</v>
      </c>
      <c r="U918" s="59"/>
      <c r="V918" s="1" t="s">
        <v>982</v>
      </c>
    </row>
    <row r="919" customFormat="false" ht="15.75" hidden="false" customHeight="true" outlineLevel="0" collapsed="false">
      <c r="A919" s="18" t="s">
        <v>512</v>
      </c>
      <c r="B919" s="18" t="s">
        <v>512</v>
      </c>
      <c r="C919" s="18" t="s">
        <v>31</v>
      </c>
      <c r="E919" s="66" t="n">
        <v>11</v>
      </c>
      <c r="F919" s="21" t="str">
        <f aca="false">CONCATENATE(B919,"_",C919, TEXT(E919, "000"))</f>
        <v>WCFB_M. laciniatus011</v>
      </c>
      <c r="G919" s="21" t="s">
        <v>533</v>
      </c>
      <c r="H919" s="18" t="n">
        <v>1</v>
      </c>
      <c r="I919" s="22" t="n">
        <v>44693</v>
      </c>
      <c r="J919" s="2" t="s">
        <v>981</v>
      </c>
      <c r="L919" s="2" t="n">
        <v>1</v>
      </c>
      <c r="M919" s="2" t="n">
        <v>1</v>
      </c>
      <c r="N919" s="3" t="n">
        <v>44999</v>
      </c>
      <c r="O919" s="2" t="n">
        <v>4.24</v>
      </c>
      <c r="P919" s="2" t="n">
        <v>3</v>
      </c>
      <c r="Q919" s="62" t="str">
        <f aca="false">IF(ISBLANK(N919),"",IF(N919&lt;DATE(2023,5,1),"OLD","NEW"))</f>
        <v>OLD</v>
      </c>
      <c r="S919" s="33" t="n">
        <f aca="false">IF(COUNTIF('[1]Plate_1-2_LongFormat'!$A$2:$A$193,G919)&gt;0,1,0)</f>
        <v>1</v>
      </c>
      <c r="T919" s="33" t="n">
        <f aca="false">IF(COUNTIF([2]Attached_indexes!$C$2:$C$193,G919)&gt;0,1,0)</f>
        <v>1</v>
      </c>
      <c r="U919" s="59"/>
      <c r="V919" s="1" t="s">
        <v>982</v>
      </c>
    </row>
    <row r="920" customFormat="false" ht="15.75" hidden="false" customHeight="true" outlineLevel="0" collapsed="false">
      <c r="A920" s="18" t="s">
        <v>512</v>
      </c>
      <c r="B920" s="18" t="s">
        <v>512</v>
      </c>
      <c r="C920" s="18" t="s">
        <v>31</v>
      </c>
      <c r="E920" s="66" t="n">
        <v>2</v>
      </c>
      <c r="F920" s="21" t="str">
        <f aca="false">CONCATENATE(B920,"_",C920, TEXT(E920, "000"))</f>
        <v>WCFB_M. laciniatus002</v>
      </c>
      <c r="G920" s="21" t="s">
        <v>516</v>
      </c>
      <c r="H920" s="18" t="n">
        <v>1</v>
      </c>
      <c r="I920" s="22" t="n">
        <v>44693</v>
      </c>
      <c r="J920" s="2" t="s">
        <v>981</v>
      </c>
      <c r="L920" s="2" t="n">
        <v>1</v>
      </c>
      <c r="M920" s="2" t="n">
        <v>1</v>
      </c>
      <c r="N920" s="3" t="n">
        <v>45053</v>
      </c>
      <c r="O920" s="2" t="n">
        <v>11.5</v>
      </c>
      <c r="P920" s="2" t="n">
        <v>3</v>
      </c>
      <c r="Q920" s="62" t="str">
        <f aca="false">IF(ISBLANK(N920),"",IF(N920&lt;DATE(2023,5,1),"OLD","NEW"))</f>
        <v>NEW</v>
      </c>
      <c r="S920" s="33" t="n">
        <f aca="false">IF(COUNTIF('[1]Plate_1-2_LongFormat'!$A$2:$A$193,G920)&gt;0,1,0)</f>
        <v>0</v>
      </c>
      <c r="T920" s="33" t="n">
        <f aca="false">IF(COUNTIF([2]Attached_indexes!$C$2:$C$193,G920)&gt;0,1,0)</f>
        <v>0</v>
      </c>
      <c r="U920" s="59"/>
      <c r="V920" s="1" t="s">
        <v>982</v>
      </c>
    </row>
    <row r="921" customFormat="false" ht="15.75" hidden="false" customHeight="true" outlineLevel="0" collapsed="false">
      <c r="A921" s="18" t="s">
        <v>512</v>
      </c>
      <c r="B921" s="18" t="s">
        <v>512</v>
      </c>
      <c r="C921" s="18" t="s">
        <v>31</v>
      </c>
      <c r="E921" s="66" t="n">
        <v>2</v>
      </c>
      <c r="F921" s="21" t="str">
        <f aca="false">CONCATENATE(B921,"_",C921, TEXT(E921, "000"))</f>
        <v>WCFB_M. laciniatus002</v>
      </c>
      <c r="G921" s="21" t="s">
        <v>516</v>
      </c>
      <c r="H921" s="18" t="n">
        <v>1</v>
      </c>
      <c r="I921" s="22" t="n">
        <v>44693</v>
      </c>
      <c r="J921" s="2" t="s">
        <v>981</v>
      </c>
      <c r="L921" s="2" t="n">
        <v>1</v>
      </c>
      <c r="M921" s="2" t="n">
        <v>1</v>
      </c>
      <c r="N921" s="3" t="n">
        <v>45053</v>
      </c>
      <c r="O921" s="2" t="n">
        <v>11.5</v>
      </c>
      <c r="P921" s="2" t="n">
        <v>3</v>
      </c>
      <c r="Q921" s="62" t="str">
        <f aca="false">IF(ISBLANK(N921),"",IF(N921&lt;DATE(2023,5,1),"OLD","NEW"))</f>
        <v>NEW</v>
      </c>
      <c r="S921" s="33" t="n">
        <f aca="false">IF(COUNTIF('[1]Plate_1-2_LongFormat'!$A$2:$A$193,G921)&gt;0,1,0)</f>
        <v>0</v>
      </c>
      <c r="T921" s="33" t="n">
        <f aca="false">IF(COUNTIF([2]Attached_indexes!$C$2:$C$193,G921)&gt;0,1,0)</f>
        <v>0</v>
      </c>
      <c r="U921" s="59"/>
      <c r="V921" s="1" t="s">
        <v>982</v>
      </c>
    </row>
    <row r="922" customFormat="false" ht="15.75" hidden="false" customHeight="true" outlineLevel="0" collapsed="false">
      <c r="A922" s="18" t="s">
        <v>512</v>
      </c>
      <c r="B922" s="18" t="s">
        <v>512</v>
      </c>
      <c r="C922" s="18" t="s">
        <v>31</v>
      </c>
      <c r="E922" s="66" t="n">
        <v>2</v>
      </c>
      <c r="F922" s="21" t="str">
        <f aca="false">CONCATENATE(B922,"_",C922, TEXT(E922, "000"))</f>
        <v>WCFB_M. laciniatus002</v>
      </c>
      <c r="G922" s="21" t="s">
        <v>516</v>
      </c>
      <c r="H922" s="18" t="n">
        <v>1</v>
      </c>
      <c r="I922" s="22" t="n">
        <v>44693</v>
      </c>
      <c r="J922" s="2" t="s">
        <v>981</v>
      </c>
      <c r="L922" s="2" t="n">
        <v>1</v>
      </c>
      <c r="M922" s="2" t="n">
        <v>1</v>
      </c>
      <c r="N922" s="3" t="n">
        <v>45053</v>
      </c>
      <c r="O922" s="2" t="n">
        <v>11.5</v>
      </c>
      <c r="P922" s="2" t="n">
        <v>3</v>
      </c>
      <c r="Q922" s="62" t="str">
        <f aca="false">IF(ISBLANK(N922),"",IF(N922&lt;DATE(2023,5,1),"OLD","NEW"))</f>
        <v>NEW</v>
      </c>
      <c r="S922" s="33" t="n">
        <f aca="false">IF(COUNTIF('[1]Plate_1-2_LongFormat'!$A$2:$A$193,G922)&gt;0,1,0)</f>
        <v>0</v>
      </c>
      <c r="T922" s="33" t="n">
        <f aca="false">IF(COUNTIF([2]Attached_indexes!$C$2:$C$193,G922)&gt;0,1,0)</f>
        <v>0</v>
      </c>
      <c r="U922" s="59"/>
      <c r="V922" s="1" t="s">
        <v>982</v>
      </c>
    </row>
    <row r="923" customFormat="false" ht="15.75" hidden="false" customHeight="true" outlineLevel="0" collapsed="false">
      <c r="A923" s="18" t="s">
        <v>512</v>
      </c>
      <c r="B923" s="18" t="s">
        <v>512</v>
      </c>
      <c r="C923" s="18" t="s">
        <v>31</v>
      </c>
      <c r="E923" s="66" t="n">
        <v>3</v>
      </c>
      <c r="F923" s="21" t="str">
        <f aca="false">CONCATENATE(B923,"_",C923, TEXT(E923, "000"))</f>
        <v>WCFB_M. laciniatus003</v>
      </c>
      <c r="G923" s="21" t="s">
        <v>517</v>
      </c>
      <c r="H923" s="18" t="n">
        <v>1</v>
      </c>
      <c r="I923" s="22" t="n">
        <v>44693</v>
      </c>
      <c r="J923" s="2" t="s">
        <v>981</v>
      </c>
      <c r="L923" s="2" t="n">
        <v>1</v>
      </c>
      <c r="M923" s="2" t="n">
        <v>1</v>
      </c>
      <c r="N923" s="3" t="n">
        <v>45053</v>
      </c>
      <c r="O923" s="2" t="n">
        <v>4.71</v>
      </c>
      <c r="P923" s="2" t="n">
        <v>3</v>
      </c>
      <c r="Q923" s="62" t="str">
        <f aca="false">IF(ISBLANK(N923),"",IF(N923&lt;DATE(2023,5,1),"OLD","NEW"))</f>
        <v>NEW</v>
      </c>
      <c r="S923" s="33" t="n">
        <f aca="false">IF(COUNTIF('[1]Plate_1-2_LongFormat'!$A$2:$A$193,G923)&gt;0,1,0)</f>
        <v>0</v>
      </c>
      <c r="T923" s="33" t="n">
        <f aca="false">IF(COUNTIF([2]Attached_indexes!$C$2:$C$193,G923)&gt;0,1,0)</f>
        <v>0</v>
      </c>
      <c r="U923" s="59"/>
      <c r="V923" s="1" t="s">
        <v>982</v>
      </c>
    </row>
    <row r="924" customFormat="false" ht="15.75" hidden="false" customHeight="true" outlineLevel="0" collapsed="false">
      <c r="A924" s="18" t="s">
        <v>512</v>
      </c>
      <c r="B924" s="18" t="s">
        <v>512</v>
      </c>
      <c r="C924" s="18" t="s">
        <v>31</v>
      </c>
      <c r="E924" s="66" t="n">
        <v>3</v>
      </c>
      <c r="F924" s="21" t="str">
        <f aca="false">CONCATENATE(B924,"_",C924, TEXT(E924, "000"))</f>
        <v>WCFB_M. laciniatus003</v>
      </c>
      <c r="G924" s="21" t="s">
        <v>517</v>
      </c>
      <c r="H924" s="18" t="n">
        <v>1</v>
      </c>
      <c r="I924" s="22" t="n">
        <v>44693</v>
      </c>
      <c r="J924" s="2" t="s">
        <v>981</v>
      </c>
      <c r="L924" s="2" t="n">
        <v>1</v>
      </c>
      <c r="M924" s="2" t="n">
        <v>1</v>
      </c>
      <c r="N924" s="3" t="n">
        <v>45053</v>
      </c>
      <c r="O924" s="2" t="n">
        <v>4.71</v>
      </c>
      <c r="P924" s="2" t="n">
        <v>3</v>
      </c>
      <c r="Q924" s="62" t="str">
        <f aca="false">IF(ISBLANK(N924),"",IF(N924&lt;DATE(2023,5,1),"OLD","NEW"))</f>
        <v>NEW</v>
      </c>
      <c r="S924" s="33" t="n">
        <f aca="false">IF(COUNTIF('[1]Plate_1-2_LongFormat'!$A$2:$A$193,G924)&gt;0,1,0)</f>
        <v>0</v>
      </c>
      <c r="T924" s="33" t="n">
        <f aca="false">IF(COUNTIF([2]Attached_indexes!$C$2:$C$193,G924)&gt;0,1,0)</f>
        <v>0</v>
      </c>
      <c r="U924" s="59"/>
      <c r="V924" s="1" t="s">
        <v>982</v>
      </c>
    </row>
    <row r="925" customFormat="false" ht="15.75" hidden="false" customHeight="true" outlineLevel="0" collapsed="false">
      <c r="A925" s="18" t="s">
        <v>512</v>
      </c>
      <c r="B925" s="18" t="s">
        <v>512</v>
      </c>
      <c r="C925" s="18" t="s">
        <v>31</v>
      </c>
      <c r="E925" s="66" t="n">
        <v>3</v>
      </c>
      <c r="F925" s="21" t="str">
        <f aca="false">CONCATENATE(B925,"_",C925, TEXT(E925, "000"))</f>
        <v>WCFB_M. laciniatus003</v>
      </c>
      <c r="G925" s="21" t="s">
        <v>517</v>
      </c>
      <c r="H925" s="18" t="n">
        <v>1</v>
      </c>
      <c r="I925" s="22" t="n">
        <v>44693</v>
      </c>
      <c r="J925" s="2" t="s">
        <v>981</v>
      </c>
      <c r="L925" s="2" t="n">
        <v>1</v>
      </c>
      <c r="M925" s="2" t="n">
        <v>1</v>
      </c>
      <c r="N925" s="3" t="n">
        <v>45053</v>
      </c>
      <c r="O925" s="2" t="n">
        <v>4.71</v>
      </c>
      <c r="P925" s="2" t="n">
        <v>3</v>
      </c>
      <c r="Q925" s="62" t="str">
        <f aca="false">IF(ISBLANK(N925),"",IF(N925&lt;DATE(2023,5,1),"OLD","NEW"))</f>
        <v>NEW</v>
      </c>
      <c r="S925" s="33" t="n">
        <f aca="false">IF(COUNTIF('[1]Plate_1-2_LongFormat'!$A$2:$A$193,G925)&gt;0,1,0)</f>
        <v>0</v>
      </c>
      <c r="T925" s="33" t="n">
        <f aca="false">IF(COUNTIF([2]Attached_indexes!$C$2:$C$193,G925)&gt;0,1,0)</f>
        <v>0</v>
      </c>
      <c r="U925" s="59"/>
      <c r="V925" s="1" t="s">
        <v>982</v>
      </c>
    </row>
    <row r="926" customFormat="false" ht="15.75" hidden="false" customHeight="true" outlineLevel="0" collapsed="false">
      <c r="A926" s="18" t="s">
        <v>512</v>
      </c>
      <c r="B926" s="18" t="s">
        <v>512</v>
      </c>
      <c r="C926" s="18" t="s">
        <v>31</v>
      </c>
      <c r="E926" s="66" t="n">
        <v>4</v>
      </c>
      <c r="F926" s="21" t="str">
        <f aca="false">CONCATENATE(B926,"_",C926, TEXT(E926, "000"))</f>
        <v>WCFB_M. laciniatus004</v>
      </c>
      <c r="G926" s="21" t="s">
        <v>519</v>
      </c>
      <c r="H926" s="18" t="n">
        <v>1</v>
      </c>
      <c r="I926" s="22" t="n">
        <v>44693</v>
      </c>
      <c r="J926" s="2" t="s">
        <v>981</v>
      </c>
      <c r="L926" s="2" t="n">
        <v>1</v>
      </c>
      <c r="M926" s="2" t="n">
        <v>1</v>
      </c>
      <c r="N926" s="3" t="n">
        <v>44938</v>
      </c>
      <c r="O926" s="2" t="n">
        <v>2.72</v>
      </c>
      <c r="P926" s="2" t="n">
        <v>2</v>
      </c>
      <c r="Q926" s="62" t="str">
        <f aca="false">IF(ISBLANK(N926),"",IF(N926&lt;DATE(2023,5,1),"OLD","NEW"))</f>
        <v>OLD</v>
      </c>
      <c r="S926" s="33" t="n">
        <f aca="false">IF(COUNTIF('[1]Plate_1-2_LongFormat'!$A$2:$A$193,G926)&gt;0,1,0)</f>
        <v>1</v>
      </c>
      <c r="T926" s="33" t="n">
        <f aca="false">IF(COUNTIF([2]Attached_indexes!$C$2:$C$193,G926)&gt;0,1,0)</f>
        <v>1</v>
      </c>
      <c r="U926" s="59"/>
      <c r="V926" s="1" t="s">
        <v>982</v>
      </c>
    </row>
    <row r="927" customFormat="false" ht="15.75" hidden="false" customHeight="true" outlineLevel="0" collapsed="false">
      <c r="A927" s="18" t="s">
        <v>512</v>
      </c>
      <c r="B927" s="18" t="s">
        <v>512</v>
      </c>
      <c r="C927" s="18" t="s">
        <v>31</v>
      </c>
      <c r="E927" s="66" t="n">
        <v>4</v>
      </c>
      <c r="F927" s="21" t="str">
        <f aca="false">CONCATENATE(B927,"_",C927, TEXT(E927, "000"))</f>
        <v>WCFB_M. laciniatus004</v>
      </c>
      <c r="G927" s="21" t="s">
        <v>519</v>
      </c>
      <c r="H927" s="18" t="n">
        <v>1</v>
      </c>
      <c r="I927" s="22" t="n">
        <v>44693</v>
      </c>
      <c r="J927" s="2" t="s">
        <v>981</v>
      </c>
      <c r="L927" s="2" t="n">
        <v>1</v>
      </c>
      <c r="M927" s="2" t="n">
        <v>1</v>
      </c>
      <c r="N927" s="3" t="n">
        <v>44938</v>
      </c>
      <c r="O927" s="2" t="n">
        <v>2.72</v>
      </c>
      <c r="P927" s="2" t="n">
        <v>2</v>
      </c>
      <c r="Q927" s="62" t="str">
        <f aca="false">IF(ISBLANK(N927),"",IF(N927&lt;DATE(2023,5,1),"OLD","NEW"))</f>
        <v>OLD</v>
      </c>
      <c r="S927" s="33" t="n">
        <f aca="false">IF(COUNTIF('[1]Plate_1-2_LongFormat'!$A$2:$A$193,G927)&gt;0,1,0)</f>
        <v>1</v>
      </c>
      <c r="T927" s="33" t="n">
        <f aca="false">IF(COUNTIF([2]Attached_indexes!$C$2:$C$193,G927)&gt;0,1,0)</f>
        <v>1</v>
      </c>
      <c r="U927" s="59"/>
      <c r="V927" s="1" t="s">
        <v>982</v>
      </c>
    </row>
    <row r="928" customFormat="false" ht="15.75" hidden="false" customHeight="true" outlineLevel="0" collapsed="false">
      <c r="A928" s="18" t="s">
        <v>512</v>
      </c>
      <c r="B928" s="18" t="s">
        <v>512</v>
      </c>
      <c r="C928" s="18" t="s">
        <v>31</v>
      </c>
      <c r="E928" s="66" t="n">
        <v>4</v>
      </c>
      <c r="F928" s="21" t="str">
        <f aca="false">CONCATENATE(B928,"_",C928, TEXT(E928, "000"))</f>
        <v>WCFB_M. laciniatus004</v>
      </c>
      <c r="G928" s="21" t="s">
        <v>519</v>
      </c>
      <c r="H928" s="18" t="n">
        <v>1</v>
      </c>
      <c r="I928" s="22" t="n">
        <v>44693</v>
      </c>
      <c r="J928" s="2" t="s">
        <v>981</v>
      </c>
      <c r="L928" s="2" t="n">
        <v>1</v>
      </c>
      <c r="M928" s="2" t="n">
        <v>1</v>
      </c>
      <c r="N928" s="3" t="n">
        <v>44938</v>
      </c>
      <c r="O928" s="2" t="n">
        <v>2.72</v>
      </c>
      <c r="P928" s="2" t="n">
        <v>2</v>
      </c>
      <c r="Q928" s="62" t="str">
        <f aca="false">IF(ISBLANK(N928),"",IF(N928&lt;DATE(2023,5,1),"OLD","NEW"))</f>
        <v>OLD</v>
      </c>
      <c r="S928" s="33" t="n">
        <f aca="false">IF(COUNTIF('[1]Plate_1-2_LongFormat'!$A$2:$A$193,G928)&gt;0,1,0)</f>
        <v>1</v>
      </c>
      <c r="T928" s="33" t="n">
        <f aca="false">IF(COUNTIF([2]Attached_indexes!$C$2:$C$193,G928)&gt;0,1,0)</f>
        <v>1</v>
      </c>
      <c r="U928" s="59"/>
      <c r="V928" s="1" t="s">
        <v>982</v>
      </c>
    </row>
    <row r="929" customFormat="false" ht="15.75" hidden="false" customHeight="true" outlineLevel="0" collapsed="false">
      <c r="A929" s="18" t="s">
        <v>512</v>
      </c>
      <c r="B929" s="18" t="s">
        <v>512</v>
      </c>
      <c r="C929" s="18" t="s">
        <v>31</v>
      </c>
      <c r="E929" s="66" t="n">
        <v>5</v>
      </c>
      <c r="F929" s="21" t="str">
        <f aca="false">CONCATENATE(B929,"_",C929, TEXT(E929, "000"))</f>
        <v>WCFB_M. laciniatus005</v>
      </c>
      <c r="G929" s="21" t="s">
        <v>521</v>
      </c>
      <c r="H929" s="18" t="n">
        <v>1</v>
      </c>
      <c r="I929" s="22" t="n">
        <v>44693</v>
      </c>
      <c r="J929" s="2" t="s">
        <v>981</v>
      </c>
      <c r="K929" s="68" t="s">
        <v>988</v>
      </c>
      <c r="L929" s="2" t="n">
        <v>1</v>
      </c>
      <c r="M929" s="2" t="n">
        <v>1</v>
      </c>
      <c r="N929" s="3" t="n">
        <v>45071</v>
      </c>
      <c r="O929" s="2" t="n">
        <v>7.91</v>
      </c>
      <c r="P929" s="2" t="n">
        <v>4</v>
      </c>
      <c r="Q929" s="62" t="str">
        <f aca="false">IF(ISBLANK(N929),"",IF(N929&lt;DATE(2023,5,1),"OLD","NEW"))</f>
        <v>NEW</v>
      </c>
      <c r="S929" s="33" t="n">
        <f aca="false">IF(COUNTIF('[1]Plate_1-2_LongFormat'!$A$2:$A$193,G929)&gt;0,1,0)</f>
        <v>0</v>
      </c>
      <c r="T929" s="33" t="n">
        <f aca="false">IF(COUNTIF([2]Attached_indexes!$C$2:$C$193,G929)&gt;0,1,0)</f>
        <v>0</v>
      </c>
      <c r="U929" s="59"/>
      <c r="V929" s="1" t="s">
        <v>982</v>
      </c>
    </row>
    <row r="930" customFormat="false" ht="15.75" hidden="false" customHeight="true" outlineLevel="0" collapsed="false">
      <c r="A930" s="18" t="s">
        <v>512</v>
      </c>
      <c r="B930" s="18" t="s">
        <v>512</v>
      </c>
      <c r="C930" s="18" t="s">
        <v>31</v>
      </c>
      <c r="E930" s="66" t="n">
        <v>5</v>
      </c>
      <c r="F930" s="21" t="str">
        <f aca="false">CONCATENATE(B930,"_",C930, TEXT(E930, "000"))</f>
        <v>WCFB_M. laciniatus005</v>
      </c>
      <c r="G930" s="21" t="s">
        <v>521</v>
      </c>
      <c r="H930" s="18" t="n">
        <v>1</v>
      </c>
      <c r="I930" s="22" t="n">
        <v>44693</v>
      </c>
      <c r="J930" s="2" t="s">
        <v>981</v>
      </c>
      <c r="K930" s="68" t="s">
        <v>988</v>
      </c>
      <c r="L930" s="2" t="n">
        <v>1</v>
      </c>
      <c r="M930" s="2" t="n">
        <v>1</v>
      </c>
      <c r="N930" s="3" t="n">
        <v>45071</v>
      </c>
      <c r="O930" s="2" t="n">
        <v>7.91</v>
      </c>
      <c r="P930" s="2" t="n">
        <v>4</v>
      </c>
      <c r="Q930" s="62" t="str">
        <f aca="false">IF(ISBLANK(N930),"",IF(N930&lt;DATE(2023,5,1),"OLD","NEW"))</f>
        <v>NEW</v>
      </c>
      <c r="S930" s="33" t="n">
        <f aca="false">IF(COUNTIF('[1]Plate_1-2_LongFormat'!$A$2:$A$193,G930)&gt;0,1,0)</f>
        <v>0</v>
      </c>
      <c r="T930" s="33" t="n">
        <f aca="false">IF(COUNTIF([2]Attached_indexes!$C$2:$C$193,G930)&gt;0,1,0)</f>
        <v>0</v>
      </c>
      <c r="U930" s="59"/>
      <c r="V930" s="1" t="s">
        <v>982</v>
      </c>
    </row>
    <row r="931" customFormat="false" ht="15.75" hidden="false" customHeight="true" outlineLevel="0" collapsed="false">
      <c r="A931" s="18" t="s">
        <v>512</v>
      </c>
      <c r="B931" s="18" t="s">
        <v>512</v>
      </c>
      <c r="C931" s="18" t="s">
        <v>31</v>
      </c>
      <c r="E931" s="66" t="n">
        <v>5</v>
      </c>
      <c r="F931" s="21" t="str">
        <f aca="false">CONCATENATE(B931,"_",C931, TEXT(E931, "000"))</f>
        <v>WCFB_M. laciniatus005</v>
      </c>
      <c r="G931" s="21" t="s">
        <v>521</v>
      </c>
      <c r="H931" s="18" t="n">
        <v>1</v>
      </c>
      <c r="I931" s="22" t="n">
        <v>44693</v>
      </c>
      <c r="J931" s="2" t="s">
        <v>981</v>
      </c>
      <c r="K931" s="68" t="s">
        <v>988</v>
      </c>
      <c r="L931" s="2" t="n">
        <v>1</v>
      </c>
      <c r="M931" s="2" t="n">
        <v>1</v>
      </c>
      <c r="N931" s="3" t="n">
        <v>45071</v>
      </c>
      <c r="O931" s="2" t="n">
        <v>7.91</v>
      </c>
      <c r="P931" s="2" t="n">
        <v>4</v>
      </c>
      <c r="Q931" s="62" t="str">
        <f aca="false">IF(ISBLANK(N931),"",IF(N931&lt;DATE(2023,5,1),"OLD","NEW"))</f>
        <v>NEW</v>
      </c>
      <c r="S931" s="33" t="n">
        <f aca="false">IF(COUNTIF('[1]Plate_1-2_LongFormat'!$A$2:$A$193,G931)&gt;0,1,0)</f>
        <v>0</v>
      </c>
      <c r="T931" s="33" t="n">
        <f aca="false">IF(COUNTIF([2]Attached_indexes!$C$2:$C$193,G931)&gt;0,1,0)</f>
        <v>0</v>
      </c>
      <c r="U931" s="59"/>
      <c r="V931" s="1" t="s">
        <v>982</v>
      </c>
    </row>
    <row r="932" customFormat="false" ht="15.75" hidden="false" customHeight="true" outlineLevel="0" collapsed="false">
      <c r="A932" s="18" t="s">
        <v>512</v>
      </c>
      <c r="B932" s="18" t="s">
        <v>512</v>
      </c>
      <c r="C932" s="18" t="s">
        <v>31</v>
      </c>
      <c r="E932" s="66" t="n">
        <v>6</v>
      </c>
      <c r="F932" s="21" t="str">
        <f aca="false">CONCATENATE(B932,"_",C932, TEXT(E932, "000"))</f>
        <v>WCFB_M. laciniatus006</v>
      </c>
      <c r="G932" s="21" t="s">
        <v>522</v>
      </c>
      <c r="H932" s="18" t="n">
        <v>1</v>
      </c>
      <c r="I932" s="22" t="n">
        <v>44693</v>
      </c>
      <c r="J932" s="2" t="s">
        <v>981</v>
      </c>
      <c r="L932" s="2" t="n">
        <v>1</v>
      </c>
      <c r="M932" s="2" t="n">
        <v>1</v>
      </c>
      <c r="N932" s="3" t="n">
        <v>44999</v>
      </c>
      <c r="O932" s="2" t="n">
        <v>3.29</v>
      </c>
      <c r="P932" s="2" t="n">
        <v>3</v>
      </c>
      <c r="Q932" s="62" t="str">
        <f aca="false">IF(ISBLANK(N932),"",IF(N932&lt;DATE(2023,5,1),"OLD","NEW"))</f>
        <v>OLD</v>
      </c>
      <c r="S932" s="33" t="n">
        <f aca="false">IF(COUNTIF('[1]Plate_1-2_LongFormat'!$A$2:$A$193,G932)&gt;0,1,0)</f>
        <v>1</v>
      </c>
      <c r="T932" s="33" t="n">
        <f aca="false">IF(COUNTIF([2]Attached_indexes!$C$2:$C$193,G932)&gt;0,1,0)</f>
        <v>1</v>
      </c>
      <c r="U932" s="59"/>
      <c r="V932" s="1" t="s">
        <v>982</v>
      </c>
    </row>
    <row r="933" customFormat="false" ht="15.75" hidden="false" customHeight="true" outlineLevel="0" collapsed="false">
      <c r="A933" s="18" t="s">
        <v>512</v>
      </c>
      <c r="B933" s="18" t="s">
        <v>512</v>
      </c>
      <c r="C933" s="18" t="s">
        <v>31</v>
      </c>
      <c r="E933" s="66" t="n">
        <v>6</v>
      </c>
      <c r="F933" s="21" t="str">
        <f aca="false">CONCATENATE(B933,"_",C933, TEXT(E933, "000"))</f>
        <v>WCFB_M. laciniatus006</v>
      </c>
      <c r="G933" s="21" t="s">
        <v>522</v>
      </c>
      <c r="H933" s="18" t="n">
        <v>1</v>
      </c>
      <c r="I933" s="22" t="n">
        <v>44693</v>
      </c>
      <c r="J933" s="2" t="s">
        <v>981</v>
      </c>
      <c r="L933" s="2" t="n">
        <v>1</v>
      </c>
      <c r="M933" s="2" t="n">
        <v>1</v>
      </c>
      <c r="N933" s="3" t="n">
        <v>44999</v>
      </c>
      <c r="O933" s="2" t="n">
        <v>3.29</v>
      </c>
      <c r="P933" s="2" t="n">
        <v>3</v>
      </c>
      <c r="Q933" s="62" t="str">
        <f aca="false">IF(ISBLANK(N933),"",IF(N933&lt;DATE(2023,5,1),"OLD","NEW"))</f>
        <v>OLD</v>
      </c>
      <c r="S933" s="33" t="n">
        <f aca="false">IF(COUNTIF('[1]Plate_1-2_LongFormat'!$A$2:$A$193,G933)&gt;0,1,0)</f>
        <v>1</v>
      </c>
      <c r="T933" s="33" t="n">
        <f aca="false">IF(COUNTIF([2]Attached_indexes!$C$2:$C$193,G933)&gt;0,1,0)</f>
        <v>1</v>
      </c>
      <c r="U933" s="59"/>
      <c r="V933" s="1" t="s">
        <v>982</v>
      </c>
    </row>
    <row r="934" customFormat="false" ht="15.75" hidden="false" customHeight="true" outlineLevel="0" collapsed="false">
      <c r="A934" s="18" t="s">
        <v>512</v>
      </c>
      <c r="B934" s="18" t="s">
        <v>512</v>
      </c>
      <c r="C934" s="18" t="s">
        <v>31</v>
      </c>
      <c r="E934" s="66" t="n">
        <v>6</v>
      </c>
      <c r="F934" s="21" t="str">
        <f aca="false">CONCATENATE(B934,"_",C934, TEXT(E934, "000"))</f>
        <v>WCFB_M. laciniatus006</v>
      </c>
      <c r="G934" s="21" t="s">
        <v>522</v>
      </c>
      <c r="H934" s="18" t="n">
        <v>1</v>
      </c>
      <c r="I934" s="22" t="n">
        <v>44693</v>
      </c>
      <c r="J934" s="2" t="s">
        <v>981</v>
      </c>
      <c r="L934" s="2" t="n">
        <v>1</v>
      </c>
      <c r="M934" s="2" t="n">
        <v>1</v>
      </c>
      <c r="N934" s="3" t="n">
        <v>44999</v>
      </c>
      <c r="O934" s="2" t="n">
        <v>3.29</v>
      </c>
      <c r="P934" s="2" t="n">
        <v>3</v>
      </c>
      <c r="Q934" s="62" t="str">
        <f aca="false">IF(ISBLANK(N934),"",IF(N934&lt;DATE(2023,5,1),"OLD","NEW"))</f>
        <v>OLD</v>
      </c>
      <c r="S934" s="33" t="n">
        <f aca="false">IF(COUNTIF('[1]Plate_1-2_LongFormat'!$A$2:$A$193,G934)&gt;0,1,0)</f>
        <v>1</v>
      </c>
      <c r="T934" s="33" t="n">
        <f aca="false">IF(COUNTIF([2]Attached_indexes!$C$2:$C$193,G934)&gt;0,1,0)</f>
        <v>1</v>
      </c>
      <c r="U934" s="59"/>
      <c r="V934" s="1" t="s">
        <v>982</v>
      </c>
    </row>
    <row r="935" customFormat="false" ht="15.75" hidden="false" customHeight="true" outlineLevel="0" collapsed="false">
      <c r="A935" s="18" t="s">
        <v>512</v>
      </c>
      <c r="B935" s="18" t="s">
        <v>512</v>
      </c>
      <c r="C935" s="18" t="s">
        <v>31</v>
      </c>
      <c r="E935" s="66" t="n">
        <v>7</v>
      </c>
      <c r="F935" s="21" t="str">
        <f aca="false">CONCATENATE(B935,"_",C935, TEXT(E935, "000"))</f>
        <v>WCFB_M. laciniatus007</v>
      </c>
      <c r="G935" s="21" t="s">
        <v>524</v>
      </c>
      <c r="H935" s="18" t="n">
        <v>1</v>
      </c>
      <c r="I935" s="22" t="n">
        <v>44693</v>
      </c>
      <c r="J935" s="2" t="s">
        <v>981</v>
      </c>
      <c r="L935" s="2" t="n">
        <v>1</v>
      </c>
      <c r="M935" s="2" t="n">
        <v>1</v>
      </c>
      <c r="N935" s="3" t="n">
        <v>44799</v>
      </c>
      <c r="O935" s="64" t="n">
        <v>0.369</v>
      </c>
      <c r="P935" s="64" t="n">
        <v>1</v>
      </c>
      <c r="Q935" s="62" t="str">
        <f aca="false">IF(ISBLANK(N935),"",IF(N935&lt;DATE(2023,5,1),"OLD","NEW"))</f>
        <v>OLD</v>
      </c>
      <c r="S935" s="33" t="n">
        <f aca="false">IF(COUNTIF('[1]Plate_1-2_LongFormat'!$A$2:$A$193,G935)&gt;0,1,0)</f>
        <v>1</v>
      </c>
      <c r="T935" s="33" t="n">
        <f aca="false">IF(COUNTIF([2]Attached_indexes!$C$2:$C$193,G935)&gt;0,1,0)</f>
        <v>1</v>
      </c>
      <c r="U935" s="59"/>
      <c r="V935" s="1" t="s">
        <v>982</v>
      </c>
    </row>
    <row r="936" customFormat="false" ht="15.75" hidden="false" customHeight="true" outlineLevel="0" collapsed="false">
      <c r="A936" s="18" t="s">
        <v>512</v>
      </c>
      <c r="B936" s="18" t="s">
        <v>512</v>
      </c>
      <c r="C936" s="18" t="s">
        <v>31</v>
      </c>
      <c r="E936" s="66" t="n">
        <v>7</v>
      </c>
      <c r="F936" s="21" t="str">
        <f aca="false">CONCATENATE(B936,"_",C936, TEXT(E936, "000"))</f>
        <v>WCFB_M. laciniatus007</v>
      </c>
      <c r="G936" s="21" t="s">
        <v>524</v>
      </c>
      <c r="H936" s="18" t="n">
        <v>1</v>
      </c>
      <c r="I936" s="22" t="n">
        <v>44693</v>
      </c>
      <c r="J936" s="2" t="s">
        <v>981</v>
      </c>
      <c r="L936" s="2" t="n">
        <v>1</v>
      </c>
      <c r="M936" s="2" t="n">
        <v>1</v>
      </c>
      <c r="N936" s="3" t="n">
        <v>44799</v>
      </c>
      <c r="O936" s="64" t="n">
        <v>0.369</v>
      </c>
      <c r="P936" s="64" t="n">
        <v>1</v>
      </c>
      <c r="Q936" s="62" t="str">
        <f aca="false">IF(ISBLANK(N936),"",IF(N936&lt;DATE(2023,5,1),"OLD","NEW"))</f>
        <v>OLD</v>
      </c>
      <c r="S936" s="33" t="n">
        <f aca="false">IF(COUNTIF('[1]Plate_1-2_LongFormat'!$A$2:$A$193,G936)&gt;0,1,0)</f>
        <v>1</v>
      </c>
      <c r="T936" s="33" t="n">
        <f aca="false">IF(COUNTIF([2]Attached_indexes!$C$2:$C$193,G936)&gt;0,1,0)</f>
        <v>1</v>
      </c>
      <c r="U936" s="59"/>
      <c r="V936" s="1" t="s">
        <v>982</v>
      </c>
    </row>
    <row r="937" customFormat="false" ht="15.75" hidden="false" customHeight="true" outlineLevel="0" collapsed="false">
      <c r="A937" s="18" t="s">
        <v>512</v>
      </c>
      <c r="B937" s="18" t="s">
        <v>512</v>
      </c>
      <c r="C937" s="18" t="s">
        <v>31</v>
      </c>
      <c r="E937" s="66" t="n">
        <v>7</v>
      </c>
      <c r="F937" s="21" t="str">
        <f aca="false">CONCATENATE(B937,"_",C937, TEXT(E937, "000"))</f>
        <v>WCFB_M. laciniatus007</v>
      </c>
      <c r="G937" s="21" t="s">
        <v>524</v>
      </c>
      <c r="H937" s="18" t="n">
        <v>1</v>
      </c>
      <c r="I937" s="22" t="n">
        <v>44693</v>
      </c>
      <c r="J937" s="2" t="s">
        <v>981</v>
      </c>
      <c r="L937" s="2" t="n">
        <v>1</v>
      </c>
      <c r="M937" s="2" t="n">
        <v>1</v>
      </c>
      <c r="N937" s="3" t="n">
        <v>44799</v>
      </c>
      <c r="O937" s="64" t="n">
        <v>0.369</v>
      </c>
      <c r="P937" s="64" t="n">
        <v>1</v>
      </c>
      <c r="Q937" s="62" t="str">
        <f aca="false">IF(ISBLANK(N937),"",IF(N937&lt;DATE(2023,5,1),"OLD","NEW"))</f>
        <v>OLD</v>
      </c>
      <c r="S937" s="33" t="n">
        <f aca="false">IF(COUNTIF('[1]Plate_1-2_LongFormat'!$A$2:$A$193,G937)&gt;0,1,0)</f>
        <v>1</v>
      </c>
      <c r="T937" s="33" t="n">
        <f aca="false">IF(COUNTIF([2]Attached_indexes!$C$2:$C$193,G937)&gt;0,1,0)</f>
        <v>1</v>
      </c>
      <c r="U937" s="59"/>
      <c r="V937" s="1" t="s">
        <v>982</v>
      </c>
    </row>
    <row r="938" customFormat="false" ht="15.75" hidden="false" customHeight="true" outlineLevel="0" collapsed="false">
      <c r="A938" s="18" t="s">
        <v>512</v>
      </c>
      <c r="B938" s="18" t="s">
        <v>512</v>
      </c>
      <c r="C938" s="18" t="s">
        <v>31</v>
      </c>
      <c r="E938" s="66" t="n">
        <v>8</v>
      </c>
      <c r="F938" s="21" t="str">
        <f aca="false">CONCATENATE(B938,"_",C938, TEXT(E938, "000"))</f>
        <v>WCFB_M. laciniatus008</v>
      </c>
      <c r="G938" s="21" t="s">
        <v>526</v>
      </c>
      <c r="H938" s="18" t="n">
        <v>1</v>
      </c>
      <c r="I938" s="22" t="n">
        <v>44693</v>
      </c>
      <c r="J938" s="2" t="s">
        <v>981</v>
      </c>
      <c r="L938" s="2" t="n">
        <v>1</v>
      </c>
      <c r="M938" s="2" t="n">
        <v>1</v>
      </c>
      <c r="N938" s="3" t="n">
        <v>45058</v>
      </c>
      <c r="O938" s="64" t="n">
        <v>17</v>
      </c>
      <c r="P938" s="64" t="n">
        <v>3</v>
      </c>
      <c r="Q938" s="62" t="str">
        <f aca="false">IF(ISBLANK(N938),"",IF(N938&lt;DATE(2023,5,1),"OLD","NEW"))</f>
        <v>NEW</v>
      </c>
      <c r="S938" s="33" t="n">
        <f aca="false">IF(COUNTIF('[1]Plate_1-2_LongFormat'!$A$2:$A$193,G938)&gt;0,1,0)</f>
        <v>0</v>
      </c>
      <c r="T938" s="33" t="n">
        <f aca="false">IF(COUNTIF([2]Attached_indexes!$C$2:$C$193,G938)&gt;0,1,0)</f>
        <v>0</v>
      </c>
      <c r="U938" s="59"/>
      <c r="V938" s="1" t="s">
        <v>982</v>
      </c>
    </row>
    <row r="939" customFormat="false" ht="15.75" hidden="false" customHeight="true" outlineLevel="0" collapsed="false">
      <c r="A939" s="18" t="s">
        <v>512</v>
      </c>
      <c r="B939" s="18" t="s">
        <v>512</v>
      </c>
      <c r="C939" s="18" t="s">
        <v>31</v>
      </c>
      <c r="E939" s="66" t="n">
        <v>8</v>
      </c>
      <c r="F939" s="21" t="str">
        <f aca="false">CONCATENATE(B939,"_",C939, TEXT(E939, "000"))</f>
        <v>WCFB_M. laciniatus008</v>
      </c>
      <c r="G939" s="21" t="s">
        <v>526</v>
      </c>
      <c r="H939" s="18" t="n">
        <v>1</v>
      </c>
      <c r="I939" s="22" t="n">
        <v>44693</v>
      </c>
      <c r="J939" s="2" t="s">
        <v>981</v>
      </c>
      <c r="L939" s="2" t="n">
        <v>1</v>
      </c>
      <c r="M939" s="2" t="n">
        <v>1</v>
      </c>
      <c r="N939" s="3" t="n">
        <v>45058</v>
      </c>
      <c r="O939" s="64" t="n">
        <v>17</v>
      </c>
      <c r="P939" s="64" t="n">
        <v>3</v>
      </c>
      <c r="Q939" s="62" t="str">
        <f aca="false">IF(ISBLANK(N939),"",IF(N939&lt;DATE(2023,5,1),"OLD","NEW"))</f>
        <v>NEW</v>
      </c>
      <c r="S939" s="33" t="n">
        <f aca="false">IF(COUNTIF('[1]Plate_1-2_LongFormat'!$A$2:$A$193,G939)&gt;0,1,0)</f>
        <v>0</v>
      </c>
      <c r="T939" s="33" t="n">
        <f aca="false">IF(COUNTIF([2]Attached_indexes!$C$2:$C$193,G939)&gt;0,1,0)</f>
        <v>0</v>
      </c>
      <c r="U939" s="59"/>
      <c r="V939" s="1" t="s">
        <v>982</v>
      </c>
    </row>
    <row r="940" customFormat="false" ht="15.75" hidden="false" customHeight="true" outlineLevel="0" collapsed="false">
      <c r="A940" s="18" t="s">
        <v>512</v>
      </c>
      <c r="B940" s="18" t="s">
        <v>512</v>
      </c>
      <c r="C940" s="18" t="s">
        <v>31</v>
      </c>
      <c r="E940" s="66" t="n">
        <v>8</v>
      </c>
      <c r="F940" s="21" t="str">
        <f aca="false">CONCATENATE(B940,"_",C940, TEXT(E940, "000"))</f>
        <v>WCFB_M. laciniatus008</v>
      </c>
      <c r="G940" s="21" t="s">
        <v>526</v>
      </c>
      <c r="H940" s="18" t="n">
        <v>1</v>
      </c>
      <c r="I940" s="22" t="n">
        <v>44693</v>
      </c>
      <c r="J940" s="2" t="s">
        <v>981</v>
      </c>
      <c r="L940" s="2" t="n">
        <v>1</v>
      </c>
      <c r="M940" s="2" t="n">
        <v>1</v>
      </c>
      <c r="N940" s="3" t="n">
        <v>45058</v>
      </c>
      <c r="O940" s="64" t="n">
        <v>17</v>
      </c>
      <c r="P940" s="64" t="n">
        <v>3</v>
      </c>
      <c r="Q940" s="62" t="str">
        <f aca="false">IF(ISBLANK(N940),"",IF(N940&lt;DATE(2023,5,1),"OLD","NEW"))</f>
        <v>NEW</v>
      </c>
      <c r="S940" s="33" t="n">
        <f aca="false">IF(COUNTIF('[1]Plate_1-2_LongFormat'!$A$2:$A$193,G940)&gt;0,1,0)</f>
        <v>0</v>
      </c>
      <c r="T940" s="33" t="n">
        <f aca="false">IF(COUNTIF([2]Attached_indexes!$C$2:$C$193,G940)&gt;0,1,0)</f>
        <v>0</v>
      </c>
      <c r="U940" s="59"/>
      <c r="V940" s="1" t="s">
        <v>982</v>
      </c>
    </row>
    <row r="941" customFormat="false" ht="15.75" hidden="false" customHeight="true" outlineLevel="0" collapsed="false">
      <c r="A941" s="18" t="s">
        <v>512</v>
      </c>
      <c r="B941" s="18" t="s">
        <v>512</v>
      </c>
      <c r="C941" s="18" t="s">
        <v>31</v>
      </c>
      <c r="E941" s="66" t="n">
        <v>9</v>
      </c>
      <c r="F941" s="21" t="str">
        <f aca="false">CONCATENATE(B941,"_",C941, TEXT(E941, "000"))</f>
        <v>WCFB_M. laciniatus009</v>
      </c>
      <c r="G941" s="21" t="s">
        <v>528</v>
      </c>
      <c r="H941" s="18" t="n">
        <v>1</v>
      </c>
      <c r="I941" s="22" t="n">
        <v>44693</v>
      </c>
      <c r="J941" s="2" t="s">
        <v>981</v>
      </c>
      <c r="L941" s="2" t="n">
        <v>1</v>
      </c>
      <c r="M941" s="2" t="n">
        <v>1</v>
      </c>
      <c r="N941" s="3" t="n">
        <v>44870</v>
      </c>
      <c r="O941" s="2" t="n">
        <v>7.73</v>
      </c>
      <c r="P941" s="2" t="n">
        <v>1</v>
      </c>
      <c r="Q941" s="62" t="str">
        <f aca="false">IF(ISBLANK(N941),"",IF(N941&lt;DATE(2023,5,1),"OLD","NEW"))</f>
        <v>OLD</v>
      </c>
      <c r="S941" s="33" t="n">
        <f aca="false">IF(COUNTIF('[1]Plate_1-2_LongFormat'!$A$2:$A$193,G941)&gt;0,1,0)</f>
        <v>1</v>
      </c>
      <c r="T941" s="33" t="n">
        <f aca="false">IF(COUNTIF([2]Attached_indexes!$C$2:$C$193,G941)&gt;0,1,0)</f>
        <v>1</v>
      </c>
      <c r="U941" s="59"/>
      <c r="V941" s="1" t="s">
        <v>982</v>
      </c>
    </row>
    <row r="942" customFormat="false" ht="15.75" hidden="false" customHeight="true" outlineLevel="0" collapsed="false">
      <c r="A942" s="18" t="s">
        <v>512</v>
      </c>
      <c r="B942" s="18" t="s">
        <v>512</v>
      </c>
      <c r="C942" s="18" t="s">
        <v>31</v>
      </c>
      <c r="E942" s="66" t="n">
        <v>9</v>
      </c>
      <c r="F942" s="21" t="str">
        <f aca="false">CONCATENATE(B942,"_",C942, TEXT(E942, "000"))</f>
        <v>WCFB_M. laciniatus009</v>
      </c>
      <c r="G942" s="21" t="s">
        <v>528</v>
      </c>
      <c r="H942" s="18" t="n">
        <v>1</v>
      </c>
      <c r="I942" s="22" t="n">
        <v>44693</v>
      </c>
      <c r="J942" s="2" t="s">
        <v>981</v>
      </c>
      <c r="L942" s="2" t="n">
        <v>1</v>
      </c>
      <c r="M942" s="2" t="n">
        <v>1</v>
      </c>
      <c r="N942" s="3" t="n">
        <v>44870</v>
      </c>
      <c r="O942" s="2" t="n">
        <v>7.73</v>
      </c>
      <c r="P942" s="2" t="n">
        <v>1</v>
      </c>
      <c r="Q942" s="62" t="str">
        <f aca="false">IF(ISBLANK(N942),"",IF(N942&lt;DATE(2023,5,1),"OLD","NEW"))</f>
        <v>OLD</v>
      </c>
      <c r="S942" s="33" t="n">
        <f aca="false">IF(COUNTIF('[1]Plate_1-2_LongFormat'!$A$2:$A$193,G942)&gt;0,1,0)</f>
        <v>1</v>
      </c>
      <c r="T942" s="33" t="n">
        <f aca="false">IF(COUNTIF([2]Attached_indexes!$C$2:$C$193,G942)&gt;0,1,0)</f>
        <v>1</v>
      </c>
      <c r="U942" s="59"/>
      <c r="V942" s="1" t="s">
        <v>982</v>
      </c>
    </row>
    <row r="943" customFormat="false" ht="15.75" hidden="false" customHeight="true" outlineLevel="0" collapsed="false">
      <c r="A943" s="18" t="s">
        <v>512</v>
      </c>
      <c r="B943" s="18" t="s">
        <v>512</v>
      </c>
      <c r="C943" s="18" t="s">
        <v>31</v>
      </c>
      <c r="E943" s="66" t="n">
        <v>9</v>
      </c>
      <c r="F943" s="21" t="str">
        <f aca="false">CONCATENATE(B943,"_",C943, TEXT(E943, "000"))</f>
        <v>WCFB_M. laciniatus009</v>
      </c>
      <c r="G943" s="21" t="s">
        <v>528</v>
      </c>
      <c r="H943" s="18" t="n">
        <v>1</v>
      </c>
      <c r="I943" s="22" t="n">
        <v>44693</v>
      </c>
      <c r="J943" s="2" t="s">
        <v>981</v>
      </c>
      <c r="L943" s="2" t="n">
        <v>1</v>
      </c>
      <c r="M943" s="2" t="n">
        <v>1</v>
      </c>
      <c r="N943" s="3" t="n">
        <v>44870</v>
      </c>
      <c r="O943" s="2" t="n">
        <v>7.73</v>
      </c>
      <c r="P943" s="2" t="n">
        <v>1</v>
      </c>
      <c r="Q943" s="62" t="str">
        <f aca="false">IF(ISBLANK(N943),"",IF(N943&lt;DATE(2023,5,1),"OLD","NEW"))</f>
        <v>OLD</v>
      </c>
      <c r="S943" s="33" t="n">
        <f aca="false">IF(COUNTIF('[1]Plate_1-2_LongFormat'!$A$2:$A$193,G943)&gt;0,1,0)</f>
        <v>1</v>
      </c>
      <c r="T943" s="33" t="n">
        <f aca="false">IF(COUNTIF([2]Attached_indexes!$C$2:$C$193,G943)&gt;0,1,0)</f>
        <v>1</v>
      </c>
      <c r="U943" s="59"/>
      <c r="V943" s="1" t="s">
        <v>982</v>
      </c>
    </row>
    <row r="944" customFormat="false" ht="15.75" hidden="false" customHeight="true" outlineLevel="0" collapsed="false">
      <c r="A944" s="18" t="s">
        <v>635</v>
      </c>
      <c r="B944" s="18" t="s">
        <v>635</v>
      </c>
      <c r="C944" s="18" t="s">
        <v>40</v>
      </c>
      <c r="E944" s="66" t="n">
        <v>1</v>
      </c>
      <c r="F944" s="21" t="str">
        <f aca="false">CONCATENATE(B944,"_",C944, TEXT(E944, "000"))</f>
        <v>WSHB_M. guttatus001</v>
      </c>
      <c r="G944" s="21" t="s">
        <v>636</v>
      </c>
      <c r="H944" s="18" t="n">
        <v>1</v>
      </c>
      <c r="I944" s="22" t="n">
        <v>44707</v>
      </c>
      <c r="J944" s="2" t="s">
        <v>981</v>
      </c>
      <c r="L944" s="2" t="n">
        <v>1</v>
      </c>
      <c r="M944" s="2" t="n">
        <v>1</v>
      </c>
      <c r="N944" s="3" t="n">
        <v>44914</v>
      </c>
      <c r="O944" s="2" t="n">
        <v>7.6</v>
      </c>
      <c r="P944" s="2" t="n">
        <v>2</v>
      </c>
      <c r="Q944" s="62" t="str">
        <f aca="false">IF(ISBLANK(N944),"",IF(N944&lt;DATE(2023,5,1),"OLD","NEW"))</f>
        <v>OLD</v>
      </c>
      <c r="S944" s="33" t="n">
        <f aca="false">IF(COUNTIF('[1]Plate_1-2_LongFormat'!$A$2:$A$193,G944)&gt;0,1,0)</f>
        <v>1</v>
      </c>
      <c r="T944" s="33" t="n">
        <f aca="false">IF(COUNTIF([2]Attached_indexes!$C$2:$C$193,G944)&gt;0,1,0)</f>
        <v>1</v>
      </c>
      <c r="U944" s="59"/>
      <c r="V944" s="1" t="s">
        <v>982</v>
      </c>
    </row>
    <row r="945" customFormat="false" ht="15.75" hidden="false" customHeight="true" outlineLevel="0" collapsed="false">
      <c r="A945" s="18" t="s">
        <v>635</v>
      </c>
      <c r="B945" s="18" t="s">
        <v>635</v>
      </c>
      <c r="C945" s="18" t="s">
        <v>40</v>
      </c>
      <c r="E945" s="66" t="n">
        <v>1</v>
      </c>
      <c r="F945" s="21" t="str">
        <f aca="false">CONCATENATE(B945,"_",C945, TEXT(E945, "000"))</f>
        <v>WSHB_M. guttatus001</v>
      </c>
      <c r="G945" s="21" t="s">
        <v>636</v>
      </c>
      <c r="H945" s="18" t="n">
        <v>1</v>
      </c>
      <c r="I945" s="22" t="n">
        <v>44707</v>
      </c>
      <c r="J945" s="2" t="s">
        <v>981</v>
      </c>
      <c r="L945" s="2" t="n">
        <v>1</v>
      </c>
      <c r="M945" s="2" t="n">
        <v>1</v>
      </c>
      <c r="N945" s="3" t="n">
        <v>44914</v>
      </c>
      <c r="O945" s="2" t="n">
        <v>7.6</v>
      </c>
      <c r="P945" s="2" t="n">
        <v>2</v>
      </c>
      <c r="Q945" s="62" t="str">
        <f aca="false">IF(ISBLANK(N945),"",IF(N945&lt;DATE(2023,5,1),"OLD","NEW"))</f>
        <v>OLD</v>
      </c>
      <c r="S945" s="33" t="n">
        <f aca="false">IF(COUNTIF('[1]Plate_1-2_LongFormat'!$A$2:$A$193,G945)&gt;0,1,0)</f>
        <v>1</v>
      </c>
      <c r="T945" s="33" t="n">
        <f aca="false">IF(COUNTIF([2]Attached_indexes!$C$2:$C$193,G945)&gt;0,1,0)</f>
        <v>1</v>
      </c>
      <c r="U945" s="59"/>
      <c r="V945" s="1" t="s">
        <v>982</v>
      </c>
    </row>
    <row r="946" customFormat="false" ht="15.75" hidden="false" customHeight="true" outlineLevel="0" collapsed="false">
      <c r="A946" s="18" t="s">
        <v>635</v>
      </c>
      <c r="B946" s="18" t="s">
        <v>635</v>
      </c>
      <c r="C946" s="18" t="s">
        <v>40</v>
      </c>
      <c r="E946" s="66" t="n">
        <v>1</v>
      </c>
      <c r="F946" s="21" t="str">
        <f aca="false">CONCATENATE(B946,"_",C946, TEXT(E946, "000"))</f>
        <v>WSHB_M. guttatus001</v>
      </c>
      <c r="G946" s="21" t="s">
        <v>636</v>
      </c>
      <c r="H946" s="18" t="n">
        <v>1</v>
      </c>
      <c r="I946" s="22" t="n">
        <v>44707</v>
      </c>
      <c r="J946" s="2" t="s">
        <v>981</v>
      </c>
      <c r="L946" s="2" t="n">
        <v>1</v>
      </c>
      <c r="M946" s="2" t="n">
        <v>1</v>
      </c>
      <c r="N946" s="3" t="n">
        <v>44914</v>
      </c>
      <c r="O946" s="2" t="n">
        <v>7.6</v>
      </c>
      <c r="P946" s="2" t="n">
        <v>2</v>
      </c>
      <c r="Q946" s="62" t="str">
        <f aca="false">IF(ISBLANK(N946),"",IF(N946&lt;DATE(2023,5,1),"OLD","NEW"))</f>
        <v>OLD</v>
      </c>
      <c r="S946" s="33" t="n">
        <f aca="false">IF(COUNTIF('[1]Plate_1-2_LongFormat'!$A$2:$A$193,G946)&gt;0,1,0)</f>
        <v>1</v>
      </c>
      <c r="T946" s="33" t="n">
        <f aca="false">IF(COUNTIF([2]Attached_indexes!$C$2:$C$193,G946)&gt;0,1,0)</f>
        <v>1</v>
      </c>
      <c r="U946" s="59"/>
      <c r="V946" s="1" t="s">
        <v>982</v>
      </c>
    </row>
    <row r="947" customFormat="false" ht="15.75" hidden="false" customHeight="true" outlineLevel="0" collapsed="false">
      <c r="A947" s="18" t="s">
        <v>635</v>
      </c>
      <c r="B947" s="18" t="s">
        <v>635</v>
      </c>
      <c r="C947" s="18" t="s">
        <v>40</v>
      </c>
      <c r="E947" s="66" t="n">
        <v>10</v>
      </c>
      <c r="F947" s="21" t="str">
        <f aca="false">CONCATENATE(B947,"_",C947, TEXT(E947, "000"))</f>
        <v>WSHB_M. guttatus010</v>
      </c>
      <c r="G947" s="21" t="s">
        <v>652</v>
      </c>
      <c r="H947" s="18" t="n">
        <v>1</v>
      </c>
      <c r="I947" s="22" t="n">
        <v>44707</v>
      </c>
      <c r="J947" s="2" t="s">
        <v>981</v>
      </c>
      <c r="L947" s="2" t="n">
        <v>1</v>
      </c>
      <c r="M947" s="2" t="n">
        <v>1</v>
      </c>
      <c r="N947" s="3" t="n">
        <v>44834</v>
      </c>
      <c r="O947" s="2" t="n">
        <v>2.43</v>
      </c>
      <c r="P947" s="2" t="n">
        <v>1</v>
      </c>
      <c r="Q947" s="62" t="str">
        <f aca="false">IF(ISBLANK(N947),"",IF(N947&lt;DATE(2023,5,1),"OLD","NEW"))</f>
        <v>OLD</v>
      </c>
      <c r="S947" s="33" t="n">
        <f aca="false">IF(COUNTIF('[1]Plate_1-2_LongFormat'!$A$2:$A$193,G947)&gt;0,1,0)</f>
        <v>1</v>
      </c>
      <c r="T947" s="33" t="n">
        <f aca="false">IF(COUNTIF([2]Attached_indexes!$C$2:$C$193,G947)&gt;0,1,0)</f>
        <v>1</v>
      </c>
      <c r="U947" s="59"/>
      <c r="V947" s="1" t="s">
        <v>982</v>
      </c>
    </row>
    <row r="948" customFormat="false" ht="15.75" hidden="false" customHeight="true" outlineLevel="0" collapsed="false">
      <c r="A948" s="18" t="s">
        <v>635</v>
      </c>
      <c r="B948" s="18" t="s">
        <v>635</v>
      </c>
      <c r="C948" s="18" t="s">
        <v>40</v>
      </c>
      <c r="E948" s="66" t="n">
        <v>10</v>
      </c>
      <c r="F948" s="21" t="str">
        <f aca="false">CONCATENATE(B948,"_",C948, TEXT(E948, "000"))</f>
        <v>WSHB_M. guttatus010</v>
      </c>
      <c r="G948" s="21" t="s">
        <v>652</v>
      </c>
      <c r="H948" s="18" t="n">
        <v>1</v>
      </c>
      <c r="I948" s="22" t="n">
        <v>44707</v>
      </c>
      <c r="J948" s="2" t="s">
        <v>981</v>
      </c>
      <c r="L948" s="2" t="n">
        <v>1</v>
      </c>
      <c r="M948" s="2" t="n">
        <v>1</v>
      </c>
      <c r="N948" s="3" t="n">
        <v>44834</v>
      </c>
      <c r="O948" s="2" t="n">
        <v>2.43</v>
      </c>
      <c r="P948" s="2" t="n">
        <v>1</v>
      </c>
      <c r="Q948" s="62" t="str">
        <f aca="false">IF(ISBLANK(N948),"",IF(N948&lt;DATE(2023,5,1),"OLD","NEW"))</f>
        <v>OLD</v>
      </c>
      <c r="S948" s="33" t="n">
        <f aca="false">IF(COUNTIF('[1]Plate_1-2_LongFormat'!$A$2:$A$193,G948)&gt;0,1,0)</f>
        <v>1</v>
      </c>
      <c r="T948" s="33" t="n">
        <f aca="false">IF(COUNTIF([2]Attached_indexes!$C$2:$C$193,G948)&gt;0,1,0)</f>
        <v>1</v>
      </c>
      <c r="U948" s="59"/>
      <c r="V948" s="1" t="s">
        <v>982</v>
      </c>
    </row>
    <row r="949" customFormat="false" ht="15.75" hidden="false" customHeight="true" outlineLevel="0" collapsed="false">
      <c r="A949" s="18" t="s">
        <v>635</v>
      </c>
      <c r="B949" s="18" t="s">
        <v>635</v>
      </c>
      <c r="C949" s="18" t="s">
        <v>40</v>
      </c>
      <c r="E949" s="66" t="n">
        <v>10</v>
      </c>
      <c r="F949" s="21" t="str">
        <f aca="false">CONCATENATE(B949,"_",C949, TEXT(E949, "000"))</f>
        <v>WSHB_M. guttatus010</v>
      </c>
      <c r="G949" s="21" t="s">
        <v>652</v>
      </c>
      <c r="H949" s="18" t="n">
        <v>1</v>
      </c>
      <c r="I949" s="22" t="n">
        <v>44707</v>
      </c>
      <c r="J949" s="2" t="s">
        <v>981</v>
      </c>
      <c r="L949" s="2" t="n">
        <v>1</v>
      </c>
      <c r="M949" s="2" t="n">
        <v>1</v>
      </c>
      <c r="N949" s="3" t="n">
        <v>44834</v>
      </c>
      <c r="O949" s="2" t="n">
        <v>2.43</v>
      </c>
      <c r="P949" s="2" t="n">
        <v>1</v>
      </c>
      <c r="Q949" s="62" t="str">
        <f aca="false">IF(ISBLANK(N949),"",IF(N949&lt;DATE(2023,5,1),"OLD","NEW"))</f>
        <v>OLD</v>
      </c>
      <c r="S949" s="33" t="n">
        <f aca="false">IF(COUNTIF('[1]Plate_1-2_LongFormat'!$A$2:$A$193,G949)&gt;0,1,0)</f>
        <v>1</v>
      </c>
      <c r="T949" s="33" t="n">
        <f aca="false">IF(COUNTIF([2]Attached_indexes!$C$2:$C$193,G949)&gt;0,1,0)</f>
        <v>1</v>
      </c>
      <c r="U949" s="59"/>
      <c r="V949" s="1" t="s">
        <v>982</v>
      </c>
    </row>
    <row r="950" customFormat="false" ht="15.75" hidden="false" customHeight="true" outlineLevel="0" collapsed="false">
      <c r="A950" s="18" t="s">
        <v>635</v>
      </c>
      <c r="B950" s="18" t="s">
        <v>635</v>
      </c>
      <c r="C950" s="18" t="s">
        <v>40</v>
      </c>
      <c r="E950" s="66" t="n">
        <v>11</v>
      </c>
      <c r="F950" s="21" t="str">
        <f aca="false">CONCATENATE(B950,"_",C950, TEXT(E950, "000"))</f>
        <v>WSHB_M. guttatus011</v>
      </c>
      <c r="G950" s="21" t="s">
        <v>653</v>
      </c>
      <c r="H950" s="18" t="n">
        <v>1</v>
      </c>
      <c r="I950" s="22" t="n">
        <v>44707</v>
      </c>
      <c r="J950" s="2" t="s">
        <v>981</v>
      </c>
      <c r="L950" s="2" t="n">
        <v>1</v>
      </c>
      <c r="M950" s="2" t="n">
        <v>0</v>
      </c>
      <c r="N950" s="3"/>
      <c r="Q950" s="62" t="str">
        <f aca="false">IF(ISBLANK(N950),"",IF(N950&lt;DATE(2023,5,1),"OLD","NEW"))</f>
        <v/>
      </c>
      <c r="S950" s="33" t="n">
        <f aca="false">IF(COUNTIF('[1]Plate_1-2_LongFormat'!$A$2:$A$193,G950)&gt;0,1,0)</f>
        <v>0</v>
      </c>
      <c r="T950" s="33" t="n">
        <f aca="false">IF(COUNTIF([2]Attached_indexes!$C$2:$C$193,G950)&gt;0,1,0)</f>
        <v>0</v>
      </c>
      <c r="U950" s="59"/>
      <c r="V950" s="1" t="s">
        <v>982</v>
      </c>
    </row>
    <row r="951" customFormat="false" ht="15.75" hidden="false" customHeight="true" outlineLevel="0" collapsed="false">
      <c r="A951" s="18" t="s">
        <v>635</v>
      </c>
      <c r="B951" s="18" t="s">
        <v>635</v>
      </c>
      <c r="C951" s="18" t="s">
        <v>40</v>
      </c>
      <c r="E951" s="66" t="n">
        <v>11</v>
      </c>
      <c r="F951" s="21" t="str">
        <f aca="false">CONCATENATE(B951,"_",C951, TEXT(E951, "000"))</f>
        <v>WSHB_M. guttatus011</v>
      </c>
      <c r="G951" s="21" t="s">
        <v>653</v>
      </c>
      <c r="H951" s="18" t="n">
        <v>1</v>
      </c>
      <c r="I951" s="22" t="n">
        <v>44707</v>
      </c>
      <c r="J951" s="2" t="s">
        <v>981</v>
      </c>
      <c r="L951" s="2" t="n">
        <v>1</v>
      </c>
      <c r="M951" s="2" t="n">
        <v>0</v>
      </c>
      <c r="N951" s="3"/>
      <c r="Q951" s="62" t="str">
        <f aca="false">IF(ISBLANK(N951),"",IF(N951&lt;DATE(2023,5,1),"OLD","NEW"))</f>
        <v/>
      </c>
      <c r="S951" s="33" t="n">
        <f aca="false">IF(COUNTIF('[1]Plate_1-2_LongFormat'!$A$2:$A$193,G951)&gt;0,1,0)</f>
        <v>0</v>
      </c>
      <c r="T951" s="33" t="n">
        <f aca="false">IF(COUNTIF([2]Attached_indexes!$C$2:$C$193,G951)&gt;0,1,0)</f>
        <v>0</v>
      </c>
      <c r="U951" s="59"/>
      <c r="V951" s="1" t="s">
        <v>982</v>
      </c>
    </row>
    <row r="952" customFormat="false" ht="15.75" hidden="false" customHeight="true" outlineLevel="0" collapsed="false">
      <c r="A952" s="18" t="s">
        <v>635</v>
      </c>
      <c r="B952" s="18" t="s">
        <v>635</v>
      </c>
      <c r="C952" s="18" t="s">
        <v>40</v>
      </c>
      <c r="E952" s="66" t="n">
        <v>11</v>
      </c>
      <c r="F952" s="21" t="str">
        <f aca="false">CONCATENATE(B952,"_",C952, TEXT(E952, "000"))</f>
        <v>WSHB_M. guttatus011</v>
      </c>
      <c r="G952" s="21" t="s">
        <v>653</v>
      </c>
      <c r="H952" s="18" t="n">
        <v>1</v>
      </c>
      <c r="I952" s="22" t="n">
        <v>44707</v>
      </c>
      <c r="J952" s="2" t="s">
        <v>981</v>
      </c>
      <c r="L952" s="2" t="n">
        <v>1</v>
      </c>
      <c r="M952" s="2" t="n">
        <v>0</v>
      </c>
      <c r="N952" s="3"/>
      <c r="Q952" s="62" t="str">
        <f aca="false">IF(ISBLANK(N952),"",IF(N952&lt;DATE(2023,5,1),"OLD","NEW"))</f>
        <v/>
      </c>
      <c r="S952" s="33" t="n">
        <f aca="false">IF(COUNTIF('[1]Plate_1-2_LongFormat'!$A$2:$A$193,G952)&gt;0,1,0)</f>
        <v>0</v>
      </c>
      <c r="T952" s="33" t="n">
        <f aca="false">IF(COUNTIF([2]Attached_indexes!$C$2:$C$193,G952)&gt;0,1,0)</f>
        <v>0</v>
      </c>
      <c r="U952" s="59"/>
      <c r="V952" s="1" t="s">
        <v>982</v>
      </c>
    </row>
    <row r="953" customFormat="false" ht="15.75" hidden="false" customHeight="true" outlineLevel="0" collapsed="false">
      <c r="A953" s="18" t="s">
        <v>635</v>
      </c>
      <c r="B953" s="18" t="s">
        <v>635</v>
      </c>
      <c r="C953" s="18" t="s">
        <v>40</v>
      </c>
      <c r="E953" s="66" t="n">
        <v>2</v>
      </c>
      <c r="F953" s="21" t="str">
        <f aca="false">CONCATENATE(B953,"_",C953, TEXT(E953, "000"))</f>
        <v>WSHB_M. guttatus002</v>
      </c>
      <c r="G953" s="21" t="s">
        <v>638</v>
      </c>
      <c r="H953" s="18" t="n">
        <v>1</v>
      </c>
      <c r="I953" s="22" t="n">
        <v>44707</v>
      </c>
      <c r="J953" s="2" t="s">
        <v>981</v>
      </c>
      <c r="L953" s="2" t="n">
        <v>1</v>
      </c>
      <c r="M953" s="2" t="n">
        <v>1</v>
      </c>
      <c r="N953" s="3" t="n">
        <v>44870</v>
      </c>
      <c r="O953" s="2" t="n">
        <v>1.74</v>
      </c>
      <c r="P953" s="2" t="n">
        <v>1</v>
      </c>
      <c r="Q953" s="62" t="str">
        <f aca="false">IF(ISBLANK(N953),"",IF(N953&lt;DATE(2023,5,1),"OLD","NEW"))</f>
        <v>OLD</v>
      </c>
      <c r="S953" s="33" t="n">
        <f aca="false">IF(COUNTIF('[1]Plate_1-2_LongFormat'!$A$2:$A$193,G953)&gt;0,1,0)</f>
        <v>1</v>
      </c>
      <c r="T953" s="33" t="n">
        <f aca="false">IF(COUNTIF([2]Attached_indexes!$C$2:$C$193,G953)&gt;0,1,0)</f>
        <v>1</v>
      </c>
      <c r="U953" s="59"/>
      <c r="V953" s="1" t="s">
        <v>982</v>
      </c>
    </row>
    <row r="954" customFormat="false" ht="15.75" hidden="false" customHeight="true" outlineLevel="0" collapsed="false">
      <c r="A954" s="18" t="s">
        <v>635</v>
      </c>
      <c r="B954" s="18" t="s">
        <v>635</v>
      </c>
      <c r="C954" s="18" t="s">
        <v>40</v>
      </c>
      <c r="E954" s="66" t="n">
        <v>2</v>
      </c>
      <c r="F954" s="21" t="str">
        <f aca="false">CONCATENATE(B954,"_",C954, TEXT(E954, "000"))</f>
        <v>WSHB_M. guttatus002</v>
      </c>
      <c r="G954" s="21" t="s">
        <v>638</v>
      </c>
      <c r="H954" s="18" t="n">
        <v>1</v>
      </c>
      <c r="I954" s="22" t="n">
        <v>44707</v>
      </c>
      <c r="J954" s="2" t="s">
        <v>981</v>
      </c>
      <c r="L954" s="2" t="n">
        <v>1</v>
      </c>
      <c r="M954" s="2" t="n">
        <v>1</v>
      </c>
      <c r="N954" s="3" t="n">
        <v>44870</v>
      </c>
      <c r="O954" s="2" t="n">
        <v>1.74</v>
      </c>
      <c r="P954" s="2" t="n">
        <v>1</v>
      </c>
      <c r="Q954" s="62" t="str">
        <f aca="false">IF(ISBLANK(N954),"",IF(N954&lt;DATE(2023,5,1),"OLD","NEW"))</f>
        <v>OLD</v>
      </c>
      <c r="S954" s="33" t="n">
        <f aca="false">IF(COUNTIF('[1]Plate_1-2_LongFormat'!$A$2:$A$193,G954)&gt;0,1,0)</f>
        <v>1</v>
      </c>
      <c r="T954" s="33" t="n">
        <f aca="false">IF(COUNTIF([2]Attached_indexes!$C$2:$C$193,G954)&gt;0,1,0)</f>
        <v>1</v>
      </c>
      <c r="U954" s="59"/>
      <c r="V954" s="1" t="s">
        <v>982</v>
      </c>
    </row>
    <row r="955" customFormat="false" ht="15.75" hidden="false" customHeight="true" outlineLevel="0" collapsed="false">
      <c r="A955" s="18" t="s">
        <v>635</v>
      </c>
      <c r="B955" s="18" t="s">
        <v>635</v>
      </c>
      <c r="C955" s="18" t="s">
        <v>40</v>
      </c>
      <c r="E955" s="66" t="n">
        <v>2</v>
      </c>
      <c r="F955" s="21" t="str">
        <f aca="false">CONCATENATE(B955,"_",C955, TEXT(E955, "000"))</f>
        <v>WSHB_M. guttatus002</v>
      </c>
      <c r="G955" s="21" t="s">
        <v>638</v>
      </c>
      <c r="H955" s="18" t="n">
        <v>1</v>
      </c>
      <c r="I955" s="22" t="n">
        <v>44707</v>
      </c>
      <c r="J955" s="2" t="s">
        <v>981</v>
      </c>
      <c r="L955" s="2" t="n">
        <v>1</v>
      </c>
      <c r="M955" s="2" t="n">
        <v>1</v>
      </c>
      <c r="N955" s="3" t="n">
        <v>44870</v>
      </c>
      <c r="O955" s="2" t="n">
        <v>1.74</v>
      </c>
      <c r="P955" s="2" t="n">
        <v>1</v>
      </c>
      <c r="Q955" s="62" t="str">
        <f aca="false">IF(ISBLANK(N955),"",IF(N955&lt;DATE(2023,5,1),"OLD","NEW"))</f>
        <v>OLD</v>
      </c>
      <c r="S955" s="33" t="n">
        <f aca="false">IF(COUNTIF('[1]Plate_1-2_LongFormat'!$A$2:$A$193,G955)&gt;0,1,0)</f>
        <v>1</v>
      </c>
      <c r="T955" s="33" t="n">
        <f aca="false">IF(COUNTIF([2]Attached_indexes!$C$2:$C$193,G955)&gt;0,1,0)</f>
        <v>1</v>
      </c>
      <c r="U955" s="59"/>
      <c r="V955" s="1" t="s">
        <v>982</v>
      </c>
    </row>
    <row r="956" customFormat="false" ht="15.75" hidden="false" customHeight="true" outlineLevel="0" collapsed="false">
      <c r="A956" s="18" t="s">
        <v>635</v>
      </c>
      <c r="B956" s="18" t="s">
        <v>635</v>
      </c>
      <c r="C956" s="18" t="s">
        <v>40</v>
      </c>
      <c r="E956" s="66" t="n">
        <v>3</v>
      </c>
      <c r="F956" s="21" t="str">
        <f aca="false">CONCATENATE(B956,"_",C956, TEXT(E956, "000"))</f>
        <v>WSHB_M. guttatus003</v>
      </c>
      <c r="G956" s="21" t="s">
        <v>640</v>
      </c>
      <c r="H956" s="18" t="n">
        <v>1</v>
      </c>
      <c r="I956" s="22" t="n">
        <v>44707</v>
      </c>
      <c r="J956" s="2" t="s">
        <v>981</v>
      </c>
      <c r="L956" s="2" t="n">
        <v>1</v>
      </c>
      <c r="M956" s="2" t="n">
        <v>1</v>
      </c>
      <c r="N956" s="3" t="n">
        <v>44870</v>
      </c>
      <c r="O956" s="2" t="n">
        <v>2.27</v>
      </c>
      <c r="P956" s="2" t="n">
        <v>1</v>
      </c>
      <c r="Q956" s="62" t="str">
        <f aca="false">IF(ISBLANK(N956),"",IF(N956&lt;DATE(2023,5,1),"OLD","NEW"))</f>
        <v>OLD</v>
      </c>
      <c r="S956" s="33" t="n">
        <f aca="false">IF(COUNTIF('[1]Plate_1-2_LongFormat'!$A$2:$A$193,G956)&gt;0,1,0)</f>
        <v>1</v>
      </c>
      <c r="T956" s="33" t="n">
        <f aca="false">IF(COUNTIF([2]Attached_indexes!$C$2:$C$193,G956)&gt;0,1,0)</f>
        <v>1</v>
      </c>
      <c r="U956" s="59"/>
      <c r="V956" s="1" t="s">
        <v>982</v>
      </c>
    </row>
    <row r="957" customFormat="false" ht="15.75" hidden="false" customHeight="true" outlineLevel="0" collapsed="false">
      <c r="A957" s="18" t="s">
        <v>635</v>
      </c>
      <c r="B957" s="18" t="s">
        <v>635</v>
      </c>
      <c r="C957" s="18" t="s">
        <v>40</v>
      </c>
      <c r="E957" s="66" t="n">
        <v>3</v>
      </c>
      <c r="F957" s="21" t="str">
        <f aca="false">CONCATENATE(B957,"_",C957, TEXT(E957, "000"))</f>
        <v>WSHB_M. guttatus003</v>
      </c>
      <c r="G957" s="21" t="s">
        <v>640</v>
      </c>
      <c r="H957" s="18" t="n">
        <v>1</v>
      </c>
      <c r="I957" s="22" t="n">
        <v>44707</v>
      </c>
      <c r="J957" s="2" t="s">
        <v>981</v>
      </c>
      <c r="K957" s="61"/>
      <c r="L957" s="2" t="n">
        <v>1</v>
      </c>
      <c r="M957" s="2" t="n">
        <v>1</v>
      </c>
      <c r="N957" s="3" t="n">
        <v>44870</v>
      </c>
      <c r="O957" s="2" t="n">
        <v>2.27</v>
      </c>
      <c r="P957" s="2" t="n">
        <v>1</v>
      </c>
      <c r="Q957" s="62" t="str">
        <f aca="false">IF(ISBLANK(N957),"",IF(N957&lt;DATE(2023,5,1),"OLD","NEW"))</f>
        <v>OLD</v>
      </c>
      <c r="S957" s="33" t="n">
        <f aca="false">IF(COUNTIF('[1]Plate_1-2_LongFormat'!$A$2:$A$193,G957)&gt;0,1,0)</f>
        <v>1</v>
      </c>
      <c r="T957" s="33" t="n">
        <f aca="false">IF(COUNTIF([2]Attached_indexes!$C$2:$C$193,G957)&gt;0,1,0)</f>
        <v>1</v>
      </c>
      <c r="U957" s="59"/>
      <c r="V957" s="1" t="s">
        <v>982</v>
      </c>
    </row>
    <row r="958" customFormat="false" ht="15.75" hidden="false" customHeight="true" outlineLevel="0" collapsed="false">
      <c r="A958" s="18" t="s">
        <v>635</v>
      </c>
      <c r="B958" s="18" t="s">
        <v>635</v>
      </c>
      <c r="C958" s="18" t="s">
        <v>40</v>
      </c>
      <c r="D958" s="2"/>
      <c r="E958" s="66" t="n">
        <v>3</v>
      </c>
      <c r="F958" s="21" t="str">
        <f aca="false">CONCATENATE(B958,"_",C958, TEXT(E958, "000"))</f>
        <v>WSHB_M. guttatus003</v>
      </c>
      <c r="G958" s="21" t="s">
        <v>640</v>
      </c>
      <c r="H958" s="18" t="n">
        <v>1</v>
      </c>
      <c r="I958" s="22" t="n">
        <v>44707</v>
      </c>
      <c r="J958" s="2" t="s">
        <v>981</v>
      </c>
      <c r="K958" s="61"/>
      <c r="L958" s="2" t="n">
        <v>1</v>
      </c>
      <c r="M958" s="2" t="n">
        <v>1</v>
      </c>
      <c r="N958" s="3" t="n">
        <v>44870</v>
      </c>
      <c r="O958" s="2" t="n">
        <v>2.27</v>
      </c>
      <c r="P958" s="2" t="n">
        <v>1</v>
      </c>
      <c r="Q958" s="62" t="str">
        <f aca="false">IF(ISBLANK(N958),"",IF(N958&lt;DATE(2023,5,1),"OLD","NEW"))</f>
        <v>OLD</v>
      </c>
      <c r="S958" s="33" t="n">
        <f aca="false">IF(COUNTIF('[1]Plate_1-2_LongFormat'!$A$2:$A$193,G958)&gt;0,1,0)</f>
        <v>1</v>
      </c>
      <c r="T958" s="33" t="n">
        <f aca="false">IF(COUNTIF([2]Attached_indexes!$C$2:$C$193,G958)&gt;0,1,0)</f>
        <v>1</v>
      </c>
      <c r="U958" s="59"/>
      <c r="V958" s="1" t="s">
        <v>982</v>
      </c>
    </row>
    <row r="959" customFormat="false" ht="15.75" hidden="false" customHeight="true" outlineLevel="0" collapsed="false">
      <c r="A959" s="18" t="s">
        <v>635</v>
      </c>
      <c r="B959" s="18" t="s">
        <v>635</v>
      </c>
      <c r="C959" s="18" t="s">
        <v>40</v>
      </c>
      <c r="D959" s="2"/>
      <c r="E959" s="66" t="n">
        <v>4</v>
      </c>
      <c r="F959" s="21" t="str">
        <f aca="false">CONCATENATE(B959,"_",C959, TEXT(E959, "000"))</f>
        <v>WSHB_M. guttatus004</v>
      </c>
      <c r="G959" s="21" t="s">
        <v>641</v>
      </c>
      <c r="H959" s="18" t="n">
        <v>1</v>
      </c>
      <c r="I959" s="22" t="n">
        <v>44707</v>
      </c>
      <c r="J959" s="2" t="s">
        <v>981</v>
      </c>
      <c r="K959" s="61"/>
      <c r="L959" s="2" t="n">
        <v>1</v>
      </c>
      <c r="M959" s="2" t="n">
        <v>1</v>
      </c>
      <c r="N959" s="3" t="n">
        <v>44842</v>
      </c>
      <c r="O959" s="2" t="n">
        <v>0.235</v>
      </c>
      <c r="Q959" s="62" t="str">
        <f aca="false">IF(ISBLANK(N959),"",IF(N959&lt;DATE(2023,5,1),"OLD","NEW"))</f>
        <v>OLD</v>
      </c>
      <c r="S959" s="33" t="n">
        <f aca="false">IF(COUNTIF('[1]Plate_1-2_LongFormat'!$A$2:$A$193,G959)&gt;0,1,0)</f>
        <v>1</v>
      </c>
      <c r="T959" s="33" t="n">
        <f aca="false">IF(COUNTIF([2]Attached_indexes!$C$2:$C$193,G959)&gt;0,1,0)</f>
        <v>1</v>
      </c>
      <c r="U959" s="59"/>
      <c r="V959" s="1" t="s">
        <v>982</v>
      </c>
    </row>
    <row r="960" customFormat="false" ht="15.75" hidden="false" customHeight="true" outlineLevel="0" collapsed="false">
      <c r="A960" s="18" t="s">
        <v>635</v>
      </c>
      <c r="B960" s="18" t="s">
        <v>635</v>
      </c>
      <c r="C960" s="18" t="s">
        <v>40</v>
      </c>
      <c r="D960" s="2"/>
      <c r="E960" s="66" t="n">
        <v>4</v>
      </c>
      <c r="F960" s="21" t="str">
        <f aca="false">CONCATENATE(B960,"_",C960, TEXT(E960, "000"))</f>
        <v>WSHB_M. guttatus004</v>
      </c>
      <c r="G960" s="21" t="s">
        <v>641</v>
      </c>
      <c r="H960" s="18" t="n">
        <v>1</v>
      </c>
      <c r="I960" s="22" t="n">
        <v>44707</v>
      </c>
      <c r="J960" s="2" t="s">
        <v>981</v>
      </c>
      <c r="K960" s="61"/>
      <c r="L960" s="2" t="n">
        <v>1</v>
      </c>
      <c r="M960" s="2" t="n">
        <v>1</v>
      </c>
      <c r="N960" s="3" t="n">
        <v>44842</v>
      </c>
      <c r="O960" s="2" t="n">
        <v>0.235</v>
      </c>
      <c r="Q960" s="62" t="str">
        <f aca="false">IF(ISBLANK(N960),"",IF(N960&lt;DATE(2023,5,1),"OLD","NEW"))</f>
        <v>OLD</v>
      </c>
      <c r="S960" s="33" t="n">
        <f aca="false">IF(COUNTIF('[1]Plate_1-2_LongFormat'!$A$2:$A$193,G960)&gt;0,1,0)</f>
        <v>1</v>
      </c>
      <c r="T960" s="33" t="n">
        <f aca="false">IF(COUNTIF([2]Attached_indexes!$C$2:$C$193,G960)&gt;0,1,0)</f>
        <v>1</v>
      </c>
      <c r="U960" s="59"/>
      <c r="V960" s="1" t="s">
        <v>982</v>
      </c>
    </row>
    <row r="961" customFormat="false" ht="15.75" hidden="false" customHeight="true" outlineLevel="0" collapsed="false">
      <c r="A961" s="18" t="s">
        <v>635</v>
      </c>
      <c r="B961" s="18" t="s">
        <v>635</v>
      </c>
      <c r="C961" s="18" t="s">
        <v>40</v>
      </c>
      <c r="E961" s="66" t="n">
        <v>4</v>
      </c>
      <c r="F961" s="21" t="str">
        <f aca="false">CONCATENATE(B961,"_",C961, TEXT(E961, "000"))</f>
        <v>WSHB_M. guttatus004</v>
      </c>
      <c r="G961" s="21" t="s">
        <v>641</v>
      </c>
      <c r="H961" s="18" t="n">
        <v>1</v>
      </c>
      <c r="I961" s="22" t="n">
        <v>44707</v>
      </c>
      <c r="J961" s="2" t="s">
        <v>981</v>
      </c>
      <c r="K961" s="61"/>
      <c r="L961" s="2" t="n">
        <v>1</v>
      </c>
      <c r="M961" s="2" t="n">
        <v>1</v>
      </c>
      <c r="N961" s="3" t="n">
        <v>44842</v>
      </c>
      <c r="O961" s="2" t="n">
        <v>0.235</v>
      </c>
      <c r="Q961" s="62" t="str">
        <f aca="false">IF(ISBLANK(N961),"",IF(N961&lt;DATE(2023,5,1),"OLD","NEW"))</f>
        <v>OLD</v>
      </c>
      <c r="S961" s="33" t="n">
        <f aca="false">IF(COUNTIF('[1]Plate_1-2_LongFormat'!$A$2:$A$193,G961)&gt;0,1,0)</f>
        <v>1</v>
      </c>
      <c r="T961" s="33" t="n">
        <f aca="false">IF(COUNTIF([2]Attached_indexes!$C$2:$C$193,G961)&gt;0,1,0)</f>
        <v>1</v>
      </c>
      <c r="U961" s="59"/>
      <c r="V961" s="1" t="s">
        <v>982</v>
      </c>
    </row>
    <row r="962" customFormat="false" ht="15.75" hidden="false" customHeight="true" outlineLevel="0" collapsed="false">
      <c r="A962" s="18" t="s">
        <v>635</v>
      </c>
      <c r="B962" s="18" t="s">
        <v>635</v>
      </c>
      <c r="C962" s="18" t="s">
        <v>40</v>
      </c>
      <c r="E962" s="66" t="n">
        <v>5</v>
      </c>
      <c r="F962" s="21" t="str">
        <f aca="false">CONCATENATE(B962,"_",C962, TEXT(E962, "000"))</f>
        <v>WSHB_M. guttatus005</v>
      </c>
      <c r="G962" s="21" t="s">
        <v>643</v>
      </c>
      <c r="H962" s="18" t="n">
        <v>1</v>
      </c>
      <c r="I962" s="22" t="n">
        <v>44707</v>
      </c>
      <c r="J962" s="2" t="s">
        <v>981</v>
      </c>
      <c r="K962" s="2" t="s">
        <v>1046</v>
      </c>
      <c r="L962" s="2" t="n">
        <v>1</v>
      </c>
      <c r="M962" s="2" t="n">
        <v>1</v>
      </c>
      <c r="N962" s="3" t="n">
        <v>44834</v>
      </c>
      <c r="O962" s="2" t="n">
        <v>4.99</v>
      </c>
      <c r="P962" s="2" t="n">
        <v>1</v>
      </c>
      <c r="Q962" s="62" t="str">
        <f aca="false">IF(ISBLANK(N962),"",IF(N962&lt;DATE(2023,5,1),"OLD","NEW"))</f>
        <v>OLD</v>
      </c>
      <c r="R962" s="2" t="s">
        <v>1047</v>
      </c>
      <c r="S962" s="33" t="n">
        <f aca="false">IF(COUNTIF('[1]Plate_1-2_LongFormat'!$A$2:$A$193,G962)&gt;0,1,0)</f>
        <v>1</v>
      </c>
      <c r="T962" s="33" t="n">
        <f aca="false">IF(COUNTIF([2]Attached_indexes!$C$2:$C$193,G962)&gt;0,1,0)</f>
        <v>1</v>
      </c>
      <c r="U962" s="59"/>
      <c r="V962" s="1" t="s">
        <v>982</v>
      </c>
    </row>
    <row r="963" customFormat="false" ht="15.75" hidden="false" customHeight="true" outlineLevel="0" collapsed="false">
      <c r="A963" s="18" t="s">
        <v>635</v>
      </c>
      <c r="B963" s="18" t="s">
        <v>635</v>
      </c>
      <c r="C963" s="18" t="s">
        <v>40</v>
      </c>
      <c r="E963" s="66" t="n">
        <v>5</v>
      </c>
      <c r="F963" s="21" t="str">
        <f aca="false">CONCATENATE(B963,"_",C963, TEXT(E963, "000"))</f>
        <v>WSHB_M. guttatus005</v>
      </c>
      <c r="G963" s="21" t="s">
        <v>643</v>
      </c>
      <c r="H963" s="18" t="n">
        <v>1</v>
      </c>
      <c r="I963" s="22" t="n">
        <v>44707</v>
      </c>
      <c r="J963" s="2" t="s">
        <v>981</v>
      </c>
      <c r="K963" s="2" t="s">
        <v>1046</v>
      </c>
      <c r="L963" s="2" t="n">
        <v>1</v>
      </c>
      <c r="M963" s="2" t="n">
        <v>1</v>
      </c>
      <c r="N963" s="3" t="n">
        <v>44834</v>
      </c>
      <c r="O963" s="2" t="n">
        <v>4.99</v>
      </c>
      <c r="P963" s="2" t="n">
        <v>1</v>
      </c>
      <c r="Q963" s="62" t="str">
        <f aca="false">IF(ISBLANK(N963),"",IF(N963&lt;DATE(2023,5,1),"OLD","NEW"))</f>
        <v>OLD</v>
      </c>
      <c r="R963" s="2" t="s">
        <v>1048</v>
      </c>
      <c r="S963" s="33" t="n">
        <f aca="false">IF(COUNTIF('[1]Plate_1-2_LongFormat'!$A$2:$A$193,G963)&gt;0,1,0)</f>
        <v>1</v>
      </c>
      <c r="T963" s="33" t="n">
        <f aca="false">IF(COUNTIF([2]Attached_indexes!$C$2:$C$193,G963)&gt;0,1,0)</f>
        <v>1</v>
      </c>
      <c r="U963" s="59"/>
      <c r="V963" s="1" t="s">
        <v>982</v>
      </c>
    </row>
    <row r="964" customFormat="false" ht="15.75" hidden="false" customHeight="true" outlineLevel="0" collapsed="false">
      <c r="A964" s="18" t="s">
        <v>635</v>
      </c>
      <c r="B964" s="18" t="s">
        <v>635</v>
      </c>
      <c r="C964" s="18" t="s">
        <v>40</v>
      </c>
      <c r="E964" s="66" t="n">
        <v>5</v>
      </c>
      <c r="F964" s="21" t="str">
        <f aca="false">CONCATENATE(B964,"_",C964, TEXT(E964, "000"))</f>
        <v>WSHB_M. guttatus005</v>
      </c>
      <c r="G964" s="21" t="s">
        <v>643</v>
      </c>
      <c r="H964" s="18" t="n">
        <v>1</v>
      </c>
      <c r="I964" s="22" t="n">
        <v>44707</v>
      </c>
      <c r="J964" s="2" t="s">
        <v>981</v>
      </c>
      <c r="K964" s="2" t="s">
        <v>1046</v>
      </c>
      <c r="L964" s="2" t="n">
        <v>1</v>
      </c>
      <c r="M964" s="2" t="n">
        <v>1</v>
      </c>
      <c r="N964" s="3" t="n">
        <v>44834</v>
      </c>
      <c r="O964" s="2" t="n">
        <v>4.99</v>
      </c>
      <c r="P964" s="2" t="n">
        <v>1</v>
      </c>
      <c r="Q964" s="62" t="str">
        <f aca="false">IF(ISBLANK(N964),"",IF(N964&lt;DATE(2023,5,1),"OLD","NEW"))</f>
        <v>OLD</v>
      </c>
      <c r="R964" s="2" t="s">
        <v>1049</v>
      </c>
      <c r="S964" s="33" t="n">
        <f aca="false">IF(COUNTIF('[1]Plate_1-2_LongFormat'!$A$2:$A$193,G964)&gt;0,1,0)</f>
        <v>1</v>
      </c>
      <c r="T964" s="33" t="n">
        <f aca="false">IF(COUNTIF([2]Attached_indexes!$C$2:$C$193,G964)&gt;0,1,0)</f>
        <v>1</v>
      </c>
      <c r="U964" s="59"/>
      <c r="V964" s="1" t="s">
        <v>982</v>
      </c>
    </row>
    <row r="965" customFormat="false" ht="15.75" hidden="false" customHeight="true" outlineLevel="0" collapsed="false">
      <c r="A965" s="18" t="s">
        <v>635</v>
      </c>
      <c r="B965" s="18" t="s">
        <v>635</v>
      </c>
      <c r="C965" s="18" t="s">
        <v>40</v>
      </c>
      <c r="E965" s="66" t="n">
        <v>6</v>
      </c>
      <c r="F965" s="21" t="str">
        <f aca="false">CONCATENATE(B965,"_",C965, TEXT(E965, "000"))</f>
        <v>WSHB_M. guttatus006</v>
      </c>
      <c r="G965" s="21" t="s">
        <v>645</v>
      </c>
      <c r="H965" s="18" t="n">
        <v>1</v>
      </c>
      <c r="I965" s="22" t="n">
        <v>44707</v>
      </c>
      <c r="J965" s="2" t="s">
        <v>981</v>
      </c>
      <c r="L965" s="2" t="n">
        <v>1</v>
      </c>
      <c r="M965" s="2" t="n">
        <v>1</v>
      </c>
      <c r="N965" s="3" t="n">
        <v>44961</v>
      </c>
      <c r="O965" s="2" t="n">
        <v>2.77</v>
      </c>
      <c r="P965" s="2" t="n">
        <v>2</v>
      </c>
      <c r="Q965" s="62" t="str">
        <f aca="false">IF(ISBLANK(N965),"",IF(N965&lt;DATE(2023,5,1),"OLD","NEW"))</f>
        <v>OLD</v>
      </c>
      <c r="S965" s="33" t="n">
        <f aca="false">IF(COUNTIF('[1]Plate_1-2_LongFormat'!$A$2:$A$193,G965)&gt;0,1,0)</f>
        <v>1</v>
      </c>
      <c r="T965" s="33" t="n">
        <f aca="false">IF(COUNTIF([2]Attached_indexes!$C$2:$C$193,G965)&gt;0,1,0)</f>
        <v>1</v>
      </c>
      <c r="U965" s="59"/>
      <c r="V965" s="1" t="s">
        <v>982</v>
      </c>
    </row>
    <row r="966" customFormat="false" ht="15.75" hidden="false" customHeight="true" outlineLevel="0" collapsed="false">
      <c r="A966" s="18" t="s">
        <v>635</v>
      </c>
      <c r="B966" s="18" t="s">
        <v>635</v>
      </c>
      <c r="C966" s="18" t="s">
        <v>40</v>
      </c>
      <c r="E966" s="66" t="n">
        <v>6</v>
      </c>
      <c r="F966" s="21" t="str">
        <f aca="false">CONCATENATE(B966,"_",C966, TEXT(E966, "000"))</f>
        <v>WSHB_M. guttatus006</v>
      </c>
      <c r="G966" s="21" t="s">
        <v>645</v>
      </c>
      <c r="H966" s="18" t="n">
        <v>1</v>
      </c>
      <c r="I966" s="22" t="n">
        <v>44707</v>
      </c>
      <c r="J966" s="2" t="s">
        <v>981</v>
      </c>
      <c r="L966" s="2" t="n">
        <v>1</v>
      </c>
      <c r="M966" s="2" t="n">
        <v>1</v>
      </c>
      <c r="N966" s="3" t="n">
        <v>44961</v>
      </c>
      <c r="O966" s="2" t="n">
        <v>2.77</v>
      </c>
      <c r="P966" s="2" t="n">
        <v>2</v>
      </c>
      <c r="Q966" s="62" t="str">
        <f aca="false">IF(ISBLANK(N966),"",IF(N966&lt;DATE(2023,5,1),"OLD","NEW"))</f>
        <v>OLD</v>
      </c>
      <c r="S966" s="33" t="n">
        <f aca="false">IF(COUNTIF('[1]Plate_1-2_LongFormat'!$A$2:$A$193,G966)&gt;0,1,0)</f>
        <v>1</v>
      </c>
      <c r="T966" s="33" t="n">
        <f aca="false">IF(COUNTIF([2]Attached_indexes!$C$2:$C$193,G966)&gt;0,1,0)</f>
        <v>1</v>
      </c>
      <c r="U966" s="59"/>
      <c r="V966" s="1" t="s">
        <v>982</v>
      </c>
    </row>
    <row r="967" customFormat="false" ht="15.75" hidden="false" customHeight="true" outlineLevel="0" collapsed="false">
      <c r="A967" s="18" t="s">
        <v>635</v>
      </c>
      <c r="B967" s="18" t="s">
        <v>635</v>
      </c>
      <c r="C967" s="18" t="s">
        <v>40</v>
      </c>
      <c r="E967" s="66" t="n">
        <v>6</v>
      </c>
      <c r="F967" s="21" t="str">
        <f aca="false">CONCATENATE(B967,"_",C967, TEXT(E967, "000"))</f>
        <v>WSHB_M. guttatus006</v>
      </c>
      <c r="G967" s="21" t="s">
        <v>645</v>
      </c>
      <c r="H967" s="18" t="n">
        <v>1</v>
      </c>
      <c r="I967" s="22" t="n">
        <v>44707</v>
      </c>
      <c r="J967" s="2" t="s">
        <v>981</v>
      </c>
      <c r="L967" s="2" t="n">
        <v>1</v>
      </c>
      <c r="M967" s="2" t="n">
        <v>1</v>
      </c>
      <c r="N967" s="3" t="n">
        <v>44961</v>
      </c>
      <c r="O967" s="2" t="n">
        <v>2.77</v>
      </c>
      <c r="P967" s="2" t="n">
        <v>2</v>
      </c>
      <c r="Q967" s="62" t="str">
        <f aca="false">IF(ISBLANK(N967),"",IF(N967&lt;DATE(2023,5,1),"OLD","NEW"))</f>
        <v>OLD</v>
      </c>
      <c r="S967" s="33" t="n">
        <f aca="false">IF(COUNTIF('[1]Plate_1-2_LongFormat'!$A$2:$A$193,G967)&gt;0,1,0)</f>
        <v>1</v>
      </c>
      <c r="T967" s="33" t="n">
        <f aca="false">IF(COUNTIF([2]Attached_indexes!$C$2:$C$193,G967)&gt;0,1,0)</f>
        <v>1</v>
      </c>
      <c r="U967" s="59"/>
      <c r="V967" s="1" t="s">
        <v>982</v>
      </c>
    </row>
    <row r="968" customFormat="false" ht="15.75" hidden="false" customHeight="true" outlineLevel="0" collapsed="false">
      <c r="A968" s="18" t="s">
        <v>635</v>
      </c>
      <c r="B968" s="18" t="s">
        <v>635</v>
      </c>
      <c r="C968" s="18" t="s">
        <v>40</v>
      </c>
      <c r="E968" s="66" t="n">
        <v>7</v>
      </c>
      <c r="F968" s="21" t="str">
        <f aca="false">CONCATENATE(B968,"_",C968, TEXT(E968, "000"))</f>
        <v>WSHB_M. guttatus007</v>
      </c>
      <c r="G968" s="21" t="s">
        <v>647</v>
      </c>
      <c r="H968" s="18" t="n">
        <v>1</v>
      </c>
      <c r="I968" s="22" t="n">
        <v>44707</v>
      </c>
      <c r="J968" s="2" t="s">
        <v>981</v>
      </c>
      <c r="L968" s="2" t="n">
        <v>1</v>
      </c>
      <c r="M968" s="2" t="n">
        <v>1</v>
      </c>
      <c r="N968" s="3" t="n">
        <v>44870</v>
      </c>
      <c r="O968" s="2" t="n">
        <v>2.17</v>
      </c>
      <c r="P968" s="2" t="n">
        <v>2</v>
      </c>
      <c r="Q968" s="62" t="str">
        <f aca="false">IF(ISBLANK(N968),"",IF(N968&lt;DATE(2023,5,1),"OLD","NEW"))</f>
        <v>OLD</v>
      </c>
      <c r="S968" s="33" t="n">
        <f aca="false">IF(COUNTIF('[1]Plate_1-2_LongFormat'!$A$2:$A$193,G968)&gt;0,1,0)</f>
        <v>1</v>
      </c>
      <c r="T968" s="33" t="n">
        <f aca="false">IF(COUNTIF([2]Attached_indexes!$C$2:$C$193,G968)&gt;0,1,0)</f>
        <v>1</v>
      </c>
      <c r="U968" s="59"/>
      <c r="V968" s="1" t="s">
        <v>982</v>
      </c>
    </row>
    <row r="969" customFormat="false" ht="15.75" hidden="false" customHeight="true" outlineLevel="0" collapsed="false">
      <c r="A969" s="18" t="s">
        <v>635</v>
      </c>
      <c r="B969" s="18" t="s">
        <v>635</v>
      </c>
      <c r="C969" s="18" t="s">
        <v>40</v>
      </c>
      <c r="E969" s="66" t="n">
        <v>7</v>
      </c>
      <c r="F969" s="21" t="str">
        <f aca="false">CONCATENATE(B969,"_",C969, TEXT(E969, "000"))</f>
        <v>WSHB_M. guttatus007</v>
      </c>
      <c r="G969" s="21" t="s">
        <v>647</v>
      </c>
      <c r="H969" s="18" t="n">
        <v>1</v>
      </c>
      <c r="I969" s="22" t="n">
        <v>44707</v>
      </c>
      <c r="J969" s="2" t="s">
        <v>981</v>
      </c>
      <c r="L969" s="2" t="n">
        <v>1</v>
      </c>
      <c r="M969" s="2" t="n">
        <v>1</v>
      </c>
      <c r="N969" s="3" t="n">
        <v>44870</v>
      </c>
      <c r="O969" s="2" t="n">
        <v>2.17</v>
      </c>
      <c r="P969" s="2" t="n">
        <v>2</v>
      </c>
      <c r="Q969" s="62" t="str">
        <f aca="false">IF(ISBLANK(N969),"",IF(N969&lt;DATE(2023,5,1),"OLD","NEW"))</f>
        <v>OLD</v>
      </c>
      <c r="S969" s="33" t="n">
        <f aca="false">IF(COUNTIF('[1]Plate_1-2_LongFormat'!$A$2:$A$193,G969)&gt;0,1,0)</f>
        <v>1</v>
      </c>
      <c r="T969" s="33" t="n">
        <f aca="false">IF(COUNTIF([2]Attached_indexes!$C$2:$C$193,G969)&gt;0,1,0)</f>
        <v>1</v>
      </c>
      <c r="U969" s="59"/>
      <c r="V969" s="1" t="s">
        <v>982</v>
      </c>
    </row>
    <row r="970" customFormat="false" ht="15.75" hidden="false" customHeight="true" outlineLevel="0" collapsed="false">
      <c r="A970" s="18" t="s">
        <v>635</v>
      </c>
      <c r="B970" s="18" t="s">
        <v>635</v>
      </c>
      <c r="C970" s="18" t="s">
        <v>40</v>
      </c>
      <c r="E970" s="66" t="n">
        <v>7</v>
      </c>
      <c r="F970" s="21" t="str">
        <f aca="false">CONCATENATE(B970,"_",C970, TEXT(E970, "000"))</f>
        <v>WSHB_M. guttatus007</v>
      </c>
      <c r="G970" s="21" t="s">
        <v>647</v>
      </c>
      <c r="H970" s="18" t="n">
        <v>1</v>
      </c>
      <c r="I970" s="22" t="n">
        <v>44707</v>
      </c>
      <c r="J970" s="2" t="s">
        <v>981</v>
      </c>
      <c r="L970" s="2" t="n">
        <v>1</v>
      </c>
      <c r="M970" s="2" t="n">
        <v>1</v>
      </c>
      <c r="N970" s="3" t="n">
        <v>44870</v>
      </c>
      <c r="O970" s="2" t="n">
        <v>2.17</v>
      </c>
      <c r="P970" s="2" t="n">
        <v>2</v>
      </c>
      <c r="Q970" s="62" t="str">
        <f aca="false">IF(ISBLANK(N970),"",IF(N970&lt;DATE(2023,5,1),"OLD","NEW"))</f>
        <v>OLD</v>
      </c>
      <c r="S970" s="33" t="n">
        <f aca="false">IF(COUNTIF('[1]Plate_1-2_LongFormat'!$A$2:$A$193,G970)&gt;0,1,0)</f>
        <v>1</v>
      </c>
      <c r="T970" s="33" t="n">
        <f aca="false">IF(COUNTIF([2]Attached_indexes!$C$2:$C$193,G970)&gt;0,1,0)</f>
        <v>1</v>
      </c>
      <c r="U970" s="59"/>
      <c r="V970" s="1" t="s">
        <v>982</v>
      </c>
    </row>
    <row r="971" customFormat="false" ht="15.75" hidden="false" customHeight="true" outlineLevel="0" collapsed="false">
      <c r="A971" s="18" t="s">
        <v>635</v>
      </c>
      <c r="B971" s="18" t="s">
        <v>635</v>
      </c>
      <c r="C971" s="18" t="s">
        <v>40</v>
      </c>
      <c r="E971" s="66" t="n">
        <v>8</v>
      </c>
      <c r="F971" s="21" t="str">
        <f aca="false">CONCATENATE(B971,"_",C971, TEXT(E971, "000"))</f>
        <v>WSHB_M. guttatus008</v>
      </c>
      <c r="G971" s="21" t="s">
        <v>649</v>
      </c>
      <c r="H971" s="18" t="n">
        <v>1</v>
      </c>
      <c r="I971" s="22" t="n">
        <v>44707</v>
      </c>
      <c r="J971" s="2" t="s">
        <v>981</v>
      </c>
      <c r="L971" s="2" t="n">
        <v>1</v>
      </c>
      <c r="M971" s="2" t="n">
        <v>1</v>
      </c>
      <c r="N971" s="3" t="n">
        <v>44870</v>
      </c>
      <c r="O971" s="2" t="n">
        <v>1.76</v>
      </c>
      <c r="P971" s="2" t="n">
        <v>2</v>
      </c>
      <c r="Q971" s="62" t="str">
        <f aca="false">IF(ISBLANK(N971),"",IF(N971&lt;DATE(2023,5,1),"OLD","NEW"))</f>
        <v>OLD</v>
      </c>
      <c r="S971" s="33" t="n">
        <f aca="false">IF(COUNTIF('[1]Plate_1-2_LongFormat'!$A$2:$A$193,G971)&gt;0,1,0)</f>
        <v>1</v>
      </c>
      <c r="T971" s="33" t="n">
        <f aca="false">IF(COUNTIF([2]Attached_indexes!$C$2:$C$193,G971)&gt;0,1,0)</f>
        <v>1</v>
      </c>
      <c r="U971" s="59"/>
      <c r="V971" s="1" t="s">
        <v>982</v>
      </c>
    </row>
    <row r="972" customFormat="false" ht="15.75" hidden="false" customHeight="true" outlineLevel="0" collapsed="false">
      <c r="A972" s="18" t="s">
        <v>635</v>
      </c>
      <c r="B972" s="18" t="s">
        <v>635</v>
      </c>
      <c r="C972" s="18" t="s">
        <v>40</v>
      </c>
      <c r="E972" s="66" t="n">
        <v>8</v>
      </c>
      <c r="F972" s="21" t="str">
        <f aca="false">CONCATENATE(B972,"_",C972, TEXT(E972, "000"))</f>
        <v>WSHB_M. guttatus008</v>
      </c>
      <c r="G972" s="21" t="s">
        <v>649</v>
      </c>
      <c r="H972" s="18" t="n">
        <v>1</v>
      </c>
      <c r="I972" s="22" t="n">
        <v>44707</v>
      </c>
      <c r="J972" s="2" t="s">
        <v>981</v>
      </c>
      <c r="L972" s="2" t="n">
        <v>1</v>
      </c>
      <c r="M972" s="2" t="n">
        <v>1</v>
      </c>
      <c r="N972" s="3" t="n">
        <v>44870</v>
      </c>
      <c r="O972" s="2" t="n">
        <v>1.76</v>
      </c>
      <c r="P972" s="2" t="n">
        <v>2</v>
      </c>
      <c r="Q972" s="62" t="str">
        <f aca="false">IF(ISBLANK(N972),"",IF(N972&lt;DATE(2023,5,1),"OLD","NEW"))</f>
        <v>OLD</v>
      </c>
      <c r="S972" s="33" t="n">
        <f aca="false">IF(COUNTIF('[1]Plate_1-2_LongFormat'!$A$2:$A$193,G972)&gt;0,1,0)</f>
        <v>1</v>
      </c>
      <c r="T972" s="33" t="n">
        <f aca="false">IF(COUNTIF([2]Attached_indexes!$C$2:$C$193,G972)&gt;0,1,0)</f>
        <v>1</v>
      </c>
      <c r="U972" s="59"/>
      <c r="V972" s="1" t="s">
        <v>982</v>
      </c>
    </row>
    <row r="973" customFormat="false" ht="15.75" hidden="false" customHeight="true" outlineLevel="0" collapsed="false">
      <c r="A973" s="18" t="s">
        <v>635</v>
      </c>
      <c r="B973" s="18" t="s">
        <v>635</v>
      </c>
      <c r="C973" s="18" t="s">
        <v>40</v>
      </c>
      <c r="E973" s="66" t="n">
        <v>8</v>
      </c>
      <c r="F973" s="21" t="str">
        <f aca="false">CONCATENATE(B973,"_",C973, TEXT(E973, "000"))</f>
        <v>WSHB_M. guttatus008</v>
      </c>
      <c r="G973" s="21" t="s">
        <v>649</v>
      </c>
      <c r="H973" s="18" t="n">
        <v>1</v>
      </c>
      <c r="I973" s="22" t="n">
        <v>44707</v>
      </c>
      <c r="J973" s="2" t="s">
        <v>981</v>
      </c>
      <c r="L973" s="2" t="n">
        <v>1</v>
      </c>
      <c r="M973" s="2" t="n">
        <v>1</v>
      </c>
      <c r="N973" s="3" t="n">
        <v>44870</v>
      </c>
      <c r="O973" s="2" t="n">
        <v>1.76</v>
      </c>
      <c r="P973" s="2" t="n">
        <v>2</v>
      </c>
      <c r="Q973" s="62" t="str">
        <f aca="false">IF(ISBLANK(N973),"",IF(N973&lt;DATE(2023,5,1),"OLD","NEW"))</f>
        <v>OLD</v>
      </c>
      <c r="S973" s="33" t="n">
        <f aca="false">IF(COUNTIF('[1]Plate_1-2_LongFormat'!$A$2:$A$193,G973)&gt;0,1,0)</f>
        <v>1</v>
      </c>
      <c r="T973" s="33" t="n">
        <f aca="false">IF(COUNTIF([2]Attached_indexes!$C$2:$C$193,G973)&gt;0,1,0)</f>
        <v>1</v>
      </c>
      <c r="U973" s="59"/>
      <c r="V973" s="1" t="s">
        <v>982</v>
      </c>
    </row>
    <row r="974" customFormat="false" ht="15.75" hidden="false" customHeight="true" outlineLevel="0" collapsed="false">
      <c r="A974" s="18" t="s">
        <v>635</v>
      </c>
      <c r="B974" s="18" t="s">
        <v>635</v>
      </c>
      <c r="C974" s="18" t="s">
        <v>40</v>
      </c>
      <c r="E974" s="66" t="n">
        <v>9</v>
      </c>
      <c r="F974" s="21" t="str">
        <f aca="false">CONCATENATE(B974,"_",C974, TEXT(E974, "000"))</f>
        <v>WSHB_M. guttatus009</v>
      </c>
      <c r="G974" s="21" t="s">
        <v>651</v>
      </c>
      <c r="H974" s="18" t="n">
        <v>1</v>
      </c>
      <c r="I974" s="22" t="n">
        <v>44707</v>
      </c>
      <c r="J974" s="2" t="s">
        <v>981</v>
      </c>
      <c r="L974" s="2" t="n">
        <v>1</v>
      </c>
      <c r="M974" s="2" t="n">
        <v>1</v>
      </c>
      <c r="N974" s="3" t="n">
        <v>44938</v>
      </c>
      <c r="O974" s="2" t="n">
        <v>3.51</v>
      </c>
      <c r="P974" s="2" t="n">
        <v>2</v>
      </c>
      <c r="Q974" s="62" t="str">
        <f aca="false">IF(ISBLANK(N974),"",IF(N974&lt;DATE(2023,5,1),"OLD","NEW"))</f>
        <v>OLD</v>
      </c>
      <c r="S974" s="33" t="n">
        <f aca="false">IF(COUNTIF('[1]Plate_1-2_LongFormat'!$A$2:$A$193,G974)&gt;0,1,0)</f>
        <v>1</v>
      </c>
      <c r="T974" s="33" t="n">
        <f aca="false">IF(COUNTIF([2]Attached_indexes!$C$2:$C$193,G974)&gt;0,1,0)</f>
        <v>1</v>
      </c>
      <c r="U974" s="59"/>
      <c r="V974" s="1" t="s">
        <v>982</v>
      </c>
    </row>
    <row r="975" customFormat="false" ht="15.75" hidden="false" customHeight="true" outlineLevel="0" collapsed="false">
      <c r="A975" s="18" t="s">
        <v>635</v>
      </c>
      <c r="B975" s="18" t="s">
        <v>635</v>
      </c>
      <c r="C975" s="18" t="s">
        <v>40</v>
      </c>
      <c r="E975" s="66" t="n">
        <v>9</v>
      </c>
      <c r="F975" s="21" t="str">
        <f aca="false">CONCATENATE(B975,"_",C975, TEXT(E975, "000"))</f>
        <v>WSHB_M. guttatus009</v>
      </c>
      <c r="G975" s="21" t="s">
        <v>651</v>
      </c>
      <c r="H975" s="18" t="n">
        <v>1</v>
      </c>
      <c r="I975" s="22" t="n">
        <v>44707</v>
      </c>
      <c r="J975" s="2" t="s">
        <v>981</v>
      </c>
      <c r="L975" s="2" t="n">
        <v>1</v>
      </c>
      <c r="M975" s="2" t="n">
        <v>1</v>
      </c>
      <c r="N975" s="3" t="n">
        <v>44938</v>
      </c>
      <c r="O975" s="2" t="n">
        <v>3.51</v>
      </c>
      <c r="P975" s="2" t="n">
        <v>2</v>
      </c>
      <c r="Q975" s="62" t="str">
        <f aca="false">IF(ISBLANK(N975),"",IF(N975&lt;DATE(2023,5,1),"OLD","NEW"))</f>
        <v>OLD</v>
      </c>
      <c r="S975" s="33" t="n">
        <f aca="false">IF(COUNTIF('[1]Plate_1-2_LongFormat'!$A$2:$A$193,G975)&gt;0,1,0)</f>
        <v>1</v>
      </c>
      <c r="T975" s="33" t="n">
        <f aca="false">IF(COUNTIF([2]Attached_indexes!$C$2:$C$193,G975)&gt;0,1,0)</f>
        <v>1</v>
      </c>
      <c r="U975" s="59"/>
      <c r="V975" s="1" t="s">
        <v>982</v>
      </c>
    </row>
    <row r="976" customFormat="false" ht="15.75" hidden="false" customHeight="true" outlineLevel="0" collapsed="false">
      <c r="A976" s="18" t="s">
        <v>635</v>
      </c>
      <c r="B976" s="18" t="s">
        <v>635</v>
      </c>
      <c r="C976" s="18" t="s">
        <v>40</v>
      </c>
      <c r="E976" s="66" t="n">
        <v>9</v>
      </c>
      <c r="F976" s="21" t="str">
        <f aca="false">CONCATENATE(B976,"_",C976, TEXT(E976, "000"))</f>
        <v>WSHB_M. guttatus009</v>
      </c>
      <c r="G976" s="21" t="s">
        <v>651</v>
      </c>
      <c r="H976" s="18" t="n">
        <v>1</v>
      </c>
      <c r="I976" s="22" t="n">
        <v>44707</v>
      </c>
      <c r="J976" s="2" t="s">
        <v>981</v>
      </c>
      <c r="L976" s="2" t="n">
        <v>1</v>
      </c>
      <c r="M976" s="2" t="n">
        <v>1</v>
      </c>
      <c r="N976" s="3" t="n">
        <v>44938</v>
      </c>
      <c r="O976" s="2" t="n">
        <v>3.51</v>
      </c>
      <c r="P976" s="2" t="n">
        <v>2</v>
      </c>
      <c r="Q976" s="62" t="str">
        <f aca="false">IF(ISBLANK(N976),"",IF(N976&lt;DATE(2023,5,1),"OLD","NEW"))</f>
        <v>OLD</v>
      </c>
      <c r="S976" s="33" t="n">
        <f aca="false">IF(COUNTIF('[1]Plate_1-2_LongFormat'!$A$2:$A$193,G976)&gt;0,1,0)</f>
        <v>1</v>
      </c>
      <c r="T976" s="33" t="n">
        <f aca="false">IF(COUNTIF([2]Attached_indexes!$C$2:$C$193,G976)&gt;0,1,0)</f>
        <v>1</v>
      </c>
      <c r="U976" s="59"/>
      <c r="V976" s="1" t="s">
        <v>982</v>
      </c>
    </row>
    <row r="977" customFormat="false" ht="15.75" hidden="false" customHeight="true" outlineLevel="0" collapsed="false">
      <c r="A977" s="18" t="s">
        <v>688</v>
      </c>
      <c r="B977" s="18" t="s">
        <v>688</v>
      </c>
      <c r="C977" s="18" t="s">
        <v>31</v>
      </c>
      <c r="E977" s="66" t="n">
        <v>1</v>
      </c>
      <c r="F977" s="21" t="str">
        <f aca="false">CONCATENATE(B977,"_",C977, TEXT(E977, "000"))</f>
        <v>YCNB_M. laciniatus001</v>
      </c>
      <c r="G977" s="21" t="s">
        <v>689</v>
      </c>
      <c r="H977" s="18" t="n">
        <v>1</v>
      </c>
      <c r="I977" s="22" t="n">
        <v>44714</v>
      </c>
      <c r="J977" s="2" t="s">
        <v>981</v>
      </c>
      <c r="K977" s="68" t="s">
        <v>991</v>
      </c>
      <c r="L977" s="2" t="n">
        <v>1</v>
      </c>
      <c r="M977" s="2" t="n">
        <v>1</v>
      </c>
      <c r="N977" s="3" t="n">
        <v>44961</v>
      </c>
      <c r="O977" s="2" t="n">
        <v>2.9</v>
      </c>
      <c r="P977" s="2" t="n">
        <v>3</v>
      </c>
      <c r="Q977" s="62" t="str">
        <f aca="false">IF(ISBLANK(N977),"",IF(N977&lt;DATE(2023,5,1),"OLD","NEW"))</f>
        <v>OLD</v>
      </c>
      <c r="S977" s="33" t="n">
        <f aca="false">IF(COUNTIF('[1]Plate_1-2_LongFormat'!$A$2:$A$193,G977)&gt;0,1,0)</f>
        <v>1</v>
      </c>
      <c r="T977" s="33" t="n">
        <f aca="false">IF(COUNTIF([2]Attached_indexes!$C$2:$C$193,G977)&gt;0,1,0)</f>
        <v>1</v>
      </c>
      <c r="U977" s="59"/>
      <c r="V977" s="1" t="s">
        <v>982</v>
      </c>
    </row>
    <row r="978" customFormat="false" ht="15.75" hidden="false" customHeight="true" outlineLevel="0" collapsed="false">
      <c r="A978" s="18" t="s">
        <v>688</v>
      </c>
      <c r="B978" s="18" t="s">
        <v>688</v>
      </c>
      <c r="C978" s="18" t="s">
        <v>31</v>
      </c>
      <c r="E978" s="66" t="n">
        <v>1</v>
      </c>
      <c r="F978" s="21" t="str">
        <f aca="false">CONCATENATE(B978,"_",C978, TEXT(E978, "000"))</f>
        <v>YCNB_M. laciniatus001</v>
      </c>
      <c r="G978" s="21" t="s">
        <v>689</v>
      </c>
      <c r="H978" s="18" t="n">
        <v>1</v>
      </c>
      <c r="I978" s="22" t="n">
        <v>44714</v>
      </c>
      <c r="J978" s="2" t="s">
        <v>981</v>
      </c>
      <c r="K978" s="68" t="s">
        <v>991</v>
      </c>
      <c r="L978" s="2" t="n">
        <v>1</v>
      </c>
      <c r="M978" s="2" t="n">
        <v>1</v>
      </c>
      <c r="N978" s="3" t="n">
        <v>44961</v>
      </c>
      <c r="O978" s="2" t="n">
        <v>2.9</v>
      </c>
      <c r="P978" s="2" t="n">
        <v>3</v>
      </c>
      <c r="Q978" s="62" t="str">
        <f aca="false">IF(ISBLANK(N978),"",IF(N978&lt;DATE(2023,5,1),"OLD","NEW"))</f>
        <v>OLD</v>
      </c>
      <c r="S978" s="33" t="n">
        <f aca="false">IF(COUNTIF('[1]Plate_1-2_LongFormat'!$A$2:$A$193,G978)&gt;0,1,0)</f>
        <v>1</v>
      </c>
      <c r="T978" s="33" t="n">
        <f aca="false">IF(COUNTIF([2]Attached_indexes!$C$2:$C$193,G978)&gt;0,1,0)</f>
        <v>1</v>
      </c>
      <c r="U978" s="59"/>
      <c r="V978" s="1" t="s">
        <v>982</v>
      </c>
    </row>
    <row r="979" customFormat="false" ht="15.75" hidden="false" customHeight="true" outlineLevel="0" collapsed="false">
      <c r="A979" s="18" t="s">
        <v>688</v>
      </c>
      <c r="B979" s="18" t="s">
        <v>688</v>
      </c>
      <c r="C979" s="18" t="s">
        <v>31</v>
      </c>
      <c r="E979" s="66" t="n">
        <v>1</v>
      </c>
      <c r="F979" s="21" t="str">
        <f aca="false">CONCATENATE(B979,"_",C979, TEXT(E979, "000"))</f>
        <v>YCNB_M. laciniatus001</v>
      </c>
      <c r="G979" s="21" t="s">
        <v>689</v>
      </c>
      <c r="H979" s="18" t="n">
        <v>1</v>
      </c>
      <c r="I979" s="22" t="n">
        <v>44714</v>
      </c>
      <c r="J979" s="2" t="s">
        <v>981</v>
      </c>
      <c r="K979" s="68" t="s">
        <v>991</v>
      </c>
      <c r="L979" s="2" t="n">
        <v>1</v>
      </c>
      <c r="M979" s="2" t="n">
        <v>1</v>
      </c>
      <c r="N979" s="3" t="n">
        <v>44961</v>
      </c>
      <c r="O979" s="2" t="n">
        <v>2.9</v>
      </c>
      <c r="P979" s="2" t="n">
        <v>3</v>
      </c>
      <c r="Q979" s="62" t="str">
        <f aca="false">IF(ISBLANK(N979),"",IF(N979&lt;DATE(2023,5,1),"OLD","NEW"))</f>
        <v>OLD</v>
      </c>
      <c r="S979" s="33" t="n">
        <f aca="false">IF(COUNTIF('[1]Plate_1-2_LongFormat'!$A$2:$A$193,G979)&gt;0,1,0)</f>
        <v>1</v>
      </c>
      <c r="T979" s="33" t="n">
        <f aca="false">IF(COUNTIF([2]Attached_indexes!$C$2:$C$193,G979)&gt;0,1,0)</f>
        <v>1</v>
      </c>
      <c r="U979" s="59"/>
      <c r="V979" s="1" t="s">
        <v>982</v>
      </c>
    </row>
    <row r="980" customFormat="false" ht="15.75" hidden="false" customHeight="true" outlineLevel="0" collapsed="false">
      <c r="A980" s="18" t="s">
        <v>688</v>
      </c>
      <c r="B980" s="18" t="s">
        <v>688</v>
      </c>
      <c r="C980" s="18" t="s">
        <v>31</v>
      </c>
      <c r="E980" s="66" t="n">
        <v>10</v>
      </c>
      <c r="F980" s="21" t="str">
        <f aca="false">CONCATENATE(B980,"_",C980, TEXT(E980, "000"))</f>
        <v>YCNB_M. laciniatus010</v>
      </c>
      <c r="G980" s="21" t="s">
        <v>703</v>
      </c>
      <c r="H980" s="18" t="n">
        <v>1</v>
      </c>
      <c r="I980" s="22" t="n">
        <v>44714</v>
      </c>
      <c r="J980" s="2" t="s">
        <v>981</v>
      </c>
      <c r="K980" s="68" t="s">
        <v>989</v>
      </c>
      <c r="L980" s="2" t="n">
        <v>1</v>
      </c>
      <c r="M980" s="2" t="n">
        <v>1</v>
      </c>
      <c r="N980" s="3" t="n">
        <v>44961</v>
      </c>
      <c r="O980" s="2" t="n">
        <v>5.68</v>
      </c>
      <c r="P980" s="2" t="n">
        <v>3</v>
      </c>
      <c r="Q980" s="62" t="str">
        <f aca="false">IF(ISBLANK(N980),"",IF(N980&lt;DATE(2023,5,1),"OLD","NEW"))</f>
        <v>OLD</v>
      </c>
      <c r="S980" s="33" t="n">
        <f aca="false">IF(COUNTIF('[1]Plate_1-2_LongFormat'!$A$2:$A$193,G980)&gt;0,1,0)</f>
        <v>1</v>
      </c>
      <c r="T980" s="33" t="n">
        <f aca="false">IF(COUNTIF([2]Attached_indexes!$C$2:$C$193,G980)&gt;0,1,0)</f>
        <v>1</v>
      </c>
      <c r="U980" s="59"/>
      <c r="V980" s="1" t="s">
        <v>982</v>
      </c>
    </row>
    <row r="981" customFormat="false" ht="15.75" hidden="false" customHeight="true" outlineLevel="0" collapsed="false">
      <c r="A981" s="18" t="s">
        <v>688</v>
      </c>
      <c r="B981" s="18" t="s">
        <v>688</v>
      </c>
      <c r="C981" s="18" t="s">
        <v>31</v>
      </c>
      <c r="E981" s="66" t="n">
        <v>10</v>
      </c>
      <c r="F981" s="21" t="str">
        <f aca="false">CONCATENATE(B981,"_",C981, TEXT(E981, "000"))</f>
        <v>YCNB_M. laciniatus010</v>
      </c>
      <c r="G981" s="21" t="s">
        <v>703</v>
      </c>
      <c r="H981" s="18" t="n">
        <v>1</v>
      </c>
      <c r="I981" s="22" t="n">
        <v>44714</v>
      </c>
      <c r="J981" s="2" t="s">
        <v>981</v>
      </c>
      <c r="K981" s="68" t="s">
        <v>989</v>
      </c>
      <c r="L981" s="2" t="n">
        <v>1</v>
      </c>
      <c r="M981" s="2" t="n">
        <v>1</v>
      </c>
      <c r="N981" s="3" t="n">
        <v>44961</v>
      </c>
      <c r="O981" s="2" t="n">
        <v>5.68</v>
      </c>
      <c r="P981" s="2" t="n">
        <v>3</v>
      </c>
      <c r="Q981" s="62" t="str">
        <f aca="false">IF(ISBLANK(N981),"",IF(N981&lt;DATE(2023,5,1),"OLD","NEW"))</f>
        <v>OLD</v>
      </c>
      <c r="S981" s="33" t="n">
        <f aca="false">IF(COUNTIF('[1]Plate_1-2_LongFormat'!$A$2:$A$193,G981)&gt;0,1,0)</f>
        <v>1</v>
      </c>
      <c r="T981" s="33" t="n">
        <f aca="false">IF(COUNTIF([2]Attached_indexes!$C$2:$C$193,G981)&gt;0,1,0)</f>
        <v>1</v>
      </c>
      <c r="U981" s="59"/>
      <c r="V981" s="1" t="s">
        <v>982</v>
      </c>
    </row>
    <row r="982" customFormat="false" ht="15.75" hidden="false" customHeight="true" outlineLevel="0" collapsed="false">
      <c r="A982" s="18" t="s">
        <v>688</v>
      </c>
      <c r="B982" s="18" t="s">
        <v>688</v>
      </c>
      <c r="C982" s="18" t="s">
        <v>31</v>
      </c>
      <c r="E982" s="66" t="n">
        <v>10</v>
      </c>
      <c r="F982" s="21" t="str">
        <f aca="false">CONCATENATE(B982,"_",C982, TEXT(E982, "000"))</f>
        <v>YCNB_M. laciniatus010</v>
      </c>
      <c r="G982" s="21" t="s">
        <v>703</v>
      </c>
      <c r="H982" s="18" t="n">
        <v>1</v>
      </c>
      <c r="I982" s="22" t="n">
        <v>44714</v>
      </c>
      <c r="J982" s="2" t="s">
        <v>981</v>
      </c>
      <c r="K982" s="68" t="s">
        <v>989</v>
      </c>
      <c r="L982" s="2" t="n">
        <v>1</v>
      </c>
      <c r="M982" s="2" t="n">
        <v>1</v>
      </c>
      <c r="N982" s="3" t="n">
        <v>44961</v>
      </c>
      <c r="O982" s="2" t="n">
        <v>5.68</v>
      </c>
      <c r="P982" s="2" t="n">
        <v>3</v>
      </c>
      <c r="Q982" s="62" t="str">
        <f aca="false">IF(ISBLANK(N982),"",IF(N982&lt;DATE(2023,5,1),"OLD","NEW"))</f>
        <v>OLD</v>
      </c>
      <c r="S982" s="33" t="n">
        <f aca="false">IF(COUNTIF('[1]Plate_1-2_LongFormat'!$A$2:$A$193,G982)&gt;0,1,0)</f>
        <v>1</v>
      </c>
      <c r="T982" s="33" t="n">
        <f aca="false">IF(COUNTIF([2]Attached_indexes!$C$2:$C$193,G982)&gt;0,1,0)</f>
        <v>1</v>
      </c>
      <c r="U982" s="59"/>
      <c r="V982" s="1" t="s">
        <v>982</v>
      </c>
    </row>
    <row r="983" customFormat="false" ht="15.75" hidden="false" customHeight="true" outlineLevel="0" collapsed="false">
      <c r="A983" s="18" t="s">
        <v>688</v>
      </c>
      <c r="B983" s="18" t="s">
        <v>688</v>
      </c>
      <c r="C983" s="18" t="s">
        <v>31</v>
      </c>
      <c r="E983" s="66" t="n">
        <v>2</v>
      </c>
      <c r="F983" s="21" t="str">
        <f aca="false">CONCATENATE(B983,"_",C983, TEXT(E983, "000"))</f>
        <v>YCNB_M. laciniatus002</v>
      </c>
      <c r="G983" s="21" t="s">
        <v>690</v>
      </c>
      <c r="H983" s="18" t="n">
        <v>1</v>
      </c>
      <c r="I983" s="22" t="n">
        <v>44714</v>
      </c>
      <c r="J983" s="2" t="s">
        <v>981</v>
      </c>
      <c r="K983" s="68" t="s">
        <v>1050</v>
      </c>
      <c r="L983" s="2" t="n">
        <v>1</v>
      </c>
      <c r="M983" s="2" t="n">
        <v>1</v>
      </c>
      <c r="N983" s="3" t="n">
        <v>44961</v>
      </c>
      <c r="O983" s="2" t="n">
        <v>3.85</v>
      </c>
      <c r="P983" s="2" t="n">
        <v>2</v>
      </c>
      <c r="Q983" s="62" t="str">
        <f aca="false">IF(ISBLANK(N983),"",IF(N983&lt;DATE(2023,5,1),"OLD","NEW"))</f>
        <v>OLD</v>
      </c>
      <c r="S983" s="33" t="n">
        <f aca="false">IF(COUNTIF('[1]Plate_1-2_LongFormat'!$A$2:$A$193,G983)&gt;0,1,0)</f>
        <v>1</v>
      </c>
      <c r="T983" s="33" t="n">
        <f aca="false">IF(COUNTIF([2]Attached_indexes!$C$2:$C$193,G983)&gt;0,1,0)</f>
        <v>1</v>
      </c>
      <c r="U983" s="59"/>
      <c r="V983" s="1" t="s">
        <v>982</v>
      </c>
    </row>
    <row r="984" customFormat="false" ht="15.75" hidden="false" customHeight="true" outlineLevel="0" collapsed="false">
      <c r="A984" s="18" t="s">
        <v>688</v>
      </c>
      <c r="B984" s="18" t="s">
        <v>688</v>
      </c>
      <c r="C984" s="18" t="s">
        <v>31</v>
      </c>
      <c r="E984" s="66" t="n">
        <v>2</v>
      </c>
      <c r="F984" s="21" t="str">
        <f aca="false">CONCATENATE(B984,"_",C984, TEXT(E984, "000"))</f>
        <v>YCNB_M. laciniatus002</v>
      </c>
      <c r="G984" s="21" t="s">
        <v>690</v>
      </c>
      <c r="H984" s="18" t="n">
        <v>1</v>
      </c>
      <c r="I984" s="22" t="n">
        <v>44714</v>
      </c>
      <c r="J984" s="2" t="s">
        <v>981</v>
      </c>
      <c r="K984" s="68" t="s">
        <v>1050</v>
      </c>
      <c r="L984" s="2" t="n">
        <v>1</v>
      </c>
      <c r="M984" s="2" t="n">
        <v>1</v>
      </c>
      <c r="N984" s="3" t="n">
        <v>44961</v>
      </c>
      <c r="O984" s="2" t="n">
        <v>3.85</v>
      </c>
      <c r="P984" s="2" t="n">
        <v>2</v>
      </c>
      <c r="Q984" s="62" t="str">
        <f aca="false">IF(ISBLANK(N984),"",IF(N984&lt;DATE(2023,5,1),"OLD","NEW"))</f>
        <v>OLD</v>
      </c>
      <c r="S984" s="33" t="n">
        <f aca="false">IF(COUNTIF('[1]Plate_1-2_LongFormat'!$A$2:$A$193,G984)&gt;0,1,0)</f>
        <v>1</v>
      </c>
      <c r="T984" s="33" t="n">
        <f aca="false">IF(COUNTIF([2]Attached_indexes!$C$2:$C$193,G984)&gt;0,1,0)</f>
        <v>1</v>
      </c>
      <c r="U984" s="59"/>
      <c r="V984" s="1" t="s">
        <v>982</v>
      </c>
    </row>
    <row r="985" customFormat="false" ht="15.75" hidden="false" customHeight="true" outlineLevel="0" collapsed="false">
      <c r="A985" s="18" t="s">
        <v>688</v>
      </c>
      <c r="B985" s="18" t="s">
        <v>688</v>
      </c>
      <c r="C985" s="18" t="s">
        <v>31</v>
      </c>
      <c r="E985" s="66" t="n">
        <v>2</v>
      </c>
      <c r="F985" s="21" t="str">
        <f aca="false">CONCATENATE(B985,"_",C985, TEXT(E985, "000"))</f>
        <v>YCNB_M. laciniatus002</v>
      </c>
      <c r="G985" s="21" t="s">
        <v>690</v>
      </c>
      <c r="H985" s="18" t="n">
        <v>1</v>
      </c>
      <c r="I985" s="22" t="n">
        <v>44714</v>
      </c>
      <c r="J985" s="2" t="s">
        <v>981</v>
      </c>
      <c r="K985" s="68" t="s">
        <v>1050</v>
      </c>
      <c r="L985" s="2" t="n">
        <v>1</v>
      </c>
      <c r="M985" s="2" t="n">
        <v>1</v>
      </c>
      <c r="N985" s="3" t="n">
        <v>44961</v>
      </c>
      <c r="O985" s="2" t="n">
        <v>3.85</v>
      </c>
      <c r="P985" s="2" t="n">
        <v>2</v>
      </c>
      <c r="Q985" s="62" t="str">
        <f aca="false">IF(ISBLANK(N985),"",IF(N985&lt;DATE(2023,5,1),"OLD","NEW"))</f>
        <v>OLD</v>
      </c>
      <c r="S985" s="33" t="n">
        <f aca="false">IF(COUNTIF('[1]Plate_1-2_LongFormat'!$A$2:$A$193,G985)&gt;0,1,0)</f>
        <v>1</v>
      </c>
      <c r="T985" s="33" t="n">
        <f aca="false">IF(COUNTIF([2]Attached_indexes!$C$2:$C$193,G985)&gt;0,1,0)</f>
        <v>1</v>
      </c>
      <c r="U985" s="59"/>
      <c r="V985" s="1" t="s">
        <v>982</v>
      </c>
    </row>
    <row r="986" customFormat="false" ht="15.75" hidden="false" customHeight="true" outlineLevel="0" collapsed="false">
      <c r="A986" s="18" t="s">
        <v>688</v>
      </c>
      <c r="B986" s="18" t="s">
        <v>688</v>
      </c>
      <c r="C986" s="18" t="s">
        <v>31</v>
      </c>
      <c r="E986" s="66" t="n">
        <v>3</v>
      </c>
      <c r="F986" s="21" t="str">
        <f aca="false">CONCATENATE(B986,"_",C986, TEXT(E986, "000"))</f>
        <v>YCNB_M. laciniatus003</v>
      </c>
      <c r="G986" s="21" t="s">
        <v>692</v>
      </c>
      <c r="H986" s="18" t="n">
        <v>1</v>
      </c>
      <c r="I986" s="22" t="n">
        <v>44714</v>
      </c>
      <c r="J986" s="2" t="s">
        <v>981</v>
      </c>
      <c r="L986" s="2" t="n">
        <v>1</v>
      </c>
      <c r="M986" s="2" t="n">
        <v>1</v>
      </c>
      <c r="N986" s="3" t="n">
        <v>45058</v>
      </c>
      <c r="O986" s="2" t="n">
        <v>13.9</v>
      </c>
      <c r="P986" s="2" t="n">
        <v>3</v>
      </c>
      <c r="Q986" s="62" t="str">
        <f aca="false">IF(ISBLANK(N986),"",IF(N986&lt;DATE(2023,5,1),"OLD","NEW"))</f>
        <v>NEW</v>
      </c>
      <c r="S986" s="33" t="n">
        <f aca="false">IF(COUNTIF('[1]Plate_1-2_LongFormat'!$A$2:$A$193,G986)&gt;0,1,0)</f>
        <v>0</v>
      </c>
      <c r="T986" s="33" t="n">
        <f aca="false">IF(COUNTIF([2]Attached_indexes!$C$2:$C$193,G986)&gt;0,1,0)</f>
        <v>0</v>
      </c>
      <c r="U986" s="59"/>
      <c r="V986" s="1" t="s">
        <v>982</v>
      </c>
    </row>
    <row r="987" customFormat="false" ht="15.75" hidden="false" customHeight="true" outlineLevel="0" collapsed="false">
      <c r="A987" s="18" t="s">
        <v>688</v>
      </c>
      <c r="B987" s="18" t="s">
        <v>688</v>
      </c>
      <c r="C987" s="18" t="s">
        <v>31</v>
      </c>
      <c r="E987" s="66" t="n">
        <v>3</v>
      </c>
      <c r="F987" s="21" t="str">
        <f aca="false">CONCATENATE(B987,"_",C987, TEXT(E987, "000"))</f>
        <v>YCNB_M. laciniatus003</v>
      </c>
      <c r="G987" s="21" t="s">
        <v>692</v>
      </c>
      <c r="H987" s="18" t="n">
        <v>1</v>
      </c>
      <c r="I987" s="22" t="n">
        <v>44714</v>
      </c>
      <c r="J987" s="2" t="s">
        <v>981</v>
      </c>
      <c r="L987" s="2" t="n">
        <v>1</v>
      </c>
      <c r="M987" s="2" t="n">
        <v>1</v>
      </c>
      <c r="N987" s="3" t="n">
        <v>45058</v>
      </c>
      <c r="O987" s="2" t="n">
        <v>13.9</v>
      </c>
      <c r="P987" s="2" t="n">
        <v>3</v>
      </c>
      <c r="Q987" s="62" t="str">
        <f aca="false">IF(ISBLANK(N987),"",IF(N987&lt;DATE(2023,5,1),"OLD","NEW"))</f>
        <v>NEW</v>
      </c>
      <c r="S987" s="33" t="n">
        <f aca="false">IF(COUNTIF('[1]Plate_1-2_LongFormat'!$A$2:$A$193,G987)&gt;0,1,0)</f>
        <v>0</v>
      </c>
      <c r="T987" s="33" t="n">
        <f aca="false">IF(COUNTIF([2]Attached_indexes!$C$2:$C$193,G987)&gt;0,1,0)</f>
        <v>0</v>
      </c>
      <c r="U987" s="59"/>
      <c r="V987" s="1" t="s">
        <v>982</v>
      </c>
    </row>
    <row r="988" customFormat="false" ht="15.75" hidden="false" customHeight="true" outlineLevel="0" collapsed="false">
      <c r="A988" s="18" t="s">
        <v>688</v>
      </c>
      <c r="B988" s="18" t="s">
        <v>688</v>
      </c>
      <c r="C988" s="18" t="s">
        <v>31</v>
      </c>
      <c r="E988" s="66" t="n">
        <v>3</v>
      </c>
      <c r="F988" s="21" t="str">
        <f aca="false">CONCATENATE(B988,"_",C988, TEXT(E988, "000"))</f>
        <v>YCNB_M. laciniatus003</v>
      </c>
      <c r="G988" s="21" t="s">
        <v>692</v>
      </c>
      <c r="H988" s="18" t="n">
        <v>1</v>
      </c>
      <c r="I988" s="22" t="n">
        <v>44714</v>
      </c>
      <c r="J988" s="2" t="s">
        <v>981</v>
      </c>
      <c r="L988" s="2" t="n">
        <v>1</v>
      </c>
      <c r="M988" s="2" t="n">
        <v>1</v>
      </c>
      <c r="N988" s="3" t="n">
        <v>45058</v>
      </c>
      <c r="O988" s="2" t="n">
        <v>13.9</v>
      </c>
      <c r="P988" s="2" t="n">
        <v>3</v>
      </c>
      <c r="Q988" s="62" t="str">
        <f aca="false">IF(ISBLANK(N988),"",IF(N988&lt;DATE(2023,5,1),"OLD","NEW"))</f>
        <v>NEW</v>
      </c>
      <c r="S988" s="33" t="n">
        <f aca="false">IF(COUNTIF('[1]Plate_1-2_LongFormat'!$A$2:$A$193,G988)&gt;0,1,0)</f>
        <v>0</v>
      </c>
      <c r="T988" s="33" t="n">
        <f aca="false">IF(COUNTIF([2]Attached_indexes!$C$2:$C$193,G988)&gt;0,1,0)</f>
        <v>0</v>
      </c>
      <c r="U988" s="59"/>
      <c r="V988" s="1" t="s">
        <v>982</v>
      </c>
    </row>
    <row r="989" customFormat="false" ht="15.75" hidden="false" customHeight="true" outlineLevel="0" collapsed="false">
      <c r="A989" s="18" t="s">
        <v>688</v>
      </c>
      <c r="B989" s="18" t="s">
        <v>688</v>
      </c>
      <c r="C989" s="18" t="s">
        <v>31</v>
      </c>
      <c r="E989" s="66" t="n">
        <v>4</v>
      </c>
      <c r="F989" s="21" t="str">
        <f aca="false">CONCATENATE(B989,"_",C989, TEXT(E989, "000"))</f>
        <v>YCNB_M. laciniatus004</v>
      </c>
      <c r="G989" s="21" t="s">
        <v>693</v>
      </c>
      <c r="H989" s="18" t="n">
        <v>1</v>
      </c>
      <c r="I989" s="22" t="n">
        <v>44714</v>
      </c>
      <c r="J989" s="2" t="s">
        <v>981</v>
      </c>
      <c r="K989" s="68" t="s">
        <v>1020</v>
      </c>
      <c r="L989" s="2" t="n">
        <v>1</v>
      </c>
      <c r="M989" s="2" t="n">
        <v>1</v>
      </c>
      <c r="N989" s="3" t="n">
        <v>44961</v>
      </c>
      <c r="O989" s="2" t="n">
        <v>5.85</v>
      </c>
      <c r="P989" s="2" t="n">
        <v>3</v>
      </c>
      <c r="Q989" s="62" t="str">
        <f aca="false">IF(ISBLANK(N989),"",IF(N989&lt;DATE(2023,5,1),"OLD","NEW"))</f>
        <v>OLD</v>
      </c>
      <c r="S989" s="33" t="n">
        <f aca="false">IF(COUNTIF('[1]Plate_1-2_LongFormat'!$A$2:$A$193,G989)&gt;0,1,0)</f>
        <v>1</v>
      </c>
      <c r="T989" s="33" t="n">
        <f aca="false">IF(COUNTIF([2]Attached_indexes!$C$2:$C$193,G989)&gt;0,1,0)</f>
        <v>1</v>
      </c>
      <c r="U989" s="59"/>
      <c r="V989" s="1" t="s">
        <v>982</v>
      </c>
    </row>
    <row r="990" customFormat="false" ht="15.75" hidden="false" customHeight="true" outlineLevel="0" collapsed="false">
      <c r="A990" s="18" t="s">
        <v>688</v>
      </c>
      <c r="B990" s="18" t="s">
        <v>688</v>
      </c>
      <c r="C990" s="18" t="s">
        <v>31</v>
      </c>
      <c r="E990" s="66" t="n">
        <v>4</v>
      </c>
      <c r="F990" s="21" t="str">
        <f aca="false">CONCATENATE(B990,"_",C990, TEXT(E990, "000"))</f>
        <v>YCNB_M. laciniatus004</v>
      </c>
      <c r="G990" s="21" t="s">
        <v>693</v>
      </c>
      <c r="H990" s="18" t="n">
        <v>1</v>
      </c>
      <c r="I990" s="22" t="n">
        <v>44714</v>
      </c>
      <c r="J990" s="2" t="s">
        <v>981</v>
      </c>
      <c r="K990" s="68" t="s">
        <v>1020</v>
      </c>
      <c r="L990" s="2" t="n">
        <v>1</v>
      </c>
      <c r="M990" s="2" t="n">
        <v>1</v>
      </c>
      <c r="N990" s="3" t="n">
        <v>44961</v>
      </c>
      <c r="O990" s="2" t="n">
        <v>5.85</v>
      </c>
      <c r="P990" s="2" t="n">
        <v>3</v>
      </c>
      <c r="Q990" s="62" t="str">
        <f aca="false">IF(ISBLANK(N990),"",IF(N990&lt;DATE(2023,5,1),"OLD","NEW"))</f>
        <v>OLD</v>
      </c>
      <c r="S990" s="33" t="n">
        <f aca="false">IF(COUNTIF('[1]Plate_1-2_LongFormat'!$A$2:$A$193,G990)&gt;0,1,0)</f>
        <v>1</v>
      </c>
      <c r="T990" s="33" t="n">
        <f aca="false">IF(COUNTIF([2]Attached_indexes!$C$2:$C$193,G990)&gt;0,1,0)</f>
        <v>1</v>
      </c>
      <c r="U990" s="59"/>
      <c r="V990" s="1" t="s">
        <v>982</v>
      </c>
    </row>
    <row r="991" customFormat="false" ht="15.75" hidden="false" customHeight="true" outlineLevel="0" collapsed="false">
      <c r="A991" s="18" t="s">
        <v>688</v>
      </c>
      <c r="B991" s="18" t="s">
        <v>688</v>
      </c>
      <c r="C991" s="18" t="s">
        <v>31</v>
      </c>
      <c r="E991" s="66" t="n">
        <v>4</v>
      </c>
      <c r="F991" s="21" t="str">
        <f aca="false">CONCATENATE(B991,"_",C991, TEXT(E991, "000"))</f>
        <v>YCNB_M. laciniatus004</v>
      </c>
      <c r="G991" s="21" t="s">
        <v>693</v>
      </c>
      <c r="H991" s="18" t="n">
        <v>1</v>
      </c>
      <c r="I991" s="22" t="n">
        <v>44714</v>
      </c>
      <c r="J991" s="2" t="s">
        <v>981</v>
      </c>
      <c r="K991" s="68" t="s">
        <v>1020</v>
      </c>
      <c r="L991" s="2" t="n">
        <v>1</v>
      </c>
      <c r="M991" s="2" t="n">
        <v>1</v>
      </c>
      <c r="N991" s="3" t="n">
        <v>44961</v>
      </c>
      <c r="O991" s="2" t="n">
        <v>5.85</v>
      </c>
      <c r="P991" s="2" t="n">
        <v>3</v>
      </c>
      <c r="Q991" s="62" t="str">
        <f aca="false">IF(ISBLANK(N991),"",IF(N991&lt;DATE(2023,5,1),"OLD","NEW"))</f>
        <v>OLD</v>
      </c>
      <c r="S991" s="33" t="n">
        <f aca="false">IF(COUNTIF('[1]Plate_1-2_LongFormat'!$A$2:$A$193,G991)&gt;0,1,0)</f>
        <v>1</v>
      </c>
      <c r="T991" s="33" t="n">
        <f aca="false">IF(COUNTIF([2]Attached_indexes!$C$2:$C$193,G991)&gt;0,1,0)</f>
        <v>1</v>
      </c>
      <c r="U991" s="59"/>
      <c r="V991" s="1" t="s">
        <v>982</v>
      </c>
    </row>
    <row r="992" customFormat="false" ht="15.75" hidden="false" customHeight="true" outlineLevel="0" collapsed="false">
      <c r="A992" s="18" t="s">
        <v>688</v>
      </c>
      <c r="B992" s="18" t="s">
        <v>688</v>
      </c>
      <c r="C992" s="18" t="s">
        <v>31</v>
      </c>
      <c r="E992" s="66" t="n">
        <v>5</v>
      </c>
      <c r="F992" s="21" t="str">
        <f aca="false">CONCATENATE(B992,"_",C992, TEXT(E992, "000"))</f>
        <v>YCNB_M. laciniatus005</v>
      </c>
      <c r="G992" s="21" t="s">
        <v>694</v>
      </c>
      <c r="H992" s="18" t="n">
        <v>1</v>
      </c>
      <c r="I992" s="22" t="n">
        <v>44714</v>
      </c>
      <c r="J992" s="2" t="s">
        <v>981</v>
      </c>
      <c r="K992" s="68" t="s">
        <v>1043</v>
      </c>
      <c r="L992" s="2" t="n">
        <v>1</v>
      </c>
      <c r="M992" s="2" t="n">
        <v>1</v>
      </c>
      <c r="N992" s="3" t="n">
        <v>44961</v>
      </c>
      <c r="O992" s="2" t="n">
        <v>6.33</v>
      </c>
      <c r="P992" s="2" t="n">
        <v>2</v>
      </c>
      <c r="Q992" s="62" t="str">
        <f aca="false">IF(ISBLANK(N992),"",IF(N992&lt;DATE(2023,5,1),"OLD","NEW"))</f>
        <v>OLD</v>
      </c>
      <c r="S992" s="33" t="n">
        <f aca="false">IF(COUNTIF('[1]Plate_1-2_LongFormat'!$A$2:$A$193,G992)&gt;0,1,0)</f>
        <v>1</v>
      </c>
      <c r="T992" s="33" t="n">
        <f aca="false">IF(COUNTIF([2]Attached_indexes!$C$2:$C$193,G992)&gt;0,1,0)</f>
        <v>1</v>
      </c>
      <c r="U992" s="59"/>
      <c r="V992" s="1" t="s">
        <v>982</v>
      </c>
    </row>
    <row r="993" customFormat="false" ht="15.75" hidden="false" customHeight="true" outlineLevel="0" collapsed="false">
      <c r="A993" s="18" t="s">
        <v>688</v>
      </c>
      <c r="B993" s="18" t="s">
        <v>688</v>
      </c>
      <c r="C993" s="18" t="s">
        <v>31</v>
      </c>
      <c r="E993" s="66" t="n">
        <v>5</v>
      </c>
      <c r="F993" s="21" t="str">
        <f aca="false">CONCATENATE(B993,"_",C993, TEXT(E993, "000"))</f>
        <v>YCNB_M. laciniatus005</v>
      </c>
      <c r="G993" s="21" t="s">
        <v>694</v>
      </c>
      <c r="H993" s="18" t="n">
        <v>1</v>
      </c>
      <c r="I993" s="22" t="n">
        <v>44714</v>
      </c>
      <c r="J993" s="2" t="s">
        <v>981</v>
      </c>
      <c r="K993" s="68" t="s">
        <v>1043</v>
      </c>
      <c r="L993" s="2" t="n">
        <v>1</v>
      </c>
      <c r="M993" s="2" t="n">
        <v>1</v>
      </c>
      <c r="N993" s="3" t="n">
        <v>44961</v>
      </c>
      <c r="O993" s="2" t="n">
        <v>6.33</v>
      </c>
      <c r="P993" s="2" t="n">
        <v>2</v>
      </c>
      <c r="Q993" s="62" t="str">
        <f aca="false">IF(ISBLANK(N993),"",IF(N993&lt;DATE(2023,5,1),"OLD","NEW"))</f>
        <v>OLD</v>
      </c>
      <c r="S993" s="33" t="n">
        <f aca="false">IF(COUNTIF('[1]Plate_1-2_LongFormat'!$A$2:$A$193,G993)&gt;0,1,0)</f>
        <v>1</v>
      </c>
      <c r="T993" s="33" t="n">
        <f aca="false">IF(COUNTIF([2]Attached_indexes!$C$2:$C$193,G993)&gt;0,1,0)</f>
        <v>1</v>
      </c>
      <c r="U993" s="59"/>
      <c r="V993" s="1" t="s">
        <v>982</v>
      </c>
    </row>
    <row r="994" customFormat="false" ht="15.75" hidden="false" customHeight="true" outlineLevel="0" collapsed="false">
      <c r="A994" s="18" t="s">
        <v>688</v>
      </c>
      <c r="B994" s="18" t="s">
        <v>688</v>
      </c>
      <c r="C994" s="18" t="s">
        <v>31</v>
      </c>
      <c r="E994" s="66" t="n">
        <v>5</v>
      </c>
      <c r="F994" s="21" t="str">
        <f aca="false">CONCATENATE(B994,"_",C994, TEXT(E994, "000"))</f>
        <v>YCNB_M. laciniatus005</v>
      </c>
      <c r="G994" s="21" t="s">
        <v>694</v>
      </c>
      <c r="H994" s="18" t="n">
        <v>1</v>
      </c>
      <c r="I994" s="22" t="n">
        <v>44714</v>
      </c>
      <c r="J994" s="2" t="s">
        <v>981</v>
      </c>
      <c r="K994" s="68" t="s">
        <v>1043</v>
      </c>
      <c r="L994" s="2" t="n">
        <v>1</v>
      </c>
      <c r="M994" s="2" t="n">
        <v>1</v>
      </c>
      <c r="N994" s="3" t="n">
        <v>44961</v>
      </c>
      <c r="O994" s="2" t="n">
        <v>6.33</v>
      </c>
      <c r="P994" s="2" t="n">
        <v>2</v>
      </c>
      <c r="Q994" s="62" t="str">
        <f aca="false">IF(ISBLANK(N994),"",IF(N994&lt;DATE(2023,5,1),"OLD","NEW"))</f>
        <v>OLD</v>
      </c>
      <c r="S994" s="33" t="n">
        <f aca="false">IF(COUNTIF('[1]Plate_1-2_LongFormat'!$A$2:$A$193,G994)&gt;0,1,0)</f>
        <v>1</v>
      </c>
      <c r="T994" s="33" t="n">
        <f aca="false">IF(COUNTIF([2]Attached_indexes!$C$2:$C$193,G994)&gt;0,1,0)</f>
        <v>1</v>
      </c>
      <c r="U994" s="59"/>
      <c r="V994" s="1" t="s">
        <v>982</v>
      </c>
    </row>
    <row r="995" customFormat="false" ht="15.75" hidden="false" customHeight="true" outlineLevel="0" collapsed="false">
      <c r="A995" s="18" t="s">
        <v>688</v>
      </c>
      <c r="B995" s="18" t="s">
        <v>688</v>
      </c>
      <c r="C995" s="18" t="s">
        <v>31</v>
      </c>
      <c r="E995" s="66" t="n">
        <v>6</v>
      </c>
      <c r="F995" s="21" t="str">
        <f aca="false">CONCATENATE(B995,"_",C995, TEXT(E995, "000"))</f>
        <v>YCNB_M. laciniatus006</v>
      </c>
      <c r="G995" s="21" t="s">
        <v>696</v>
      </c>
      <c r="H995" s="18" t="n">
        <v>1</v>
      </c>
      <c r="I995" s="22" t="n">
        <v>44714</v>
      </c>
      <c r="J995" s="2" t="s">
        <v>981</v>
      </c>
      <c r="K995" s="68" t="s">
        <v>1017</v>
      </c>
      <c r="L995" s="2" t="n">
        <v>1</v>
      </c>
      <c r="M995" s="2" t="n">
        <v>1</v>
      </c>
      <c r="N995" s="3" t="n">
        <v>45058</v>
      </c>
      <c r="O995" s="2" t="n">
        <v>15</v>
      </c>
      <c r="P995" s="2" t="n">
        <v>3</v>
      </c>
      <c r="Q995" s="62" t="str">
        <f aca="false">IF(ISBLANK(N995),"",IF(N995&lt;DATE(2023,5,1),"OLD","NEW"))</f>
        <v>NEW</v>
      </c>
      <c r="S995" s="33" t="n">
        <f aca="false">IF(COUNTIF('[1]Plate_1-2_LongFormat'!$A$2:$A$193,G995)&gt;0,1,0)</f>
        <v>0</v>
      </c>
      <c r="T995" s="33" t="n">
        <f aca="false">IF(COUNTIF([2]Attached_indexes!$C$2:$C$193,G995)&gt;0,1,0)</f>
        <v>0</v>
      </c>
      <c r="U995" s="59"/>
      <c r="V995" s="1" t="s">
        <v>982</v>
      </c>
    </row>
    <row r="996" customFormat="false" ht="15.75" hidden="false" customHeight="true" outlineLevel="0" collapsed="false">
      <c r="A996" s="18" t="s">
        <v>688</v>
      </c>
      <c r="B996" s="18" t="s">
        <v>688</v>
      </c>
      <c r="C996" s="18" t="s">
        <v>31</v>
      </c>
      <c r="E996" s="66" t="n">
        <v>6</v>
      </c>
      <c r="F996" s="21" t="str">
        <f aca="false">CONCATENATE(B996,"_",C996, TEXT(E996, "000"))</f>
        <v>YCNB_M. laciniatus006</v>
      </c>
      <c r="G996" s="21" t="s">
        <v>696</v>
      </c>
      <c r="H996" s="18" t="n">
        <v>1</v>
      </c>
      <c r="I996" s="22" t="n">
        <v>44714</v>
      </c>
      <c r="J996" s="2" t="s">
        <v>981</v>
      </c>
      <c r="K996" s="68" t="s">
        <v>1017</v>
      </c>
      <c r="L996" s="2" t="n">
        <v>1</v>
      </c>
      <c r="M996" s="2" t="n">
        <v>1</v>
      </c>
      <c r="N996" s="3" t="n">
        <v>45058</v>
      </c>
      <c r="O996" s="2" t="n">
        <v>15</v>
      </c>
      <c r="P996" s="2" t="n">
        <v>3</v>
      </c>
      <c r="Q996" s="62" t="str">
        <f aca="false">IF(ISBLANK(N996),"",IF(N996&lt;DATE(2023,5,1),"OLD","NEW"))</f>
        <v>NEW</v>
      </c>
      <c r="S996" s="33" t="n">
        <f aca="false">IF(COUNTIF('[1]Plate_1-2_LongFormat'!$A$2:$A$193,G996)&gt;0,1,0)</f>
        <v>0</v>
      </c>
      <c r="T996" s="33" t="n">
        <f aca="false">IF(COUNTIF([2]Attached_indexes!$C$2:$C$193,G996)&gt;0,1,0)</f>
        <v>0</v>
      </c>
      <c r="U996" s="59"/>
      <c r="V996" s="1" t="s">
        <v>982</v>
      </c>
    </row>
    <row r="997" customFormat="false" ht="15.75" hidden="false" customHeight="true" outlineLevel="0" collapsed="false">
      <c r="A997" s="18" t="s">
        <v>688</v>
      </c>
      <c r="B997" s="18" t="s">
        <v>688</v>
      </c>
      <c r="C997" s="18" t="s">
        <v>31</v>
      </c>
      <c r="E997" s="66" t="n">
        <v>6</v>
      </c>
      <c r="F997" s="21" t="str">
        <f aca="false">CONCATENATE(B997,"_",C997, TEXT(E997, "000"))</f>
        <v>YCNB_M. laciniatus006</v>
      </c>
      <c r="G997" s="21" t="s">
        <v>696</v>
      </c>
      <c r="H997" s="18" t="n">
        <v>1</v>
      </c>
      <c r="I997" s="22" t="n">
        <v>44714</v>
      </c>
      <c r="J997" s="2" t="s">
        <v>981</v>
      </c>
      <c r="K997" s="68" t="s">
        <v>1017</v>
      </c>
      <c r="L997" s="2" t="n">
        <v>1</v>
      </c>
      <c r="M997" s="2" t="n">
        <v>1</v>
      </c>
      <c r="N997" s="3" t="n">
        <v>45058</v>
      </c>
      <c r="O997" s="2" t="n">
        <v>15</v>
      </c>
      <c r="P997" s="2" t="n">
        <v>3</v>
      </c>
      <c r="Q997" s="62" t="str">
        <f aca="false">IF(ISBLANK(N997),"",IF(N997&lt;DATE(2023,5,1),"OLD","NEW"))</f>
        <v>NEW</v>
      </c>
      <c r="S997" s="33" t="n">
        <f aca="false">IF(COUNTIF('[1]Plate_1-2_LongFormat'!$A$2:$A$193,G997)&gt;0,1,0)</f>
        <v>0</v>
      </c>
      <c r="T997" s="33" t="n">
        <f aca="false">IF(COUNTIF([2]Attached_indexes!$C$2:$C$193,G997)&gt;0,1,0)</f>
        <v>0</v>
      </c>
      <c r="U997" s="59"/>
      <c r="V997" s="1" t="s">
        <v>982</v>
      </c>
    </row>
    <row r="998" customFormat="false" ht="15.75" hidden="false" customHeight="true" outlineLevel="0" collapsed="false">
      <c r="A998" s="18" t="s">
        <v>688</v>
      </c>
      <c r="B998" s="18" t="s">
        <v>688</v>
      </c>
      <c r="C998" s="18" t="s">
        <v>31</v>
      </c>
      <c r="E998" s="66" t="n">
        <v>7</v>
      </c>
      <c r="F998" s="21" t="str">
        <f aca="false">CONCATENATE(B998,"_",C998, TEXT(E998, "000"))</f>
        <v>YCNB_M. laciniatus007</v>
      </c>
      <c r="G998" s="21" t="s">
        <v>697</v>
      </c>
      <c r="H998" s="18" t="n">
        <v>1</v>
      </c>
      <c r="I998" s="22" t="n">
        <v>44714</v>
      </c>
      <c r="J998" s="2" t="s">
        <v>981</v>
      </c>
      <c r="L998" s="2" t="n">
        <v>1</v>
      </c>
      <c r="M998" s="2" t="n">
        <v>1</v>
      </c>
      <c r="N998" s="3" t="n">
        <v>44914</v>
      </c>
      <c r="O998" s="2" t="n">
        <v>12.2</v>
      </c>
      <c r="P998" s="2" t="n">
        <v>2</v>
      </c>
      <c r="Q998" s="62" t="str">
        <f aca="false">IF(ISBLANK(N998),"",IF(N998&lt;DATE(2023,5,1),"OLD","NEW"))</f>
        <v>OLD</v>
      </c>
      <c r="S998" s="33" t="n">
        <f aca="false">IF(COUNTIF('[1]Plate_1-2_LongFormat'!$A$2:$A$193,G998)&gt;0,1,0)</f>
        <v>1</v>
      </c>
      <c r="T998" s="33" t="n">
        <f aca="false">IF(COUNTIF([2]Attached_indexes!$C$2:$C$193,G998)&gt;0,1,0)</f>
        <v>1</v>
      </c>
      <c r="U998" s="59"/>
      <c r="V998" s="1" t="s">
        <v>982</v>
      </c>
    </row>
    <row r="999" customFormat="false" ht="15.75" hidden="false" customHeight="true" outlineLevel="0" collapsed="false">
      <c r="A999" s="18" t="s">
        <v>688</v>
      </c>
      <c r="B999" s="18" t="s">
        <v>688</v>
      </c>
      <c r="C999" s="18" t="s">
        <v>31</v>
      </c>
      <c r="E999" s="66" t="n">
        <v>7</v>
      </c>
      <c r="F999" s="21" t="str">
        <f aca="false">CONCATENATE(B999,"_",C999, TEXT(E999, "000"))</f>
        <v>YCNB_M. laciniatus007</v>
      </c>
      <c r="G999" s="21" t="s">
        <v>697</v>
      </c>
      <c r="H999" s="18" t="n">
        <v>1</v>
      </c>
      <c r="I999" s="22" t="n">
        <v>44714</v>
      </c>
      <c r="J999" s="2" t="s">
        <v>981</v>
      </c>
      <c r="L999" s="2" t="n">
        <v>1</v>
      </c>
      <c r="M999" s="2" t="n">
        <v>1</v>
      </c>
      <c r="N999" s="3" t="n">
        <v>44914</v>
      </c>
      <c r="O999" s="2" t="n">
        <v>12.2</v>
      </c>
      <c r="P999" s="2" t="n">
        <v>2</v>
      </c>
      <c r="Q999" s="62" t="str">
        <f aca="false">IF(ISBLANK(N999),"",IF(N999&lt;DATE(2023,5,1),"OLD","NEW"))</f>
        <v>OLD</v>
      </c>
      <c r="S999" s="33" t="n">
        <f aca="false">IF(COUNTIF('[1]Plate_1-2_LongFormat'!$A$2:$A$193,G999)&gt;0,1,0)</f>
        <v>1</v>
      </c>
      <c r="T999" s="33" t="n">
        <f aca="false">IF(COUNTIF([2]Attached_indexes!$C$2:$C$193,G999)&gt;0,1,0)</f>
        <v>1</v>
      </c>
      <c r="U999" s="59"/>
      <c r="V999" s="1" t="s">
        <v>982</v>
      </c>
    </row>
    <row r="1000" customFormat="false" ht="15.75" hidden="false" customHeight="true" outlineLevel="0" collapsed="false">
      <c r="A1000" s="18" t="s">
        <v>688</v>
      </c>
      <c r="B1000" s="18" t="s">
        <v>688</v>
      </c>
      <c r="C1000" s="18" t="s">
        <v>31</v>
      </c>
      <c r="E1000" s="66" t="n">
        <v>7</v>
      </c>
      <c r="F1000" s="21" t="str">
        <f aca="false">CONCATENATE(B1000,"_",C1000, TEXT(E1000, "000"))</f>
        <v>YCNB_M. laciniatus007</v>
      </c>
      <c r="G1000" s="21" t="s">
        <v>697</v>
      </c>
      <c r="H1000" s="18" t="n">
        <v>1</v>
      </c>
      <c r="I1000" s="22" t="n">
        <v>44714</v>
      </c>
      <c r="J1000" s="2" t="s">
        <v>981</v>
      </c>
      <c r="L1000" s="2" t="n">
        <v>1</v>
      </c>
      <c r="M1000" s="2" t="n">
        <v>1</v>
      </c>
      <c r="N1000" s="3" t="n">
        <v>44914</v>
      </c>
      <c r="O1000" s="2" t="n">
        <v>12.2</v>
      </c>
      <c r="P1000" s="2" t="n">
        <v>2</v>
      </c>
      <c r="Q1000" s="62" t="str">
        <f aca="false">IF(ISBLANK(N1000),"",IF(N1000&lt;DATE(2023,5,1),"OLD","NEW"))</f>
        <v>OLD</v>
      </c>
      <c r="S1000" s="33" t="n">
        <f aca="false">IF(COUNTIF('[1]Plate_1-2_LongFormat'!$A$2:$A$193,G1000)&gt;0,1,0)</f>
        <v>1</v>
      </c>
      <c r="T1000" s="33" t="n">
        <f aca="false">IF(COUNTIF([2]Attached_indexes!$C$2:$C$193,G1000)&gt;0,1,0)</f>
        <v>1</v>
      </c>
      <c r="U1000" s="59"/>
      <c r="V1000" s="1" t="s">
        <v>982</v>
      </c>
    </row>
    <row r="1001" customFormat="false" ht="15.75" hidden="false" customHeight="true" outlineLevel="0" collapsed="false">
      <c r="A1001" s="18" t="s">
        <v>688</v>
      </c>
      <c r="B1001" s="18" t="s">
        <v>688</v>
      </c>
      <c r="C1001" s="18" t="s">
        <v>31</v>
      </c>
      <c r="E1001" s="66" t="n">
        <v>8</v>
      </c>
      <c r="F1001" s="21" t="str">
        <f aca="false">CONCATENATE(B1001,"_",C1001, TEXT(E1001, "000"))</f>
        <v>YCNB_M. laciniatus008</v>
      </c>
      <c r="G1001" s="21" t="s">
        <v>699</v>
      </c>
      <c r="H1001" s="18" t="n">
        <v>1</v>
      </c>
      <c r="I1001" s="22" t="n">
        <v>44714</v>
      </c>
      <c r="J1001" s="2" t="s">
        <v>981</v>
      </c>
      <c r="K1001" s="68" t="s">
        <v>1040</v>
      </c>
      <c r="L1001" s="2" t="n">
        <v>1</v>
      </c>
      <c r="M1001" s="2" t="n">
        <v>1</v>
      </c>
      <c r="N1001" s="3" t="n">
        <v>44961</v>
      </c>
      <c r="O1001" s="2" t="n">
        <v>2.51</v>
      </c>
      <c r="P1001" s="2" t="n">
        <v>3</v>
      </c>
      <c r="Q1001" s="62" t="str">
        <f aca="false">IF(ISBLANK(N1001),"",IF(N1001&lt;DATE(2023,5,1),"OLD","NEW"))</f>
        <v>OLD</v>
      </c>
      <c r="R1001" s="2" t="s">
        <v>1051</v>
      </c>
      <c r="S1001" s="33" t="n">
        <f aca="false">IF(COUNTIF('[1]Plate_1-2_LongFormat'!$A$2:$A$193,G1001)&gt;0,1,0)</f>
        <v>1</v>
      </c>
      <c r="T1001" s="33" t="n">
        <f aca="false">IF(COUNTIF([2]Attached_indexes!$C$2:$C$193,G1001)&gt;0,1,0)</f>
        <v>1</v>
      </c>
      <c r="U1001" s="59"/>
      <c r="V1001" s="1" t="s">
        <v>982</v>
      </c>
    </row>
    <row r="1002" customFormat="false" ht="15.75" hidden="false" customHeight="true" outlineLevel="0" collapsed="false">
      <c r="A1002" s="18" t="s">
        <v>688</v>
      </c>
      <c r="B1002" s="18" t="s">
        <v>688</v>
      </c>
      <c r="C1002" s="18" t="s">
        <v>31</v>
      </c>
      <c r="E1002" s="66" t="n">
        <v>8</v>
      </c>
      <c r="F1002" s="21" t="str">
        <f aca="false">CONCATENATE(B1002,"_",C1002, TEXT(E1002, "000"))</f>
        <v>YCNB_M. laciniatus008</v>
      </c>
      <c r="G1002" s="21" t="s">
        <v>699</v>
      </c>
      <c r="H1002" s="18" t="n">
        <v>1</v>
      </c>
      <c r="I1002" s="22" t="n">
        <v>44714</v>
      </c>
      <c r="J1002" s="2" t="s">
        <v>981</v>
      </c>
      <c r="K1002" s="68" t="s">
        <v>1040</v>
      </c>
      <c r="L1002" s="2" t="n">
        <v>1</v>
      </c>
      <c r="M1002" s="2" t="n">
        <v>1</v>
      </c>
      <c r="N1002" s="3" t="n">
        <v>44961</v>
      </c>
      <c r="O1002" s="2" t="n">
        <v>2.51</v>
      </c>
      <c r="P1002" s="2" t="n">
        <v>3</v>
      </c>
      <c r="Q1002" s="62" t="str">
        <f aca="false">IF(ISBLANK(N1002),"",IF(N1002&lt;DATE(2023,5,1),"OLD","NEW"))</f>
        <v>OLD</v>
      </c>
      <c r="S1002" s="33" t="n">
        <f aca="false">IF(COUNTIF('[1]Plate_1-2_LongFormat'!$A$2:$A$193,G1002)&gt;0,1,0)</f>
        <v>1</v>
      </c>
      <c r="T1002" s="33" t="n">
        <f aca="false">IF(COUNTIF([2]Attached_indexes!$C$2:$C$193,G1002)&gt;0,1,0)</f>
        <v>1</v>
      </c>
      <c r="U1002" s="59"/>
      <c r="V1002" s="1" t="s">
        <v>982</v>
      </c>
    </row>
    <row r="1003" customFormat="false" ht="15.75" hidden="false" customHeight="true" outlineLevel="0" collapsed="false">
      <c r="A1003" s="18" t="s">
        <v>688</v>
      </c>
      <c r="B1003" s="18" t="s">
        <v>688</v>
      </c>
      <c r="C1003" s="18" t="s">
        <v>31</v>
      </c>
      <c r="E1003" s="66" t="n">
        <v>8</v>
      </c>
      <c r="F1003" s="21" t="str">
        <f aca="false">CONCATENATE(B1003,"_",C1003, TEXT(E1003, "000"))</f>
        <v>YCNB_M. laciniatus008</v>
      </c>
      <c r="G1003" s="21" t="s">
        <v>699</v>
      </c>
      <c r="H1003" s="18" t="n">
        <v>1</v>
      </c>
      <c r="I1003" s="22" t="n">
        <v>44714</v>
      </c>
      <c r="J1003" s="2" t="s">
        <v>981</v>
      </c>
      <c r="K1003" s="68" t="s">
        <v>1040</v>
      </c>
      <c r="L1003" s="2" t="n">
        <v>1</v>
      </c>
      <c r="M1003" s="2" t="n">
        <v>1</v>
      </c>
      <c r="N1003" s="3" t="n">
        <v>44961</v>
      </c>
      <c r="O1003" s="2" t="n">
        <v>2.51</v>
      </c>
      <c r="P1003" s="2" t="n">
        <v>3</v>
      </c>
      <c r="Q1003" s="62" t="str">
        <f aca="false">IF(ISBLANK(N1003),"",IF(N1003&lt;DATE(2023,5,1),"OLD","NEW"))</f>
        <v>OLD</v>
      </c>
      <c r="S1003" s="33" t="n">
        <f aca="false">IF(COUNTIF('[1]Plate_1-2_LongFormat'!$A$2:$A$193,G1003)&gt;0,1,0)</f>
        <v>1</v>
      </c>
      <c r="T1003" s="33" t="n">
        <f aca="false">IF(COUNTIF([2]Attached_indexes!$C$2:$C$193,G1003)&gt;0,1,0)</f>
        <v>1</v>
      </c>
      <c r="U1003" s="59"/>
      <c r="V1003" s="1" t="s">
        <v>982</v>
      </c>
    </row>
    <row r="1004" customFormat="false" ht="15.75" hidden="false" customHeight="true" outlineLevel="0" collapsed="false">
      <c r="A1004" s="18" t="s">
        <v>688</v>
      </c>
      <c r="B1004" s="18" t="s">
        <v>688</v>
      </c>
      <c r="C1004" s="18" t="s">
        <v>31</v>
      </c>
      <c r="E1004" s="66" t="n">
        <v>9</v>
      </c>
      <c r="F1004" s="21" t="str">
        <f aca="false">CONCATENATE(B1004,"_",C1004, TEXT(E1004, "000"))</f>
        <v>YCNB_M. laciniatus009</v>
      </c>
      <c r="G1004" s="21" t="s">
        <v>701</v>
      </c>
      <c r="H1004" s="18" t="n">
        <v>1</v>
      </c>
      <c r="I1004" s="22" t="n">
        <v>44714</v>
      </c>
      <c r="J1004" s="2" t="s">
        <v>981</v>
      </c>
      <c r="K1004" s="68" t="s">
        <v>985</v>
      </c>
      <c r="L1004" s="2" t="n">
        <v>1</v>
      </c>
      <c r="M1004" s="2" t="n">
        <v>1</v>
      </c>
      <c r="N1004" s="3" t="n">
        <v>44961</v>
      </c>
      <c r="O1004" s="2" t="n">
        <v>6.8</v>
      </c>
      <c r="P1004" s="2" t="n">
        <v>3</v>
      </c>
      <c r="Q1004" s="62" t="str">
        <f aca="false">IF(ISBLANK(N1004),"",IF(N1004&lt;DATE(2023,5,1),"OLD","NEW"))</f>
        <v>OLD</v>
      </c>
      <c r="S1004" s="33" t="n">
        <f aca="false">IF(COUNTIF('[1]Plate_1-2_LongFormat'!$A$2:$A$193,G1004)&gt;0,1,0)</f>
        <v>1</v>
      </c>
      <c r="T1004" s="33" t="n">
        <f aca="false">IF(COUNTIF([2]Attached_indexes!$C$2:$C$193,G1004)&gt;0,1,0)</f>
        <v>1</v>
      </c>
      <c r="U1004" s="59"/>
      <c r="V1004" s="1" t="s">
        <v>982</v>
      </c>
    </row>
    <row r="1005" customFormat="false" ht="15.75" hidden="false" customHeight="true" outlineLevel="0" collapsed="false">
      <c r="A1005" s="18" t="s">
        <v>688</v>
      </c>
      <c r="B1005" s="18" t="s">
        <v>688</v>
      </c>
      <c r="C1005" s="18" t="s">
        <v>31</v>
      </c>
      <c r="E1005" s="66" t="n">
        <v>9</v>
      </c>
      <c r="F1005" s="21" t="str">
        <f aca="false">CONCATENATE(B1005,"_",C1005, TEXT(E1005, "000"))</f>
        <v>YCNB_M. laciniatus009</v>
      </c>
      <c r="G1005" s="21" t="s">
        <v>701</v>
      </c>
      <c r="H1005" s="18" t="n">
        <v>1</v>
      </c>
      <c r="I1005" s="22" t="n">
        <v>44714</v>
      </c>
      <c r="J1005" s="2" t="s">
        <v>981</v>
      </c>
      <c r="K1005" s="68" t="s">
        <v>985</v>
      </c>
      <c r="L1005" s="2" t="n">
        <v>1</v>
      </c>
      <c r="M1005" s="2" t="n">
        <v>1</v>
      </c>
      <c r="N1005" s="3" t="n">
        <v>44961</v>
      </c>
      <c r="O1005" s="2" t="n">
        <v>6.8</v>
      </c>
      <c r="P1005" s="2" t="n">
        <v>3</v>
      </c>
      <c r="Q1005" s="62" t="str">
        <f aca="false">IF(ISBLANK(N1005),"",IF(N1005&lt;DATE(2023,5,1),"OLD","NEW"))</f>
        <v>OLD</v>
      </c>
      <c r="S1005" s="33" t="n">
        <f aca="false">IF(COUNTIF('[1]Plate_1-2_LongFormat'!$A$2:$A$193,G1005)&gt;0,1,0)</f>
        <v>1</v>
      </c>
      <c r="T1005" s="33" t="n">
        <f aca="false">IF(COUNTIF([2]Attached_indexes!$C$2:$C$193,G1005)&gt;0,1,0)</f>
        <v>1</v>
      </c>
      <c r="U1005" s="59"/>
      <c r="V1005" s="1" t="s">
        <v>982</v>
      </c>
    </row>
    <row r="1006" customFormat="false" ht="15.75" hidden="false" customHeight="true" outlineLevel="0" collapsed="false">
      <c r="A1006" s="18" t="s">
        <v>688</v>
      </c>
      <c r="B1006" s="18" t="s">
        <v>688</v>
      </c>
      <c r="C1006" s="18" t="s">
        <v>31</v>
      </c>
      <c r="E1006" s="66" t="n">
        <v>9</v>
      </c>
      <c r="F1006" s="21" t="str">
        <f aca="false">CONCATENATE(B1006,"_",C1006, TEXT(E1006, "000"))</f>
        <v>YCNB_M. laciniatus009</v>
      </c>
      <c r="G1006" s="21" t="s">
        <v>701</v>
      </c>
      <c r="H1006" s="18" t="n">
        <v>1</v>
      </c>
      <c r="I1006" s="22" t="n">
        <v>44714</v>
      </c>
      <c r="J1006" s="2" t="s">
        <v>981</v>
      </c>
      <c r="K1006" s="68" t="s">
        <v>985</v>
      </c>
      <c r="L1006" s="2" t="n">
        <v>1</v>
      </c>
      <c r="M1006" s="2" t="n">
        <v>1</v>
      </c>
      <c r="N1006" s="3" t="n">
        <v>44961</v>
      </c>
      <c r="O1006" s="2" t="n">
        <v>6.8</v>
      </c>
      <c r="P1006" s="2" t="n">
        <v>3</v>
      </c>
      <c r="Q1006" s="62" t="str">
        <f aca="false">IF(ISBLANK(N1006),"",IF(N1006&lt;DATE(2023,5,1),"OLD","NEW"))</f>
        <v>OLD</v>
      </c>
      <c r="S1006" s="33" t="n">
        <f aca="false">IF(COUNTIF('[1]Plate_1-2_LongFormat'!$A$2:$A$193,G1006)&gt;0,1,0)</f>
        <v>1</v>
      </c>
      <c r="T1006" s="33" t="n">
        <f aca="false">IF(COUNTIF([2]Attached_indexes!$C$2:$C$193,G1006)&gt;0,1,0)</f>
        <v>1</v>
      </c>
      <c r="U1006" s="59"/>
      <c r="V1006" s="1" t="s">
        <v>982</v>
      </c>
    </row>
    <row r="1007" customFormat="false" ht="15.75" hidden="false" customHeight="true" outlineLevel="0" collapsed="false">
      <c r="A1007" s="69"/>
      <c r="B1007" s="69"/>
      <c r="C1007" s="69"/>
      <c r="D1007" s="69"/>
      <c r="E1007" s="78"/>
      <c r="F1007" s="21"/>
      <c r="G1007" s="79" t="s">
        <v>1052</v>
      </c>
      <c r="H1007" s="80" t="n">
        <v>2</v>
      </c>
      <c r="I1007" s="81" t="n">
        <v>44673</v>
      </c>
      <c r="J1007" s="69" t="s">
        <v>981</v>
      </c>
      <c r="K1007" s="82" t="s">
        <v>1053</v>
      </c>
      <c r="L1007" s="69" t="n">
        <v>1</v>
      </c>
      <c r="M1007" s="69" t="n">
        <v>0</v>
      </c>
      <c r="N1007" s="83"/>
      <c r="O1007" s="69"/>
      <c r="P1007" s="2"/>
      <c r="Q1007" s="62" t="str">
        <f aca="false">IF(ISBLANK(N1007),"",IF(N1007&lt;DATE(2023,5,1),"OLD","NEW"))</f>
        <v/>
      </c>
      <c r="S1007" s="33" t="n">
        <f aca="false">IF(COUNTIF('[1]Plate_1-2_LongFormat'!$A$2:$A$193,G1007)&gt;0,1,0)</f>
        <v>0</v>
      </c>
      <c r="T1007" s="33" t="n">
        <f aca="false">IF(COUNTIF([2]Attached_indexes!$C$2:$C$193,G1007)&gt;0,1,0)</f>
        <v>0</v>
      </c>
      <c r="U1007" s="59"/>
      <c r="V1007" s="1" t="s">
        <v>982</v>
      </c>
    </row>
    <row r="1008" customFormat="false" ht="15.75" hidden="false" customHeight="true" outlineLevel="0" collapsed="false">
      <c r="A1008" s="69"/>
      <c r="B1008" s="69"/>
      <c r="C1008" s="69"/>
      <c r="D1008" s="69"/>
      <c r="E1008" s="78"/>
      <c r="F1008" s="21"/>
      <c r="G1008" s="79" t="s">
        <v>1054</v>
      </c>
      <c r="H1008" s="80" t="n">
        <v>2</v>
      </c>
      <c r="I1008" s="81" t="n">
        <v>44673</v>
      </c>
      <c r="J1008" s="69" t="s">
        <v>981</v>
      </c>
      <c r="K1008" s="82" t="s">
        <v>1053</v>
      </c>
      <c r="L1008" s="69" t="n">
        <v>1</v>
      </c>
      <c r="M1008" s="69" t="n">
        <v>0</v>
      </c>
      <c r="N1008" s="83"/>
      <c r="O1008" s="69"/>
      <c r="P1008" s="2"/>
      <c r="Q1008" s="62" t="str">
        <f aca="false">IF(ISBLANK(N1008),"",IF(N1008&lt;DATE(2023,5,1),"OLD","NEW"))</f>
        <v/>
      </c>
      <c r="S1008" s="33" t="n">
        <f aca="false">IF(COUNTIF('[1]Plate_1-2_LongFormat'!$A$2:$A$193,G1008)&gt;0,1,0)</f>
        <v>0</v>
      </c>
      <c r="T1008" s="33" t="n">
        <f aca="false">IF(COUNTIF([2]Attached_indexes!$C$2:$C$193,G1008)&gt;0,1,0)</f>
        <v>0</v>
      </c>
      <c r="U1008" s="59"/>
      <c r="V1008" s="1" t="s">
        <v>982</v>
      </c>
    </row>
    <row r="1009" customFormat="false" ht="15.75" hidden="false" customHeight="true" outlineLevel="0" collapsed="false">
      <c r="A1009" s="69"/>
      <c r="B1009" s="69"/>
      <c r="C1009" s="69"/>
      <c r="D1009" s="69"/>
      <c r="E1009" s="78"/>
      <c r="F1009" s="21"/>
      <c r="G1009" s="79" t="s">
        <v>1055</v>
      </c>
      <c r="H1009" s="80" t="n">
        <v>2</v>
      </c>
      <c r="I1009" s="81" t="n">
        <v>44673</v>
      </c>
      <c r="J1009" s="69" t="s">
        <v>981</v>
      </c>
      <c r="K1009" s="82" t="s">
        <v>1053</v>
      </c>
      <c r="L1009" s="69" t="n">
        <v>1</v>
      </c>
      <c r="M1009" s="69" t="n">
        <v>0</v>
      </c>
      <c r="N1009" s="83"/>
      <c r="O1009" s="69"/>
      <c r="Q1009" s="62" t="str">
        <f aca="false">IF(ISBLANK(N1009),"",IF(N1009&lt;DATE(2023,5,1),"OLD","NEW"))</f>
        <v/>
      </c>
      <c r="S1009" s="33" t="n">
        <f aca="false">IF(COUNTIF('[1]Plate_1-2_LongFormat'!$A$2:$A$193,G1009)&gt;0,1,0)</f>
        <v>0</v>
      </c>
      <c r="T1009" s="33" t="n">
        <f aca="false">IF(COUNTIF([2]Attached_indexes!$C$2:$C$193,G1009)&gt;0,1,0)</f>
        <v>0</v>
      </c>
      <c r="U1009" s="59"/>
      <c r="V1009" s="1" t="s">
        <v>982</v>
      </c>
    </row>
    <row r="1010" customFormat="false" ht="15.75" hidden="false" customHeight="true" outlineLevel="0" collapsed="false">
      <c r="A1010" s="69"/>
      <c r="B1010" s="69"/>
      <c r="C1010" s="69"/>
      <c r="D1010" s="69"/>
      <c r="E1010" s="78"/>
      <c r="F1010" s="21"/>
      <c r="G1010" s="79" t="s">
        <v>1056</v>
      </c>
      <c r="H1010" s="80" t="n">
        <v>2</v>
      </c>
      <c r="I1010" s="81" t="n">
        <v>44673</v>
      </c>
      <c r="J1010" s="69" t="s">
        <v>981</v>
      </c>
      <c r="K1010" s="82" t="s">
        <v>1053</v>
      </c>
      <c r="L1010" s="69" t="n">
        <v>1</v>
      </c>
      <c r="M1010" s="69" t="n">
        <v>0</v>
      </c>
      <c r="N1010" s="83"/>
      <c r="O1010" s="69"/>
      <c r="Q1010" s="62" t="str">
        <f aca="false">IF(ISBLANK(N1010),"",IF(N1010&lt;DATE(2023,5,1),"OLD","NEW"))</f>
        <v/>
      </c>
      <c r="S1010" s="33" t="n">
        <f aca="false">IF(COUNTIF('[1]Plate_1-2_LongFormat'!$A$2:$A$193,G1010)&gt;0,1,0)</f>
        <v>0</v>
      </c>
      <c r="T1010" s="33" t="n">
        <f aca="false">IF(COUNTIF([2]Attached_indexes!$C$2:$C$193,G1010)&gt;0,1,0)</f>
        <v>0</v>
      </c>
      <c r="U1010" s="59"/>
      <c r="V1010" s="1" t="s">
        <v>982</v>
      </c>
    </row>
    <row r="1011" customFormat="false" ht="15.75" hidden="false" customHeight="true" outlineLevel="0" collapsed="false">
      <c r="A1011" s="69"/>
      <c r="B1011" s="69"/>
      <c r="C1011" s="69"/>
      <c r="D1011" s="69"/>
      <c r="E1011" s="78"/>
      <c r="F1011" s="21"/>
      <c r="G1011" s="79" t="s">
        <v>1057</v>
      </c>
      <c r="H1011" s="80" t="n">
        <v>2</v>
      </c>
      <c r="I1011" s="81" t="n">
        <v>44673</v>
      </c>
      <c r="J1011" s="69" t="s">
        <v>981</v>
      </c>
      <c r="K1011" s="82" t="s">
        <v>1053</v>
      </c>
      <c r="L1011" s="69" t="n">
        <v>1</v>
      </c>
      <c r="M1011" s="69" t="n">
        <v>0</v>
      </c>
      <c r="N1011" s="83"/>
      <c r="O1011" s="69"/>
      <c r="Q1011" s="62" t="str">
        <f aca="false">IF(ISBLANK(N1011),"",IF(N1011&lt;DATE(2023,5,1),"OLD","NEW"))</f>
        <v/>
      </c>
      <c r="S1011" s="33" t="n">
        <f aca="false">IF(COUNTIF('[1]Plate_1-2_LongFormat'!$A$2:$A$193,G1011)&gt;0,1,0)</f>
        <v>0</v>
      </c>
      <c r="T1011" s="33" t="n">
        <f aca="false">IF(COUNTIF([2]Attached_indexes!$C$2:$C$193,G1011)&gt;0,1,0)</f>
        <v>0</v>
      </c>
      <c r="U1011" s="59"/>
      <c r="V1011" s="1" t="s">
        <v>982</v>
      </c>
    </row>
    <row r="1012" customFormat="false" ht="15.75" hidden="false" customHeight="true" outlineLevel="0" collapsed="false">
      <c r="A1012" s="69"/>
      <c r="B1012" s="69"/>
      <c r="C1012" s="69"/>
      <c r="D1012" s="69"/>
      <c r="E1012" s="78"/>
      <c r="F1012" s="21"/>
      <c r="G1012" s="79" t="s">
        <v>1058</v>
      </c>
      <c r="H1012" s="80" t="n">
        <v>2</v>
      </c>
      <c r="I1012" s="81" t="n">
        <v>44673</v>
      </c>
      <c r="J1012" s="69" t="s">
        <v>981</v>
      </c>
      <c r="K1012" s="82" t="s">
        <v>1053</v>
      </c>
      <c r="L1012" s="69" t="n">
        <v>1</v>
      </c>
      <c r="M1012" s="69" t="n">
        <v>0</v>
      </c>
      <c r="N1012" s="83"/>
      <c r="O1012" s="69"/>
      <c r="Q1012" s="62" t="str">
        <f aca="false">IF(ISBLANK(N1012),"",IF(N1012&lt;DATE(2023,5,1),"OLD","NEW"))</f>
        <v/>
      </c>
      <c r="S1012" s="33" t="n">
        <f aca="false">IF(COUNTIF('[1]Plate_1-2_LongFormat'!$A$2:$A$193,G1012)&gt;0,1,0)</f>
        <v>0</v>
      </c>
      <c r="T1012" s="33" t="n">
        <f aca="false">IF(COUNTIF([2]Attached_indexes!$C$2:$C$193,G1012)&gt;0,1,0)</f>
        <v>0</v>
      </c>
      <c r="U1012" s="59"/>
      <c r="V1012" s="1" t="s">
        <v>982</v>
      </c>
    </row>
    <row r="1013" customFormat="false" ht="15.75" hidden="false" customHeight="true" outlineLevel="0" collapsed="false">
      <c r="A1013" s="69"/>
      <c r="B1013" s="69"/>
      <c r="C1013" s="69"/>
      <c r="D1013" s="69"/>
      <c r="E1013" s="78"/>
      <c r="F1013" s="21"/>
      <c r="G1013" s="79" t="s">
        <v>1059</v>
      </c>
      <c r="H1013" s="80" t="n">
        <v>2</v>
      </c>
      <c r="I1013" s="81" t="n">
        <v>44673</v>
      </c>
      <c r="J1013" s="69" t="s">
        <v>981</v>
      </c>
      <c r="K1013" s="82" t="s">
        <v>1053</v>
      </c>
      <c r="L1013" s="69" t="n">
        <v>1</v>
      </c>
      <c r="M1013" s="69" t="n">
        <v>0</v>
      </c>
      <c r="N1013" s="83"/>
      <c r="O1013" s="69"/>
      <c r="Q1013" s="62" t="str">
        <f aca="false">IF(ISBLANK(N1013),"",IF(N1013&lt;DATE(2023,5,1),"OLD","NEW"))</f>
        <v/>
      </c>
      <c r="S1013" s="33" t="n">
        <f aca="false">IF(COUNTIF('[1]Plate_1-2_LongFormat'!$A$2:$A$193,G1013)&gt;0,1,0)</f>
        <v>0</v>
      </c>
      <c r="T1013" s="33" t="n">
        <f aca="false">IF(COUNTIF([2]Attached_indexes!$C$2:$C$193,G1013)&gt;0,1,0)</f>
        <v>0</v>
      </c>
      <c r="U1013" s="59"/>
      <c r="V1013" s="1" t="s">
        <v>982</v>
      </c>
    </row>
    <row r="1014" customFormat="false" ht="15.75" hidden="false" customHeight="true" outlineLevel="0" collapsed="false">
      <c r="A1014" s="69"/>
      <c r="B1014" s="69"/>
      <c r="C1014" s="69"/>
      <c r="D1014" s="69"/>
      <c r="E1014" s="78"/>
      <c r="F1014" s="21"/>
      <c r="G1014" s="79" t="s">
        <v>1060</v>
      </c>
      <c r="H1014" s="80" t="n">
        <v>2</v>
      </c>
      <c r="I1014" s="81" t="n">
        <v>44673</v>
      </c>
      <c r="J1014" s="69" t="s">
        <v>981</v>
      </c>
      <c r="K1014" s="69" t="s">
        <v>1061</v>
      </c>
      <c r="L1014" s="69" t="n">
        <v>1</v>
      </c>
      <c r="M1014" s="69" t="n">
        <v>0</v>
      </c>
      <c r="N1014" s="83"/>
      <c r="O1014" s="69"/>
      <c r="Q1014" s="62" t="str">
        <f aca="false">IF(ISBLANK(N1014),"",IF(N1014&lt;DATE(2023,5,1),"OLD","NEW"))</f>
        <v/>
      </c>
      <c r="S1014" s="33" t="n">
        <f aca="false">IF(COUNTIF('[1]Plate_1-2_LongFormat'!$A$2:$A$193,G1014)&gt;0,1,0)</f>
        <v>0</v>
      </c>
      <c r="T1014" s="33" t="n">
        <f aca="false">IF(COUNTIF([2]Attached_indexes!$C$2:$C$193,G1014)&gt;0,1,0)</f>
        <v>0</v>
      </c>
      <c r="U1014" s="59"/>
      <c r="V1014" s="1" t="s">
        <v>982</v>
      </c>
    </row>
    <row r="1015" customFormat="false" ht="15.75" hidden="false" customHeight="true" outlineLevel="0" collapsed="false">
      <c r="A1015" s="69"/>
      <c r="B1015" s="69"/>
      <c r="C1015" s="69"/>
      <c r="D1015" s="69"/>
      <c r="E1015" s="78"/>
      <c r="F1015" s="21"/>
      <c r="G1015" s="79" t="s">
        <v>1062</v>
      </c>
      <c r="H1015" s="80" t="n">
        <v>2</v>
      </c>
      <c r="I1015" s="81" t="n">
        <v>44673</v>
      </c>
      <c r="J1015" s="69" t="s">
        <v>981</v>
      </c>
      <c r="K1015" s="82" t="s">
        <v>1053</v>
      </c>
      <c r="L1015" s="69" t="n">
        <v>1</v>
      </c>
      <c r="M1015" s="69" t="n">
        <v>0</v>
      </c>
      <c r="N1015" s="83"/>
      <c r="O1015" s="69"/>
      <c r="Q1015" s="62" t="str">
        <f aca="false">IF(ISBLANK(N1015),"",IF(N1015&lt;DATE(2023,5,1),"OLD","NEW"))</f>
        <v/>
      </c>
      <c r="S1015" s="33" t="n">
        <f aca="false">IF(COUNTIF('[1]Plate_1-2_LongFormat'!$A$2:$A$193,G1015)&gt;0,1,0)</f>
        <v>0</v>
      </c>
      <c r="T1015" s="33" t="n">
        <f aca="false">IF(COUNTIF([2]Attached_indexes!$C$2:$C$193,G1015)&gt;0,1,0)</f>
        <v>0</v>
      </c>
      <c r="U1015" s="59"/>
      <c r="V1015" s="1" t="s">
        <v>982</v>
      </c>
    </row>
    <row r="1016" customFormat="false" ht="15.75" hidden="false" customHeight="true" outlineLevel="0" collapsed="false">
      <c r="A1016" s="69"/>
      <c r="B1016" s="69"/>
      <c r="C1016" s="69"/>
      <c r="D1016" s="69"/>
      <c r="E1016" s="78"/>
      <c r="F1016" s="21"/>
      <c r="G1016" s="79" t="s">
        <v>1063</v>
      </c>
      <c r="H1016" s="80" t="n">
        <v>2</v>
      </c>
      <c r="I1016" s="81" t="n">
        <v>44673</v>
      </c>
      <c r="J1016" s="69" t="s">
        <v>981</v>
      </c>
      <c r="K1016" s="82" t="s">
        <v>1053</v>
      </c>
      <c r="L1016" s="69" t="n">
        <v>1</v>
      </c>
      <c r="M1016" s="69" t="n">
        <v>0</v>
      </c>
      <c r="N1016" s="83"/>
      <c r="O1016" s="69"/>
      <c r="Q1016" s="62" t="str">
        <f aca="false">IF(ISBLANK(N1016),"",IF(N1016&lt;DATE(2023,5,1),"OLD","NEW"))</f>
        <v/>
      </c>
      <c r="S1016" s="33" t="n">
        <f aca="false">IF(COUNTIF('[1]Plate_1-2_LongFormat'!$A$2:$A$193,G1016)&gt;0,1,0)</f>
        <v>0</v>
      </c>
      <c r="T1016" s="33" t="n">
        <f aca="false">IF(COUNTIF([2]Attached_indexes!$C$2:$C$193,G1016)&gt;0,1,0)</f>
        <v>0</v>
      </c>
      <c r="U1016" s="59"/>
      <c r="V1016" s="1" t="s">
        <v>982</v>
      </c>
    </row>
    <row r="1017" customFormat="false" ht="15.75" hidden="false" customHeight="true" outlineLevel="0" collapsed="false">
      <c r="A1017" s="69"/>
      <c r="B1017" s="69"/>
      <c r="C1017" s="69"/>
      <c r="D1017" s="69"/>
      <c r="E1017" s="78"/>
      <c r="F1017" s="21"/>
      <c r="G1017" s="79" t="s">
        <v>1064</v>
      </c>
      <c r="H1017" s="80" t="n">
        <v>2</v>
      </c>
      <c r="I1017" s="81" t="n">
        <v>44673</v>
      </c>
      <c r="J1017" s="69" t="s">
        <v>981</v>
      </c>
      <c r="K1017" s="82" t="s">
        <v>1053</v>
      </c>
      <c r="L1017" s="69" t="n">
        <v>1</v>
      </c>
      <c r="M1017" s="69" t="n">
        <v>0</v>
      </c>
      <c r="N1017" s="83"/>
      <c r="O1017" s="69"/>
      <c r="Q1017" s="62" t="str">
        <f aca="false">IF(ISBLANK(N1017),"",IF(N1017&lt;DATE(2023,5,1),"OLD","NEW"))</f>
        <v/>
      </c>
      <c r="S1017" s="33" t="n">
        <f aca="false">IF(COUNTIF('[1]Plate_1-2_LongFormat'!$A$2:$A$193,G1017)&gt;0,1,0)</f>
        <v>0</v>
      </c>
      <c r="T1017" s="33" t="n">
        <f aca="false">IF(COUNTIF([2]Attached_indexes!$C$2:$C$193,G1017)&gt;0,1,0)</f>
        <v>0</v>
      </c>
      <c r="U1017" s="59"/>
      <c r="V1017" s="1" t="s">
        <v>982</v>
      </c>
    </row>
    <row r="1018" customFormat="false" ht="15.75" hidden="false" customHeight="true" outlineLevel="0" collapsed="false">
      <c r="A1018" s="69"/>
      <c r="B1018" s="69"/>
      <c r="C1018" s="69"/>
      <c r="D1018" s="69"/>
      <c r="E1018" s="78"/>
      <c r="F1018" s="21"/>
      <c r="G1018" s="79" t="s">
        <v>1065</v>
      </c>
      <c r="H1018" s="80" t="n">
        <v>2</v>
      </c>
      <c r="I1018" s="81" t="n">
        <v>44673</v>
      </c>
      <c r="J1018" s="69" t="s">
        <v>981</v>
      </c>
      <c r="K1018" s="82" t="s">
        <v>1053</v>
      </c>
      <c r="L1018" s="69" t="n">
        <v>1</v>
      </c>
      <c r="M1018" s="69" t="n">
        <v>0</v>
      </c>
      <c r="N1018" s="83"/>
      <c r="O1018" s="69"/>
      <c r="Q1018" s="62" t="str">
        <f aca="false">IF(ISBLANK(N1018),"",IF(N1018&lt;DATE(2023,5,1),"OLD","NEW"))</f>
        <v/>
      </c>
      <c r="S1018" s="33" t="n">
        <f aca="false">IF(COUNTIF('[1]Plate_1-2_LongFormat'!$A$2:$A$193,G1018)&gt;0,1,0)</f>
        <v>0</v>
      </c>
      <c r="T1018" s="33" t="n">
        <f aca="false">IF(COUNTIF([2]Attached_indexes!$C$2:$C$193,G1018)&gt;0,1,0)</f>
        <v>0</v>
      </c>
      <c r="U1018" s="59"/>
      <c r="V1018" s="1" t="s">
        <v>982</v>
      </c>
    </row>
    <row r="1019" customFormat="false" ht="15.75" hidden="false" customHeight="true" outlineLevel="0" collapsed="false">
      <c r="A1019" s="69"/>
      <c r="B1019" s="69"/>
      <c r="C1019" s="69"/>
      <c r="D1019" s="69"/>
      <c r="E1019" s="78"/>
      <c r="F1019" s="21"/>
      <c r="G1019" s="79" t="s">
        <v>1066</v>
      </c>
      <c r="H1019" s="80" t="n">
        <v>2</v>
      </c>
      <c r="I1019" s="81" t="n">
        <v>44673</v>
      </c>
      <c r="J1019" s="69" t="s">
        <v>981</v>
      </c>
      <c r="K1019" s="82" t="s">
        <v>1053</v>
      </c>
      <c r="L1019" s="69" t="n">
        <v>1</v>
      </c>
      <c r="M1019" s="69" t="n">
        <v>0</v>
      </c>
      <c r="N1019" s="83"/>
      <c r="O1019" s="69"/>
      <c r="Q1019" s="62" t="str">
        <f aca="false">IF(ISBLANK(N1019),"",IF(N1019&lt;DATE(2023,5,1),"OLD","NEW"))</f>
        <v/>
      </c>
      <c r="S1019" s="33" t="n">
        <f aca="false">IF(COUNTIF('[1]Plate_1-2_LongFormat'!$A$2:$A$193,G1019)&gt;0,1,0)</f>
        <v>0</v>
      </c>
      <c r="T1019" s="33" t="n">
        <f aca="false">IF(COUNTIF([2]Attached_indexes!$C$2:$C$193,G1019)&gt;0,1,0)</f>
        <v>0</v>
      </c>
      <c r="U1019" s="59"/>
      <c r="V1019" s="1" t="s">
        <v>982</v>
      </c>
    </row>
    <row r="1020" customFormat="false" ht="15.75" hidden="false" customHeight="true" outlineLevel="0" collapsed="false">
      <c r="A1020" s="69"/>
      <c r="B1020" s="69"/>
      <c r="C1020" s="69"/>
      <c r="D1020" s="69"/>
      <c r="E1020" s="78"/>
      <c r="F1020" s="21"/>
      <c r="G1020" s="79" t="s">
        <v>1067</v>
      </c>
      <c r="H1020" s="80" t="n">
        <v>2</v>
      </c>
      <c r="I1020" s="81" t="n">
        <v>44673</v>
      </c>
      <c r="J1020" s="69" t="s">
        <v>981</v>
      </c>
      <c r="K1020" s="82" t="s">
        <v>1053</v>
      </c>
      <c r="L1020" s="69" t="n">
        <v>1</v>
      </c>
      <c r="M1020" s="69" t="n">
        <v>0</v>
      </c>
      <c r="N1020" s="83"/>
      <c r="O1020" s="69"/>
      <c r="Q1020" s="62" t="str">
        <f aca="false">IF(ISBLANK(N1020),"",IF(N1020&lt;DATE(2023,5,1),"OLD","NEW"))</f>
        <v/>
      </c>
      <c r="S1020" s="33" t="n">
        <f aca="false">IF(COUNTIF('[1]Plate_1-2_LongFormat'!$A$2:$A$193,G1020)&gt;0,1,0)</f>
        <v>0</v>
      </c>
      <c r="T1020" s="33" t="n">
        <f aca="false">IF(COUNTIF([2]Attached_indexes!$C$2:$C$193,G1020)&gt;0,1,0)</f>
        <v>0</v>
      </c>
      <c r="U1020" s="59"/>
      <c r="V1020" s="1" t="s">
        <v>982</v>
      </c>
    </row>
    <row r="1021" customFormat="false" ht="15.75" hidden="false" customHeight="true" outlineLevel="0" collapsed="false">
      <c r="A1021" s="69"/>
      <c r="B1021" s="69"/>
      <c r="C1021" s="69"/>
      <c r="D1021" s="69"/>
      <c r="E1021" s="78"/>
      <c r="F1021" s="21"/>
      <c r="G1021" s="79" t="s">
        <v>1068</v>
      </c>
      <c r="H1021" s="80" t="n">
        <v>2</v>
      </c>
      <c r="I1021" s="81" t="n">
        <v>44673</v>
      </c>
      <c r="J1021" s="69" t="s">
        <v>981</v>
      </c>
      <c r="K1021" s="82" t="s">
        <v>1053</v>
      </c>
      <c r="L1021" s="69" t="n">
        <v>1</v>
      </c>
      <c r="M1021" s="69" t="n">
        <v>0</v>
      </c>
      <c r="N1021" s="83"/>
      <c r="O1021" s="69"/>
      <c r="Q1021" s="62" t="str">
        <f aca="false">IF(ISBLANK(N1021),"",IF(N1021&lt;DATE(2023,5,1),"OLD","NEW"))</f>
        <v/>
      </c>
      <c r="S1021" s="33" t="n">
        <f aca="false">IF(COUNTIF('[1]Plate_1-2_LongFormat'!$A$2:$A$193,G1021)&gt;0,1,0)</f>
        <v>0</v>
      </c>
      <c r="T1021" s="33" t="n">
        <f aca="false">IF(COUNTIF([2]Attached_indexes!$C$2:$C$193,G1021)&gt;0,1,0)</f>
        <v>0</v>
      </c>
      <c r="U1021" s="59"/>
      <c r="V1021" s="1" t="s">
        <v>982</v>
      </c>
    </row>
    <row r="1022" customFormat="false" ht="15.75" hidden="false" customHeight="true" outlineLevel="0" collapsed="false">
      <c r="A1022" s="69"/>
      <c r="B1022" s="69"/>
      <c r="C1022" s="69"/>
      <c r="D1022" s="69"/>
      <c r="E1022" s="78"/>
      <c r="F1022" s="21"/>
      <c r="G1022" s="79" t="s">
        <v>1069</v>
      </c>
      <c r="H1022" s="80" t="n">
        <v>2</v>
      </c>
      <c r="I1022" s="81" t="n">
        <v>44673</v>
      </c>
      <c r="J1022" s="69" t="s">
        <v>981</v>
      </c>
      <c r="K1022" s="69" t="s">
        <v>1070</v>
      </c>
      <c r="L1022" s="69" t="n">
        <v>1</v>
      </c>
      <c r="M1022" s="69" t="n">
        <v>0</v>
      </c>
      <c r="N1022" s="83"/>
      <c r="O1022" s="69"/>
      <c r="Q1022" s="62" t="str">
        <f aca="false">IF(ISBLANK(N1022),"",IF(N1022&lt;DATE(2023,5,1),"OLD","NEW"))</f>
        <v/>
      </c>
      <c r="S1022" s="33" t="n">
        <f aca="false">IF(COUNTIF('[1]Plate_1-2_LongFormat'!$A$2:$A$193,G1022)&gt;0,1,0)</f>
        <v>0</v>
      </c>
      <c r="T1022" s="33" t="n">
        <f aca="false">IF(COUNTIF([2]Attached_indexes!$C$2:$C$193,G1022)&gt;0,1,0)</f>
        <v>0</v>
      </c>
      <c r="U1022" s="59"/>
      <c r="V1022" s="1" t="s">
        <v>982</v>
      </c>
    </row>
    <row r="1023" customFormat="false" ht="15.75" hidden="false" customHeight="true" outlineLevel="0" collapsed="false">
      <c r="A1023" s="69"/>
      <c r="B1023" s="69"/>
      <c r="C1023" s="69"/>
      <c r="D1023" s="69"/>
      <c r="E1023" s="78"/>
      <c r="F1023" s="21"/>
      <c r="G1023" s="84" t="s">
        <v>1071</v>
      </c>
      <c r="H1023" s="85" t="n">
        <v>2</v>
      </c>
      <c r="I1023" s="86" t="n">
        <v>44673</v>
      </c>
      <c r="J1023" s="87" t="s">
        <v>981</v>
      </c>
      <c r="K1023" s="88" t="s">
        <v>1053</v>
      </c>
      <c r="L1023" s="87" t="n">
        <v>1</v>
      </c>
      <c r="M1023" s="87" t="n">
        <v>0</v>
      </c>
      <c r="N1023" s="89"/>
      <c r="O1023" s="87"/>
      <c r="P1023" s="87"/>
      <c r="Q1023" s="90" t="str">
        <f aca="false">IF(ISBLANK(N1023),"",IF(N1023&lt;DATE(2023,5,1),"OLD","NEW"))</f>
        <v/>
      </c>
      <c r="R1023" s="87" t="s">
        <v>1072</v>
      </c>
      <c r="S1023" s="33" t="n">
        <f aca="false">IF(COUNTIF('[1]Plate_1-2_LongFormat'!$A$2:$A$193,G1023)&gt;0,1,0)</f>
        <v>0</v>
      </c>
      <c r="T1023" s="33" t="n">
        <f aca="false">IF(COUNTIF([2]Attached_indexes!$C$2:$C$193,G1023)&gt;0,1,0)</f>
        <v>0</v>
      </c>
      <c r="U1023" s="59"/>
      <c r="V1023" s="1" t="s">
        <v>982</v>
      </c>
    </row>
    <row r="1024" customFormat="false" ht="15.75" hidden="false" customHeight="true" outlineLevel="0" collapsed="false">
      <c r="A1024" s="69"/>
      <c r="B1024" s="69"/>
      <c r="C1024" s="69"/>
      <c r="D1024" s="69"/>
      <c r="E1024" s="78"/>
      <c r="F1024" s="21"/>
      <c r="G1024" s="84" t="s">
        <v>1073</v>
      </c>
      <c r="H1024" s="85" t="n">
        <v>2</v>
      </c>
      <c r="I1024" s="86" t="n">
        <v>44673</v>
      </c>
      <c r="J1024" s="87" t="s">
        <v>981</v>
      </c>
      <c r="K1024" s="88" t="s">
        <v>1053</v>
      </c>
      <c r="L1024" s="87" t="n">
        <v>1</v>
      </c>
      <c r="M1024" s="87" t="n">
        <v>0</v>
      </c>
      <c r="N1024" s="89"/>
      <c r="O1024" s="87"/>
      <c r="P1024" s="87"/>
      <c r="Q1024" s="90" t="str">
        <f aca="false">IF(ISBLANK(N1024),"",IF(N1024&lt;DATE(2023,5,1),"OLD","NEW"))</f>
        <v/>
      </c>
      <c r="R1024" s="87"/>
      <c r="S1024" s="33" t="n">
        <f aca="false">IF(COUNTIF('[1]Plate_1-2_LongFormat'!$A$2:$A$193,G1024)&gt;0,1,0)</f>
        <v>0</v>
      </c>
      <c r="T1024" s="33" t="n">
        <f aca="false">IF(COUNTIF([2]Attached_indexes!$C$2:$C$193,G1024)&gt;0,1,0)</f>
        <v>0</v>
      </c>
      <c r="U1024" s="59"/>
      <c r="V1024" s="1" t="s">
        <v>982</v>
      </c>
    </row>
    <row r="1025" customFormat="false" ht="15.75" hidden="false" customHeight="true" outlineLevel="0" collapsed="false">
      <c r="A1025" s="69"/>
      <c r="B1025" s="69"/>
      <c r="C1025" s="69"/>
      <c r="D1025" s="69"/>
      <c r="E1025" s="78"/>
      <c r="F1025" s="21"/>
      <c r="G1025" s="79" t="s">
        <v>1074</v>
      </c>
      <c r="H1025" s="80" t="n">
        <v>2</v>
      </c>
      <c r="I1025" s="81" t="n">
        <v>44321</v>
      </c>
      <c r="J1025" s="69" t="s">
        <v>981</v>
      </c>
      <c r="K1025" s="69"/>
      <c r="L1025" s="69" t="n">
        <v>1</v>
      </c>
      <c r="M1025" s="69" t="n">
        <v>0</v>
      </c>
      <c r="N1025" s="83"/>
      <c r="O1025" s="69"/>
      <c r="Q1025" s="62" t="str">
        <f aca="false">IF(ISBLANK(N1025),"",IF(N1025&lt;DATE(2023,5,1),"OLD","NEW"))</f>
        <v/>
      </c>
      <c r="S1025" s="33" t="n">
        <f aca="false">IF(COUNTIF('[1]Plate_1-2_LongFormat'!$A$2:$A$193,G1025)&gt;0,1,0)</f>
        <v>0</v>
      </c>
      <c r="T1025" s="33" t="n">
        <f aca="false">IF(COUNTIF([2]Attached_indexes!$C$2:$C$193,G1025)&gt;0,1,0)</f>
        <v>0</v>
      </c>
      <c r="U1025" s="59"/>
      <c r="V1025" s="1" t="s">
        <v>982</v>
      </c>
    </row>
    <row r="1026" customFormat="false" ht="15.75" hidden="false" customHeight="true" outlineLevel="0" collapsed="false">
      <c r="A1026" s="69"/>
      <c r="B1026" s="69"/>
      <c r="C1026" s="69"/>
      <c r="D1026" s="69"/>
      <c r="E1026" s="78"/>
      <c r="F1026" s="21"/>
      <c r="G1026" s="79" t="s">
        <v>1075</v>
      </c>
      <c r="H1026" s="80" t="n">
        <v>2</v>
      </c>
      <c r="I1026" s="81" t="n">
        <v>44321</v>
      </c>
      <c r="J1026" s="69" t="s">
        <v>981</v>
      </c>
      <c r="K1026" s="69"/>
      <c r="L1026" s="69" t="n">
        <v>1</v>
      </c>
      <c r="M1026" s="69" t="n">
        <v>0</v>
      </c>
      <c r="N1026" s="83"/>
      <c r="O1026" s="69"/>
      <c r="Q1026" s="62" t="str">
        <f aca="false">IF(ISBLANK(N1026),"",IF(N1026&lt;DATE(2023,5,1),"OLD","NEW"))</f>
        <v/>
      </c>
      <c r="S1026" s="33" t="n">
        <f aca="false">IF(COUNTIF('[1]Plate_1-2_LongFormat'!$A$2:$A$193,G1026)&gt;0,1,0)</f>
        <v>0</v>
      </c>
      <c r="T1026" s="33" t="n">
        <f aca="false">IF(COUNTIF([2]Attached_indexes!$C$2:$C$193,G1026)&gt;0,1,0)</f>
        <v>0</v>
      </c>
      <c r="U1026" s="59"/>
      <c r="V1026" s="1" t="s">
        <v>982</v>
      </c>
    </row>
    <row r="1027" customFormat="false" ht="15.75" hidden="false" customHeight="true" outlineLevel="0" collapsed="false">
      <c r="A1027" s="69"/>
      <c r="B1027" s="69"/>
      <c r="C1027" s="69"/>
      <c r="D1027" s="69"/>
      <c r="E1027" s="78"/>
      <c r="F1027" s="21"/>
      <c r="G1027" s="79" t="s">
        <v>1076</v>
      </c>
      <c r="H1027" s="80" t="n">
        <v>2</v>
      </c>
      <c r="I1027" s="81" t="n">
        <v>44321</v>
      </c>
      <c r="J1027" s="69" t="s">
        <v>981</v>
      </c>
      <c r="K1027" s="69"/>
      <c r="L1027" s="69" t="n">
        <v>1</v>
      </c>
      <c r="M1027" s="69" t="n">
        <v>0</v>
      </c>
      <c r="N1027" s="83"/>
      <c r="O1027" s="69"/>
      <c r="Q1027" s="62" t="str">
        <f aca="false">IF(ISBLANK(N1027),"",IF(N1027&lt;DATE(2023,5,1),"OLD","NEW"))</f>
        <v/>
      </c>
      <c r="S1027" s="33" t="n">
        <f aca="false">IF(COUNTIF('[1]Plate_1-2_LongFormat'!$A$2:$A$193,G1027)&gt;0,1,0)</f>
        <v>0</v>
      </c>
      <c r="T1027" s="33" t="n">
        <f aca="false">IF(COUNTIF([2]Attached_indexes!$C$2:$C$193,G1027)&gt;0,1,0)</f>
        <v>0</v>
      </c>
      <c r="U1027" s="59"/>
      <c r="V1027" s="1" t="s">
        <v>982</v>
      </c>
    </row>
    <row r="1028" customFormat="false" ht="15.75" hidden="false" customHeight="true" outlineLevel="0" collapsed="false">
      <c r="A1028" s="2"/>
      <c r="B1028" s="2"/>
      <c r="C1028" s="2"/>
      <c r="D1028" s="2"/>
      <c r="E1028" s="60"/>
      <c r="F1028" s="18"/>
      <c r="G1028" s="91" t="s">
        <v>1077</v>
      </c>
      <c r="H1028" s="18" t="n">
        <v>2</v>
      </c>
      <c r="I1028" s="22" t="n">
        <v>44686</v>
      </c>
      <c r="J1028" s="2" t="s">
        <v>981</v>
      </c>
      <c r="K1028" s="92" t="s">
        <v>1053</v>
      </c>
      <c r="L1028" s="2" t="n">
        <v>1</v>
      </c>
      <c r="M1028" s="2" t="n">
        <v>1</v>
      </c>
      <c r="N1028" s="3" t="n">
        <v>44870</v>
      </c>
      <c r="O1028" s="2" t="n">
        <v>6.47</v>
      </c>
      <c r="P1028" s="2" t="n">
        <v>1</v>
      </c>
      <c r="Q1028" s="62" t="str">
        <f aca="false">IF(ISBLANK(N1028),"",IF(N1028&lt;DATE(2023,5,1),"OLD","NEW"))</f>
        <v>OLD</v>
      </c>
      <c r="S1028" s="33" t="n">
        <f aca="false">IF(COUNTIF('[1]Plate_1-2_LongFormat'!$A$2:$A$193,G1028)&gt;0,1,0)</f>
        <v>0</v>
      </c>
      <c r="T1028" s="33" t="n">
        <f aca="false">IF(COUNTIF([2]Attached_indexes!$C$2:$C$193,G1028)&gt;0,1,0)</f>
        <v>0</v>
      </c>
      <c r="U1028" s="59"/>
      <c r="V1028" s="1" t="s">
        <v>982</v>
      </c>
    </row>
    <row r="1029" customFormat="false" ht="15.75" hidden="false" customHeight="true" outlineLevel="0" collapsed="false">
      <c r="A1029" s="2"/>
      <c r="B1029" s="2"/>
      <c r="C1029" s="2"/>
      <c r="D1029" s="2"/>
      <c r="E1029" s="60"/>
      <c r="F1029" s="18"/>
      <c r="G1029" s="91" t="s">
        <v>1077</v>
      </c>
      <c r="H1029" s="18" t="n">
        <v>2</v>
      </c>
      <c r="I1029" s="22" t="n">
        <v>44686</v>
      </c>
      <c r="J1029" s="2" t="s">
        <v>981</v>
      </c>
      <c r="K1029" s="92" t="s">
        <v>1053</v>
      </c>
      <c r="L1029" s="2" t="n">
        <v>1</v>
      </c>
      <c r="M1029" s="2" t="n">
        <v>1</v>
      </c>
      <c r="N1029" s="3" t="n">
        <v>44870</v>
      </c>
      <c r="O1029" s="2" t="n">
        <v>6.47</v>
      </c>
      <c r="P1029" s="2" t="n">
        <v>1</v>
      </c>
      <c r="Q1029" s="62" t="str">
        <f aca="false">IF(ISBLANK(N1029),"",IF(N1029&lt;DATE(2023,5,1),"OLD","NEW"))</f>
        <v>OLD</v>
      </c>
      <c r="S1029" s="33" t="n">
        <f aca="false">IF(COUNTIF('[1]Plate_1-2_LongFormat'!$A$2:$A$193,G1029)&gt;0,1,0)</f>
        <v>0</v>
      </c>
      <c r="T1029" s="33" t="n">
        <f aca="false">IF(COUNTIF([2]Attached_indexes!$C$2:$C$193,G1029)&gt;0,1,0)</f>
        <v>0</v>
      </c>
      <c r="U1029" s="59"/>
      <c r="V1029" s="1" t="s">
        <v>982</v>
      </c>
    </row>
    <row r="1030" customFormat="false" ht="15.75" hidden="false" customHeight="true" outlineLevel="0" collapsed="false">
      <c r="A1030" s="2"/>
      <c r="B1030" s="2"/>
      <c r="C1030" s="2"/>
      <c r="D1030" s="2"/>
      <c r="E1030" s="60"/>
      <c r="F1030" s="18"/>
      <c r="G1030" s="91" t="s">
        <v>1077</v>
      </c>
      <c r="H1030" s="18" t="n">
        <v>2</v>
      </c>
      <c r="I1030" s="22" t="n">
        <v>44686</v>
      </c>
      <c r="J1030" s="2" t="s">
        <v>981</v>
      </c>
      <c r="K1030" s="92" t="s">
        <v>1053</v>
      </c>
      <c r="L1030" s="2" t="n">
        <v>1</v>
      </c>
      <c r="M1030" s="2" t="n">
        <v>1</v>
      </c>
      <c r="N1030" s="3" t="n">
        <v>44870</v>
      </c>
      <c r="O1030" s="2" t="n">
        <v>6.47</v>
      </c>
      <c r="P1030" s="2" t="n">
        <v>1</v>
      </c>
      <c r="Q1030" s="62" t="str">
        <f aca="false">IF(ISBLANK(N1030),"",IF(N1030&lt;DATE(2023,5,1),"OLD","NEW"))</f>
        <v>OLD</v>
      </c>
      <c r="S1030" s="33" t="n">
        <f aca="false">IF(COUNTIF('[1]Plate_1-2_LongFormat'!$A$2:$A$193,G1030)&gt;0,1,0)</f>
        <v>0</v>
      </c>
      <c r="T1030" s="33" t="n">
        <f aca="false">IF(COUNTIF([2]Attached_indexes!$C$2:$C$193,G1030)&gt;0,1,0)</f>
        <v>0</v>
      </c>
      <c r="U1030" s="59"/>
      <c r="V1030" s="1" t="s">
        <v>982</v>
      </c>
    </row>
    <row r="1031" customFormat="false" ht="15.75" hidden="false" customHeight="true" outlineLevel="0" collapsed="false">
      <c r="A1031" s="69"/>
      <c r="B1031" s="69"/>
      <c r="C1031" s="69"/>
      <c r="D1031" s="69"/>
      <c r="E1031" s="78"/>
      <c r="F1031" s="21"/>
      <c r="G1031" s="79" t="s">
        <v>1078</v>
      </c>
      <c r="H1031" s="80" t="n">
        <v>2</v>
      </c>
      <c r="I1031" s="81" t="n">
        <v>44686</v>
      </c>
      <c r="J1031" s="69" t="s">
        <v>981</v>
      </c>
      <c r="K1031" s="82" t="s">
        <v>1053</v>
      </c>
      <c r="L1031" s="69" t="n">
        <v>1</v>
      </c>
      <c r="M1031" s="69" t="n">
        <v>0</v>
      </c>
      <c r="N1031" s="83"/>
      <c r="O1031" s="69"/>
      <c r="Q1031" s="62" t="str">
        <f aca="false">IF(ISBLANK(N1031),"",IF(N1031&lt;DATE(2023,5,1),"OLD","NEW"))</f>
        <v/>
      </c>
      <c r="S1031" s="33" t="n">
        <f aca="false">IF(COUNTIF('[1]Plate_1-2_LongFormat'!$A$2:$A$193,G1031)&gt;0,1,0)</f>
        <v>0</v>
      </c>
      <c r="T1031" s="33" t="n">
        <f aca="false">IF(COUNTIF([2]Attached_indexes!$C$2:$C$193,G1031)&gt;0,1,0)</f>
        <v>0</v>
      </c>
      <c r="U1031" s="59"/>
      <c r="V1031" s="1" t="s">
        <v>982</v>
      </c>
    </row>
    <row r="1032" customFormat="false" ht="15.75" hidden="false" customHeight="true" outlineLevel="0" collapsed="false">
      <c r="A1032" s="69"/>
      <c r="B1032" s="69"/>
      <c r="C1032" s="69"/>
      <c r="D1032" s="69"/>
      <c r="E1032" s="78"/>
      <c r="F1032" s="21"/>
      <c r="G1032" s="79" t="s">
        <v>1079</v>
      </c>
      <c r="H1032" s="80" t="n">
        <v>2</v>
      </c>
      <c r="I1032" s="81" t="n">
        <v>44686</v>
      </c>
      <c r="J1032" s="69" t="s">
        <v>981</v>
      </c>
      <c r="K1032" s="82" t="s">
        <v>1053</v>
      </c>
      <c r="L1032" s="69" t="n">
        <v>1</v>
      </c>
      <c r="M1032" s="69" t="n">
        <v>0</v>
      </c>
      <c r="N1032" s="83"/>
      <c r="O1032" s="69"/>
      <c r="Q1032" s="62" t="str">
        <f aca="false">IF(ISBLANK(N1032),"",IF(N1032&lt;DATE(2023,5,1),"OLD","NEW"))</f>
        <v/>
      </c>
      <c r="S1032" s="33" t="n">
        <f aca="false">IF(COUNTIF('[1]Plate_1-2_LongFormat'!$A$2:$A$193,G1032)&gt;0,1,0)</f>
        <v>0</v>
      </c>
      <c r="T1032" s="33" t="n">
        <f aca="false">IF(COUNTIF([2]Attached_indexes!$C$2:$C$193,G1032)&gt;0,1,0)</f>
        <v>0</v>
      </c>
      <c r="U1032" s="59"/>
      <c r="V1032" s="1" t="s">
        <v>982</v>
      </c>
    </row>
    <row r="1033" customFormat="false" ht="15.75" hidden="false" customHeight="true" outlineLevel="0" collapsed="false">
      <c r="A1033" s="69"/>
      <c r="B1033" s="69"/>
      <c r="C1033" s="69"/>
      <c r="D1033" s="69"/>
      <c r="E1033" s="78"/>
      <c r="F1033" s="21"/>
      <c r="G1033" s="79" t="s">
        <v>1080</v>
      </c>
      <c r="H1033" s="80" t="n">
        <v>2</v>
      </c>
      <c r="I1033" s="93" t="n">
        <v>44686</v>
      </c>
      <c r="J1033" s="69" t="s">
        <v>981</v>
      </c>
      <c r="K1033" s="82" t="s">
        <v>1053</v>
      </c>
      <c r="L1033" s="69" t="n">
        <v>1</v>
      </c>
      <c r="M1033" s="69" t="n">
        <v>0</v>
      </c>
      <c r="N1033" s="83"/>
      <c r="O1033" s="69"/>
      <c r="Q1033" s="62" t="str">
        <f aca="false">IF(ISBLANK(N1033),"",IF(N1033&lt;DATE(2023,5,1),"OLD","NEW"))</f>
        <v/>
      </c>
      <c r="S1033" s="33" t="n">
        <f aca="false">IF(COUNTIF('[1]Plate_1-2_LongFormat'!$A$2:$A$193,G1033)&gt;0,1,0)</f>
        <v>0</v>
      </c>
      <c r="T1033" s="33" t="n">
        <f aca="false">IF(COUNTIF([2]Attached_indexes!$C$2:$C$193,G1033)&gt;0,1,0)</f>
        <v>0</v>
      </c>
      <c r="U1033" s="59"/>
      <c r="V1033" s="1" t="s">
        <v>982</v>
      </c>
    </row>
    <row r="1034" customFormat="false" ht="15.75" hidden="false" customHeight="true" outlineLevel="0" collapsed="false">
      <c r="A1034" s="69"/>
      <c r="B1034" s="69"/>
      <c r="C1034" s="69"/>
      <c r="D1034" s="69"/>
      <c r="E1034" s="78"/>
      <c r="F1034" s="21"/>
      <c r="G1034" s="79" t="s">
        <v>1081</v>
      </c>
      <c r="H1034" s="80" t="n">
        <v>2</v>
      </c>
      <c r="I1034" s="93" t="n">
        <v>44686</v>
      </c>
      <c r="J1034" s="69" t="s">
        <v>981</v>
      </c>
      <c r="K1034" s="82" t="s">
        <v>1053</v>
      </c>
      <c r="L1034" s="69" t="n">
        <v>1</v>
      </c>
      <c r="M1034" s="69" t="n">
        <v>0</v>
      </c>
      <c r="N1034" s="83"/>
      <c r="O1034" s="69"/>
      <c r="Q1034" s="62" t="str">
        <f aca="false">IF(ISBLANK(N1034),"",IF(N1034&lt;DATE(2023,5,1),"OLD","NEW"))</f>
        <v/>
      </c>
      <c r="S1034" s="33" t="n">
        <f aca="false">IF(COUNTIF('[1]Plate_1-2_LongFormat'!$A$2:$A$193,G1034)&gt;0,1,0)</f>
        <v>0</v>
      </c>
      <c r="T1034" s="33" t="n">
        <f aca="false">IF(COUNTIF([2]Attached_indexes!$C$2:$C$193,G1034)&gt;0,1,0)</f>
        <v>0</v>
      </c>
      <c r="U1034" s="59"/>
      <c r="V1034" s="1" t="s">
        <v>982</v>
      </c>
    </row>
    <row r="1035" customFormat="false" ht="15.75" hidden="false" customHeight="true" outlineLevel="0" collapsed="false">
      <c r="A1035" s="69"/>
      <c r="B1035" s="69"/>
      <c r="C1035" s="69"/>
      <c r="D1035" s="69"/>
      <c r="E1035" s="78"/>
      <c r="F1035" s="21"/>
      <c r="G1035" s="79" t="s">
        <v>1082</v>
      </c>
      <c r="H1035" s="80" t="n">
        <v>2</v>
      </c>
      <c r="I1035" s="81" t="n">
        <v>44686</v>
      </c>
      <c r="J1035" s="69" t="s">
        <v>981</v>
      </c>
      <c r="K1035" s="82" t="s">
        <v>1053</v>
      </c>
      <c r="L1035" s="69" t="n">
        <v>1</v>
      </c>
      <c r="M1035" s="69" t="n">
        <v>0</v>
      </c>
      <c r="N1035" s="83"/>
      <c r="O1035" s="69"/>
      <c r="Q1035" s="62" t="str">
        <f aca="false">IF(ISBLANK(N1035),"",IF(N1035&lt;DATE(2023,5,1),"OLD","NEW"))</f>
        <v/>
      </c>
      <c r="S1035" s="33" t="n">
        <f aca="false">IF(COUNTIF('[1]Plate_1-2_LongFormat'!$A$2:$A$193,G1035)&gt;0,1,0)</f>
        <v>0</v>
      </c>
      <c r="T1035" s="33" t="n">
        <f aca="false">IF(COUNTIF([2]Attached_indexes!$C$2:$C$193,G1035)&gt;0,1,0)</f>
        <v>0</v>
      </c>
      <c r="U1035" s="59"/>
      <c r="V1035" s="1" t="s">
        <v>982</v>
      </c>
    </row>
    <row r="1036" customFormat="false" ht="15.75" hidden="false" customHeight="true" outlineLevel="0" collapsed="false">
      <c r="A1036" s="69"/>
      <c r="B1036" s="69"/>
      <c r="C1036" s="69"/>
      <c r="D1036" s="69"/>
      <c r="E1036" s="78"/>
      <c r="F1036" s="21"/>
      <c r="G1036" s="79" t="s">
        <v>1083</v>
      </c>
      <c r="H1036" s="80" t="n">
        <v>2</v>
      </c>
      <c r="I1036" s="81" t="n">
        <v>44686</v>
      </c>
      <c r="J1036" s="69" t="s">
        <v>981</v>
      </c>
      <c r="K1036" s="82" t="s">
        <v>1053</v>
      </c>
      <c r="L1036" s="69" t="n">
        <v>1</v>
      </c>
      <c r="M1036" s="69" t="n">
        <v>0</v>
      </c>
      <c r="N1036" s="83"/>
      <c r="O1036" s="69"/>
      <c r="Q1036" s="62" t="str">
        <f aca="false">IF(ISBLANK(N1036),"",IF(N1036&lt;DATE(2023,5,1),"OLD","NEW"))</f>
        <v/>
      </c>
      <c r="S1036" s="33" t="n">
        <f aca="false">IF(COUNTIF('[1]Plate_1-2_LongFormat'!$A$2:$A$193,G1036)&gt;0,1,0)</f>
        <v>0</v>
      </c>
      <c r="T1036" s="33" t="n">
        <f aca="false">IF(COUNTIF([2]Attached_indexes!$C$2:$C$193,G1036)&gt;0,1,0)</f>
        <v>0</v>
      </c>
      <c r="U1036" s="59"/>
      <c r="V1036" s="1" t="s">
        <v>982</v>
      </c>
    </row>
    <row r="1037" customFormat="false" ht="15.75" hidden="false" customHeight="true" outlineLevel="0" collapsed="false">
      <c r="A1037" s="69"/>
      <c r="B1037" s="69"/>
      <c r="C1037" s="69"/>
      <c r="D1037" s="69"/>
      <c r="E1037" s="78"/>
      <c r="F1037" s="21"/>
      <c r="G1037" s="79" t="s">
        <v>1084</v>
      </c>
      <c r="H1037" s="80" t="n">
        <v>2</v>
      </c>
      <c r="I1037" s="81" t="n">
        <v>44686</v>
      </c>
      <c r="J1037" s="69" t="s">
        <v>981</v>
      </c>
      <c r="K1037" s="82" t="s">
        <v>1053</v>
      </c>
      <c r="L1037" s="69" t="n">
        <v>1</v>
      </c>
      <c r="M1037" s="69" t="n">
        <v>0</v>
      </c>
      <c r="N1037" s="83"/>
      <c r="O1037" s="69"/>
      <c r="Q1037" s="62" t="str">
        <f aca="false">IF(ISBLANK(N1037),"",IF(N1037&lt;DATE(2023,5,1),"OLD","NEW"))</f>
        <v/>
      </c>
      <c r="S1037" s="33" t="n">
        <f aca="false">IF(COUNTIF('[1]Plate_1-2_LongFormat'!$A$2:$A$193,G1037)&gt;0,1,0)</f>
        <v>0</v>
      </c>
      <c r="T1037" s="33" t="n">
        <f aca="false">IF(COUNTIF([2]Attached_indexes!$C$2:$C$193,G1037)&gt;0,1,0)</f>
        <v>0</v>
      </c>
      <c r="U1037" s="59"/>
      <c r="V1037" s="1" t="s">
        <v>982</v>
      </c>
    </row>
    <row r="1038" customFormat="false" ht="15.75" hidden="false" customHeight="true" outlineLevel="0" collapsed="false">
      <c r="A1038" s="69"/>
      <c r="B1038" s="69"/>
      <c r="C1038" s="69"/>
      <c r="D1038" s="69"/>
      <c r="E1038" s="78"/>
      <c r="F1038" s="21"/>
      <c r="G1038" s="79" t="s">
        <v>1085</v>
      </c>
      <c r="H1038" s="80" t="n">
        <v>2</v>
      </c>
      <c r="I1038" s="81" t="n">
        <v>44686</v>
      </c>
      <c r="J1038" s="69" t="s">
        <v>981</v>
      </c>
      <c r="K1038" s="82" t="s">
        <v>1053</v>
      </c>
      <c r="L1038" s="69" t="n">
        <v>1</v>
      </c>
      <c r="M1038" s="69" t="n">
        <v>0</v>
      </c>
      <c r="N1038" s="83"/>
      <c r="O1038" s="69"/>
      <c r="Q1038" s="62" t="str">
        <f aca="false">IF(ISBLANK(N1038),"",IF(N1038&lt;DATE(2023,5,1),"OLD","NEW"))</f>
        <v/>
      </c>
      <c r="S1038" s="33" t="n">
        <f aca="false">IF(COUNTIF('[1]Plate_1-2_LongFormat'!$A$2:$A$193,G1038)&gt;0,1,0)</f>
        <v>0</v>
      </c>
      <c r="T1038" s="33" t="n">
        <f aca="false">IF(COUNTIF([2]Attached_indexes!$C$2:$C$193,G1038)&gt;0,1,0)</f>
        <v>0</v>
      </c>
      <c r="U1038" s="59"/>
      <c r="V1038" s="1" t="s">
        <v>982</v>
      </c>
    </row>
    <row r="1039" customFormat="false" ht="15.75" hidden="false" customHeight="true" outlineLevel="0" collapsed="false">
      <c r="A1039" s="69"/>
      <c r="B1039" s="69"/>
      <c r="C1039" s="69"/>
      <c r="D1039" s="69"/>
      <c r="E1039" s="78"/>
      <c r="F1039" s="21"/>
      <c r="G1039" s="79" t="s">
        <v>1086</v>
      </c>
      <c r="H1039" s="80" t="n">
        <v>2</v>
      </c>
      <c r="I1039" s="81" t="n">
        <v>44686</v>
      </c>
      <c r="J1039" s="69" t="s">
        <v>981</v>
      </c>
      <c r="K1039" s="82" t="s">
        <v>1053</v>
      </c>
      <c r="L1039" s="69" t="n">
        <v>1</v>
      </c>
      <c r="M1039" s="69" t="n">
        <v>0</v>
      </c>
      <c r="N1039" s="83"/>
      <c r="O1039" s="69"/>
      <c r="Q1039" s="62" t="str">
        <f aca="false">IF(ISBLANK(N1039),"",IF(N1039&lt;DATE(2023,5,1),"OLD","NEW"))</f>
        <v/>
      </c>
      <c r="S1039" s="33" t="n">
        <f aca="false">IF(COUNTIF('[1]Plate_1-2_LongFormat'!$A$2:$A$193,G1039)&gt;0,1,0)</f>
        <v>0</v>
      </c>
      <c r="T1039" s="33" t="n">
        <f aca="false">IF(COUNTIF([2]Attached_indexes!$C$2:$C$193,G1039)&gt;0,1,0)</f>
        <v>0</v>
      </c>
      <c r="U1039" s="59"/>
      <c r="V1039" s="1" t="s">
        <v>982</v>
      </c>
    </row>
    <row r="1040" customFormat="false" ht="15.75" hidden="false" customHeight="true" outlineLevel="0" collapsed="false">
      <c r="A1040" s="69"/>
      <c r="B1040" s="69"/>
      <c r="C1040" s="69"/>
      <c r="D1040" s="69"/>
      <c r="E1040" s="78"/>
      <c r="F1040" s="21"/>
      <c r="G1040" s="79" t="s">
        <v>1087</v>
      </c>
      <c r="H1040" s="80" t="n">
        <v>2</v>
      </c>
      <c r="I1040" s="81" t="n">
        <v>44371</v>
      </c>
      <c r="J1040" s="69" t="s">
        <v>981</v>
      </c>
      <c r="K1040" s="69" t="s">
        <v>1088</v>
      </c>
      <c r="L1040" s="69" t="n">
        <v>1</v>
      </c>
      <c r="M1040" s="69" t="n">
        <v>0</v>
      </c>
      <c r="N1040" s="83"/>
      <c r="O1040" s="69"/>
      <c r="Q1040" s="62" t="str">
        <f aca="false">IF(ISBLANK(N1040),"",IF(N1040&lt;DATE(2023,5,1),"OLD","NEW"))</f>
        <v/>
      </c>
      <c r="S1040" s="33" t="n">
        <f aca="false">IF(COUNTIF('[1]Plate_1-2_LongFormat'!$A$2:$A$193,G1040)&gt;0,1,0)</f>
        <v>0</v>
      </c>
      <c r="T1040" s="33" t="n">
        <f aca="false">IF(COUNTIF([2]Attached_indexes!$C$2:$C$193,G1040)&gt;0,1,0)</f>
        <v>0</v>
      </c>
      <c r="U1040" s="59"/>
      <c r="V1040" s="1" t="s">
        <v>982</v>
      </c>
    </row>
    <row r="1041" customFormat="false" ht="15.75" hidden="false" customHeight="true" outlineLevel="0" collapsed="false">
      <c r="A1041" s="69"/>
      <c r="B1041" s="69"/>
      <c r="C1041" s="69"/>
      <c r="D1041" s="69"/>
      <c r="E1041" s="78"/>
      <c r="F1041" s="21"/>
      <c r="G1041" s="79" t="s">
        <v>1089</v>
      </c>
      <c r="H1041" s="80" t="n">
        <v>2</v>
      </c>
      <c r="I1041" s="81" t="n">
        <v>44371</v>
      </c>
      <c r="J1041" s="69" t="s">
        <v>981</v>
      </c>
      <c r="K1041" s="94" t="s">
        <v>1090</v>
      </c>
      <c r="L1041" s="69" t="n">
        <v>1</v>
      </c>
      <c r="M1041" s="69" t="n">
        <v>0</v>
      </c>
      <c r="N1041" s="83"/>
      <c r="O1041" s="69"/>
      <c r="Q1041" s="62" t="str">
        <f aca="false">IF(ISBLANK(N1041),"",IF(N1041&lt;DATE(2023,5,1),"OLD","NEW"))</f>
        <v/>
      </c>
      <c r="S1041" s="33" t="n">
        <f aca="false">IF(COUNTIF('[1]Plate_1-2_LongFormat'!$A$2:$A$193,G1041)&gt;0,1,0)</f>
        <v>0</v>
      </c>
      <c r="T1041" s="33" t="n">
        <f aca="false">IF(COUNTIF([2]Attached_indexes!$C$2:$C$193,G1041)&gt;0,1,0)</f>
        <v>0</v>
      </c>
      <c r="U1041" s="59"/>
      <c r="V1041" s="1" t="s">
        <v>982</v>
      </c>
    </row>
    <row r="1042" customFormat="false" ht="15.75" hidden="false" customHeight="true" outlineLevel="0" collapsed="false">
      <c r="A1042" s="69"/>
      <c r="B1042" s="69"/>
      <c r="C1042" s="69"/>
      <c r="D1042" s="69"/>
      <c r="E1042" s="78"/>
      <c r="F1042" s="21"/>
      <c r="G1042" s="79" t="s">
        <v>1091</v>
      </c>
      <c r="H1042" s="80" t="n">
        <v>2</v>
      </c>
      <c r="I1042" s="81" t="n">
        <v>44349</v>
      </c>
      <c r="J1042" s="69" t="s">
        <v>981</v>
      </c>
      <c r="K1042" s="69"/>
      <c r="L1042" s="69" t="n">
        <v>1</v>
      </c>
      <c r="M1042" s="69" t="n">
        <v>0</v>
      </c>
      <c r="N1042" s="83"/>
      <c r="O1042" s="69"/>
      <c r="Q1042" s="62" t="str">
        <f aca="false">IF(ISBLANK(N1042),"",IF(N1042&lt;DATE(2023,5,1),"OLD","NEW"))</f>
        <v/>
      </c>
      <c r="S1042" s="33" t="n">
        <f aca="false">IF(COUNTIF('[1]Plate_1-2_LongFormat'!$A$2:$A$193,G1042)&gt;0,1,0)</f>
        <v>0</v>
      </c>
      <c r="T1042" s="33" t="n">
        <f aca="false">IF(COUNTIF([2]Attached_indexes!$C$2:$C$193,G1042)&gt;0,1,0)</f>
        <v>0</v>
      </c>
      <c r="U1042" s="59"/>
      <c r="V1042" s="1" t="s">
        <v>982</v>
      </c>
    </row>
    <row r="1043" customFormat="false" ht="15.75" hidden="false" customHeight="true" outlineLevel="0" collapsed="false">
      <c r="A1043" s="69"/>
      <c r="B1043" s="69"/>
      <c r="C1043" s="69"/>
      <c r="D1043" s="69"/>
      <c r="E1043" s="78"/>
      <c r="F1043" s="21"/>
      <c r="G1043" s="79" t="s">
        <v>1092</v>
      </c>
      <c r="H1043" s="80" t="n">
        <v>2</v>
      </c>
      <c r="I1043" s="81" t="n">
        <v>44349</v>
      </c>
      <c r="J1043" s="69" t="s">
        <v>981</v>
      </c>
      <c r="K1043" s="69" t="s">
        <v>1093</v>
      </c>
      <c r="L1043" s="69" t="n">
        <v>1</v>
      </c>
      <c r="M1043" s="69" t="n">
        <v>0</v>
      </c>
      <c r="N1043" s="83"/>
      <c r="O1043" s="69"/>
      <c r="Q1043" s="62" t="str">
        <f aca="false">IF(ISBLANK(N1043),"",IF(N1043&lt;DATE(2023,5,1),"OLD","NEW"))</f>
        <v/>
      </c>
      <c r="S1043" s="33" t="n">
        <f aca="false">IF(COUNTIF('[1]Plate_1-2_LongFormat'!$A$2:$A$193,G1043)&gt;0,1,0)</f>
        <v>0</v>
      </c>
      <c r="T1043" s="33" t="n">
        <f aca="false">IF(COUNTIF([2]Attached_indexes!$C$2:$C$193,G1043)&gt;0,1,0)</f>
        <v>0</v>
      </c>
      <c r="U1043" s="59"/>
      <c r="V1043" s="1" t="s">
        <v>982</v>
      </c>
    </row>
    <row r="1044" customFormat="false" ht="15.75" hidden="false" customHeight="true" outlineLevel="0" collapsed="false">
      <c r="A1044" s="69"/>
      <c r="B1044" s="69"/>
      <c r="C1044" s="69"/>
      <c r="D1044" s="69"/>
      <c r="E1044" s="78"/>
      <c r="F1044" s="21"/>
      <c r="G1044" s="79" t="s">
        <v>1094</v>
      </c>
      <c r="H1044" s="80" t="n">
        <v>2</v>
      </c>
      <c r="I1044" s="81" t="n">
        <v>44349</v>
      </c>
      <c r="J1044" s="69" t="s">
        <v>981</v>
      </c>
      <c r="K1044" s="69" t="s">
        <v>1093</v>
      </c>
      <c r="L1044" s="69" t="n">
        <v>1</v>
      </c>
      <c r="M1044" s="69" t="n">
        <v>0</v>
      </c>
      <c r="N1044" s="83"/>
      <c r="O1044" s="69"/>
      <c r="Q1044" s="62" t="str">
        <f aca="false">IF(ISBLANK(N1044),"",IF(N1044&lt;DATE(2023,5,1),"OLD","NEW"))</f>
        <v/>
      </c>
      <c r="S1044" s="33" t="n">
        <f aca="false">IF(COUNTIF('[1]Plate_1-2_LongFormat'!$A$2:$A$193,G1044)&gt;0,1,0)</f>
        <v>0</v>
      </c>
      <c r="T1044" s="33" t="n">
        <f aca="false">IF(COUNTIF([2]Attached_indexes!$C$2:$C$193,G1044)&gt;0,1,0)</f>
        <v>0</v>
      </c>
      <c r="U1044" s="59"/>
      <c r="V1044" s="1" t="s">
        <v>982</v>
      </c>
    </row>
    <row r="1045" customFormat="false" ht="15.75" hidden="false" customHeight="true" outlineLevel="0" collapsed="false">
      <c r="A1045" s="69"/>
      <c r="B1045" s="69"/>
      <c r="C1045" s="69"/>
      <c r="D1045" s="69"/>
      <c r="E1045" s="78"/>
      <c r="F1045" s="21"/>
      <c r="G1045" s="79" t="s">
        <v>1095</v>
      </c>
      <c r="H1045" s="80" t="n">
        <v>2</v>
      </c>
      <c r="I1045" s="81" t="n">
        <v>44328</v>
      </c>
      <c r="J1045" s="69" t="s">
        <v>981</v>
      </c>
      <c r="K1045" s="69"/>
      <c r="L1045" s="69" t="n">
        <v>1</v>
      </c>
      <c r="M1045" s="69" t="n">
        <v>0</v>
      </c>
      <c r="N1045" s="83"/>
      <c r="O1045" s="69"/>
      <c r="Q1045" s="62" t="str">
        <f aca="false">IF(ISBLANK(N1045),"",IF(N1045&lt;DATE(2023,5,1),"OLD","NEW"))</f>
        <v/>
      </c>
      <c r="S1045" s="33" t="n">
        <f aca="false">IF(COUNTIF('[1]Plate_1-2_LongFormat'!$A$2:$A$193,G1045)&gt;0,1,0)</f>
        <v>0</v>
      </c>
      <c r="T1045" s="33" t="n">
        <f aca="false">IF(COUNTIF([2]Attached_indexes!$C$2:$C$193,G1045)&gt;0,1,0)</f>
        <v>0</v>
      </c>
      <c r="U1045" s="59"/>
      <c r="V1045" s="1" t="s">
        <v>982</v>
      </c>
    </row>
    <row r="1046" customFormat="false" ht="15.75" hidden="false" customHeight="true" outlineLevel="0" collapsed="false">
      <c r="A1046" s="69"/>
      <c r="B1046" s="69"/>
      <c r="C1046" s="69"/>
      <c r="D1046" s="69"/>
      <c r="E1046" s="78"/>
      <c r="F1046" s="21"/>
      <c r="G1046" s="79" t="s">
        <v>1096</v>
      </c>
      <c r="H1046" s="80" t="n">
        <v>2</v>
      </c>
      <c r="I1046" s="81" t="n">
        <v>44328</v>
      </c>
      <c r="J1046" s="69" t="s">
        <v>981</v>
      </c>
      <c r="K1046" s="69"/>
      <c r="L1046" s="69" t="n">
        <v>1</v>
      </c>
      <c r="M1046" s="69" t="n">
        <v>0</v>
      </c>
      <c r="N1046" s="83"/>
      <c r="O1046" s="69"/>
      <c r="Q1046" s="62" t="str">
        <f aca="false">IF(ISBLANK(N1046),"",IF(N1046&lt;DATE(2023,5,1),"OLD","NEW"))</f>
        <v/>
      </c>
      <c r="S1046" s="33" t="n">
        <f aca="false">IF(COUNTIF('[1]Plate_1-2_LongFormat'!$A$2:$A$193,G1046)&gt;0,1,0)</f>
        <v>0</v>
      </c>
      <c r="T1046" s="33" t="n">
        <f aca="false">IF(COUNTIF([2]Attached_indexes!$C$2:$C$193,G1046)&gt;0,1,0)</f>
        <v>0</v>
      </c>
      <c r="U1046" s="59"/>
      <c r="V1046" s="1" t="s">
        <v>982</v>
      </c>
    </row>
    <row r="1047" customFormat="false" ht="15.75" hidden="false" customHeight="true" outlineLevel="0" collapsed="false">
      <c r="A1047" s="69"/>
      <c r="B1047" s="69"/>
      <c r="C1047" s="69"/>
      <c r="D1047" s="69"/>
      <c r="E1047" s="78"/>
      <c r="F1047" s="21"/>
      <c r="G1047" s="79" t="s">
        <v>1097</v>
      </c>
      <c r="H1047" s="80" t="n">
        <v>2</v>
      </c>
      <c r="I1047" s="81" t="n">
        <v>44328</v>
      </c>
      <c r="J1047" s="69" t="s">
        <v>981</v>
      </c>
      <c r="K1047" s="69"/>
      <c r="L1047" s="69" t="n">
        <v>1</v>
      </c>
      <c r="M1047" s="69" t="n">
        <v>0</v>
      </c>
      <c r="N1047" s="83"/>
      <c r="O1047" s="69"/>
      <c r="Q1047" s="62" t="str">
        <f aca="false">IF(ISBLANK(N1047),"",IF(N1047&lt;DATE(2023,5,1),"OLD","NEW"))</f>
        <v/>
      </c>
      <c r="S1047" s="33" t="n">
        <f aca="false">IF(COUNTIF('[1]Plate_1-2_LongFormat'!$A$2:$A$193,G1047)&gt;0,1,0)</f>
        <v>0</v>
      </c>
      <c r="T1047" s="33" t="n">
        <f aca="false">IF(COUNTIF([2]Attached_indexes!$C$2:$C$193,G1047)&gt;0,1,0)</f>
        <v>0</v>
      </c>
      <c r="U1047" s="59"/>
      <c r="V1047" s="1" t="s">
        <v>982</v>
      </c>
    </row>
    <row r="1048" customFormat="false" ht="15.75" hidden="false" customHeight="true" outlineLevel="0" collapsed="false">
      <c r="A1048" s="69"/>
      <c r="B1048" s="69"/>
      <c r="C1048" s="69"/>
      <c r="D1048" s="69"/>
      <c r="E1048" s="78"/>
      <c r="F1048" s="21"/>
      <c r="G1048" s="79" t="s">
        <v>1098</v>
      </c>
      <c r="H1048" s="80" t="n">
        <v>2</v>
      </c>
      <c r="I1048" s="81" t="n">
        <v>44328</v>
      </c>
      <c r="J1048" s="69" t="s">
        <v>981</v>
      </c>
      <c r="K1048" s="69" t="s">
        <v>1099</v>
      </c>
      <c r="L1048" s="69" t="n">
        <v>1</v>
      </c>
      <c r="M1048" s="69" t="n">
        <v>0</v>
      </c>
      <c r="N1048" s="83"/>
      <c r="O1048" s="69"/>
      <c r="Q1048" s="62" t="str">
        <f aca="false">IF(ISBLANK(N1048),"",IF(N1048&lt;DATE(2023,5,1),"OLD","NEW"))</f>
        <v/>
      </c>
      <c r="S1048" s="33" t="n">
        <f aca="false">IF(COUNTIF('[1]Plate_1-2_LongFormat'!$A$2:$A$193,G1048)&gt;0,1,0)</f>
        <v>0</v>
      </c>
      <c r="T1048" s="33" t="n">
        <f aca="false">IF(COUNTIF([2]Attached_indexes!$C$2:$C$193,G1048)&gt;0,1,0)</f>
        <v>0</v>
      </c>
      <c r="U1048" s="59"/>
      <c r="V1048" s="1" t="s">
        <v>982</v>
      </c>
    </row>
    <row r="1049" customFormat="false" ht="15.75" hidden="false" customHeight="true" outlineLevel="0" collapsed="false">
      <c r="A1049" s="69"/>
      <c r="B1049" s="69"/>
      <c r="C1049" s="69"/>
      <c r="D1049" s="69"/>
      <c r="E1049" s="78"/>
      <c r="F1049" s="21"/>
      <c r="G1049" s="79" t="s">
        <v>1100</v>
      </c>
      <c r="H1049" s="80" t="n">
        <v>2</v>
      </c>
      <c r="I1049" s="81" t="n">
        <v>44371</v>
      </c>
      <c r="J1049" s="69" t="s">
        <v>981</v>
      </c>
      <c r="K1049" s="69"/>
      <c r="L1049" s="69" t="n">
        <v>1</v>
      </c>
      <c r="M1049" s="69" t="n">
        <v>0</v>
      </c>
      <c r="N1049" s="83"/>
      <c r="O1049" s="69"/>
      <c r="Q1049" s="62" t="str">
        <f aca="false">IF(ISBLANK(N1049),"",IF(N1049&lt;DATE(2023,5,1),"OLD","NEW"))</f>
        <v/>
      </c>
      <c r="S1049" s="33" t="n">
        <f aca="false">IF(COUNTIF('[1]Plate_1-2_LongFormat'!$A$2:$A$193,G1049)&gt;0,1,0)</f>
        <v>0</v>
      </c>
      <c r="T1049" s="33" t="n">
        <f aca="false">IF(COUNTIF([2]Attached_indexes!$C$2:$C$193,G1049)&gt;0,1,0)</f>
        <v>0</v>
      </c>
      <c r="U1049" s="59"/>
      <c r="V1049" s="1" t="s">
        <v>982</v>
      </c>
    </row>
    <row r="1050" customFormat="false" ht="15.75" hidden="false" customHeight="true" outlineLevel="0" collapsed="false">
      <c r="A1050" s="69"/>
      <c r="B1050" s="69"/>
      <c r="C1050" s="69"/>
      <c r="D1050" s="69"/>
      <c r="E1050" s="78"/>
      <c r="F1050" s="21"/>
      <c r="G1050" s="79" t="s">
        <v>1101</v>
      </c>
      <c r="H1050" s="80" t="n">
        <v>2</v>
      </c>
      <c r="I1050" s="81" t="n">
        <v>44371</v>
      </c>
      <c r="J1050" s="69" t="s">
        <v>981</v>
      </c>
      <c r="K1050" s="69"/>
      <c r="L1050" s="69" t="n">
        <v>1</v>
      </c>
      <c r="M1050" s="69" t="n">
        <v>0</v>
      </c>
      <c r="N1050" s="83"/>
      <c r="O1050" s="69"/>
      <c r="Q1050" s="62" t="str">
        <f aca="false">IF(ISBLANK(N1050),"",IF(N1050&lt;DATE(2023,5,1),"OLD","NEW"))</f>
        <v/>
      </c>
      <c r="S1050" s="33" t="n">
        <f aca="false">IF(COUNTIF('[1]Plate_1-2_LongFormat'!$A$2:$A$193,G1050)&gt;0,1,0)</f>
        <v>0</v>
      </c>
      <c r="T1050" s="33" t="n">
        <f aca="false">IF(COUNTIF([2]Attached_indexes!$C$2:$C$193,G1050)&gt;0,1,0)</f>
        <v>0</v>
      </c>
      <c r="U1050" s="59"/>
      <c r="V1050" s="1" t="s">
        <v>982</v>
      </c>
    </row>
    <row r="1051" customFormat="false" ht="15.75" hidden="false" customHeight="true" outlineLevel="0" collapsed="false">
      <c r="A1051" s="69"/>
      <c r="B1051" s="69"/>
      <c r="C1051" s="69"/>
      <c r="D1051" s="69"/>
      <c r="E1051" s="78"/>
      <c r="F1051" s="21"/>
      <c r="G1051" s="79" t="s">
        <v>1102</v>
      </c>
      <c r="H1051" s="80" t="n">
        <v>2</v>
      </c>
      <c r="I1051" s="81" t="n">
        <v>44323</v>
      </c>
      <c r="J1051" s="69" t="s">
        <v>981</v>
      </c>
      <c r="K1051" s="69"/>
      <c r="L1051" s="69" t="n">
        <v>1</v>
      </c>
      <c r="M1051" s="69" t="n">
        <v>0</v>
      </c>
      <c r="N1051" s="83"/>
      <c r="O1051" s="69"/>
      <c r="Q1051" s="62" t="str">
        <f aca="false">IF(ISBLANK(N1051),"",IF(N1051&lt;DATE(2023,5,1),"OLD","NEW"))</f>
        <v/>
      </c>
      <c r="S1051" s="33" t="n">
        <f aca="false">IF(COUNTIF('[1]Plate_1-2_LongFormat'!$A$2:$A$193,G1051)&gt;0,1,0)</f>
        <v>0</v>
      </c>
      <c r="T1051" s="33" t="n">
        <f aca="false">IF(COUNTIF([2]Attached_indexes!$C$2:$C$193,G1051)&gt;0,1,0)</f>
        <v>0</v>
      </c>
      <c r="U1051" s="59"/>
      <c r="V1051" s="1" t="s">
        <v>982</v>
      </c>
    </row>
    <row r="1052" customFormat="false" ht="15.75" hidden="false" customHeight="true" outlineLevel="0" collapsed="false">
      <c r="A1052" s="69"/>
      <c r="B1052" s="69"/>
      <c r="C1052" s="69"/>
      <c r="D1052" s="69"/>
      <c r="E1052" s="78"/>
      <c r="F1052" s="21"/>
      <c r="G1052" s="79" t="s">
        <v>1103</v>
      </c>
      <c r="H1052" s="80" t="n">
        <v>2</v>
      </c>
      <c r="I1052" s="81" t="n">
        <v>44323</v>
      </c>
      <c r="J1052" s="69" t="s">
        <v>981</v>
      </c>
      <c r="K1052" s="69"/>
      <c r="L1052" s="69" t="n">
        <v>1</v>
      </c>
      <c r="M1052" s="69" t="n">
        <v>0</v>
      </c>
      <c r="N1052" s="83"/>
      <c r="O1052" s="69"/>
      <c r="Q1052" s="62" t="str">
        <f aca="false">IF(ISBLANK(N1052),"",IF(N1052&lt;DATE(2023,5,1),"OLD","NEW"))</f>
        <v/>
      </c>
      <c r="S1052" s="33" t="n">
        <f aca="false">IF(COUNTIF('[1]Plate_1-2_LongFormat'!$A$2:$A$193,G1052)&gt;0,1,0)</f>
        <v>0</v>
      </c>
      <c r="T1052" s="33" t="n">
        <f aca="false">IF(COUNTIF([2]Attached_indexes!$C$2:$C$193,G1052)&gt;0,1,0)</f>
        <v>0</v>
      </c>
      <c r="U1052" s="59"/>
      <c r="V1052" s="1" t="s">
        <v>982</v>
      </c>
    </row>
    <row r="1053" customFormat="false" ht="15.75" hidden="false" customHeight="true" outlineLevel="0" collapsed="false">
      <c r="A1053" s="69"/>
      <c r="B1053" s="69"/>
      <c r="C1053" s="69"/>
      <c r="D1053" s="69"/>
      <c r="E1053" s="78"/>
      <c r="F1053" s="21"/>
      <c r="G1053" s="79" t="s">
        <v>1104</v>
      </c>
      <c r="H1053" s="80" t="n">
        <v>2</v>
      </c>
      <c r="I1053" s="81" t="n">
        <v>44323</v>
      </c>
      <c r="J1053" s="69" t="s">
        <v>981</v>
      </c>
      <c r="K1053" s="69" t="s">
        <v>1093</v>
      </c>
      <c r="L1053" s="69" t="n">
        <v>1</v>
      </c>
      <c r="M1053" s="69" t="n">
        <v>0</v>
      </c>
      <c r="N1053" s="83"/>
      <c r="O1053" s="69"/>
      <c r="Q1053" s="62" t="str">
        <f aca="false">IF(ISBLANK(N1053),"",IF(N1053&lt;DATE(2023,5,1),"OLD","NEW"))</f>
        <v/>
      </c>
      <c r="S1053" s="33" t="n">
        <f aca="false">IF(COUNTIF('[1]Plate_1-2_LongFormat'!$A$2:$A$193,G1053)&gt;0,1,0)</f>
        <v>0</v>
      </c>
      <c r="T1053" s="33" t="n">
        <f aca="false">IF(COUNTIF([2]Attached_indexes!$C$2:$C$193,G1053)&gt;0,1,0)</f>
        <v>0</v>
      </c>
      <c r="U1053" s="59"/>
      <c r="V1053" s="1" t="s">
        <v>982</v>
      </c>
    </row>
    <row r="1054" customFormat="false" ht="15.75" hidden="false" customHeight="true" outlineLevel="0" collapsed="false">
      <c r="A1054" s="69"/>
      <c r="B1054" s="69"/>
      <c r="C1054" s="69"/>
      <c r="D1054" s="69"/>
      <c r="E1054" s="78"/>
      <c r="F1054" s="21"/>
      <c r="G1054" s="79" t="s">
        <v>1105</v>
      </c>
      <c r="H1054" s="80" t="n">
        <v>2</v>
      </c>
      <c r="I1054" s="81" t="n">
        <v>44323</v>
      </c>
      <c r="J1054" s="69" t="s">
        <v>981</v>
      </c>
      <c r="K1054" s="69" t="s">
        <v>1093</v>
      </c>
      <c r="L1054" s="69" t="n">
        <v>1</v>
      </c>
      <c r="M1054" s="69" t="n">
        <v>0</v>
      </c>
      <c r="N1054" s="83"/>
      <c r="O1054" s="69"/>
      <c r="Q1054" s="62" t="str">
        <f aca="false">IF(ISBLANK(N1054),"",IF(N1054&lt;DATE(2023,5,1),"OLD","NEW"))</f>
        <v/>
      </c>
      <c r="S1054" s="33" t="n">
        <f aca="false">IF(COUNTIF('[1]Plate_1-2_LongFormat'!$A$2:$A$193,G1054)&gt;0,1,0)</f>
        <v>0</v>
      </c>
      <c r="T1054" s="33" t="n">
        <f aca="false">IF(COUNTIF([2]Attached_indexes!$C$2:$C$193,G1054)&gt;0,1,0)</f>
        <v>0</v>
      </c>
      <c r="U1054" s="59"/>
      <c r="V1054" s="1" t="s">
        <v>982</v>
      </c>
    </row>
    <row r="1055" customFormat="false" ht="15.75" hidden="false" customHeight="true" outlineLevel="0" collapsed="false">
      <c r="A1055" s="69"/>
      <c r="B1055" s="69"/>
      <c r="C1055" s="69"/>
      <c r="D1055" s="69"/>
      <c r="E1055" s="78"/>
      <c r="F1055" s="21"/>
      <c r="G1055" s="79" t="s">
        <v>1106</v>
      </c>
      <c r="H1055" s="80" t="n">
        <v>2</v>
      </c>
      <c r="I1055" s="81" t="n">
        <v>44323</v>
      </c>
      <c r="J1055" s="69" t="s">
        <v>981</v>
      </c>
      <c r="K1055" s="69"/>
      <c r="L1055" s="69" t="n">
        <v>1</v>
      </c>
      <c r="M1055" s="69" t="n">
        <v>0</v>
      </c>
      <c r="N1055" s="83"/>
      <c r="O1055" s="69"/>
      <c r="Q1055" s="62" t="str">
        <f aca="false">IF(ISBLANK(N1055),"",IF(N1055&lt;DATE(2023,5,1),"OLD","NEW"))</f>
        <v/>
      </c>
      <c r="S1055" s="33" t="n">
        <f aca="false">IF(COUNTIF('[1]Plate_1-2_LongFormat'!$A$2:$A$193,G1055)&gt;0,1,0)</f>
        <v>0</v>
      </c>
      <c r="T1055" s="33" t="n">
        <f aca="false">IF(COUNTIF([2]Attached_indexes!$C$2:$C$193,G1055)&gt;0,1,0)</f>
        <v>0</v>
      </c>
      <c r="U1055" s="59"/>
      <c r="V1055" s="1" t="s">
        <v>982</v>
      </c>
    </row>
    <row r="1056" customFormat="false" ht="15.75" hidden="false" customHeight="true" outlineLevel="0" collapsed="false">
      <c r="A1056" s="69"/>
      <c r="B1056" s="69"/>
      <c r="C1056" s="69"/>
      <c r="D1056" s="69"/>
      <c r="E1056" s="78"/>
      <c r="F1056" s="21"/>
      <c r="G1056" s="79" t="s">
        <v>1107</v>
      </c>
      <c r="H1056" s="80" t="n">
        <v>2</v>
      </c>
      <c r="I1056" s="81" t="n">
        <v>44321</v>
      </c>
      <c r="J1056" s="69" t="s">
        <v>981</v>
      </c>
      <c r="K1056" s="69"/>
      <c r="L1056" s="69" t="n">
        <v>1</v>
      </c>
      <c r="M1056" s="69" t="n">
        <v>0</v>
      </c>
      <c r="N1056" s="83"/>
      <c r="O1056" s="69"/>
      <c r="Q1056" s="62" t="str">
        <f aca="false">IF(ISBLANK(N1056),"",IF(N1056&lt;DATE(2023,5,1),"OLD","NEW"))</f>
        <v/>
      </c>
      <c r="S1056" s="33" t="n">
        <f aca="false">IF(COUNTIF('[1]Plate_1-2_LongFormat'!$A$2:$A$193,G1056)&gt;0,1,0)</f>
        <v>0</v>
      </c>
      <c r="T1056" s="33" t="n">
        <f aca="false">IF(COUNTIF([2]Attached_indexes!$C$2:$C$193,G1056)&gt;0,1,0)</f>
        <v>0</v>
      </c>
      <c r="U1056" s="59"/>
      <c r="V1056" s="1" t="s">
        <v>982</v>
      </c>
    </row>
    <row r="1057" customFormat="false" ht="15.75" hidden="false" customHeight="true" outlineLevel="0" collapsed="false">
      <c r="A1057" s="69"/>
      <c r="B1057" s="69"/>
      <c r="C1057" s="69"/>
      <c r="D1057" s="69"/>
      <c r="E1057" s="78"/>
      <c r="F1057" s="21"/>
      <c r="G1057" s="79" t="s">
        <v>1108</v>
      </c>
      <c r="H1057" s="80" t="n">
        <v>2</v>
      </c>
      <c r="I1057" s="81" t="n">
        <v>44321</v>
      </c>
      <c r="J1057" s="69" t="s">
        <v>981</v>
      </c>
      <c r="K1057" s="69"/>
      <c r="L1057" s="69" t="n">
        <v>1</v>
      </c>
      <c r="M1057" s="69" t="n">
        <v>0</v>
      </c>
      <c r="N1057" s="83"/>
      <c r="O1057" s="69"/>
      <c r="Q1057" s="62" t="str">
        <f aca="false">IF(ISBLANK(N1057),"",IF(N1057&lt;DATE(2023,5,1),"OLD","NEW"))</f>
        <v/>
      </c>
      <c r="S1057" s="33" t="n">
        <f aca="false">IF(COUNTIF('[1]Plate_1-2_LongFormat'!$A$2:$A$193,G1057)&gt;0,1,0)</f>
        <v>0</v>
      </c>
      <c r="T1057" s="33" t="n">
        <f aca="false">IF(COUNTIF([2]Attached_indexes!$C$2:$C$193,G1057)&gt;0,1,0)</f>
        <v>0</v>
      </c>
      <c r="U1057" s="59"/>
      <c r="V1057" s="1" t="s">
        <v>982</v>
      </c>
    </row>
    <row r="1058" customFormat="false" ht="15.75" hidden="false" customHeight="true" outlineLevel="0" collapsed="false">
      <c r="A1058" s="69"/>
      <c r="B1058" s="69"/>
      <c r="C1058" s="69"/>
      <c r="D1058" s="69"/>
      <c r="E1058" s="78"/>
      <c r="F1058" s="21"/>
      <c r="G1058" s="79" t="s">
        <v>1109</v>
      </c>
      <c r="H1058" s="80" t="n">
        <v>2</v>
      </c>
      <c r="I1058" s="81" t="n">
        <v>44321</v>
      </c>
      <c r="J1058" s="69" t="s">
        <v>981</v>
      </c>
      <c r="K1058" s="69"/>
      <c r="L1058" s="69" t="n">
        <v>1</v>
      </c>
      <c r="M1058" s="69" t="n">
        <v>0</v>
      </c>
      <c r="N1058" s="83"/>
      <c r="O1058" s="69"/>
      <c r="Q1058" s="62" t="str">
        <f aca="false">IF(ISBLANK(N1058),"",IF(N1058&lt;DATE(2023,5,1),"OLD","NEW"))</f>
        <v/>
      </c>
      <c r="S1058" s="33" t="n">
        <f aca="false">IF(COUNTIF('[1]Plate_1-2_LongFormat'!$A$2:$A$193,G1058)&gt;0,1,0)</f>
        <v>0</v>
      </c>
      <c r="T1058" s="33" t="n">
        <f aca="false">IF(COUNTIF([2]Attached_indexes!$C$2:$C$193,G1058)&gt;0,1,0)</f>
        <v>0</v>
      </c>
      <c r="U1058" s="59"/>
      <c r="V1058" s="1" t="s">
        <v>982</v>
      </c>
    </row>
    <row r="1059" customFormat="false" ht="15.75" hidden="false" customHeight="true" outlineLevel="0" collapsed="false">
      <c r="A1059" s="69"/>
      <c r="B1059" s="69"/>
      <c r="C1059" s="69"/>
      <c r="D1059" s="69"/>
      <c r="E1059" s="78"/>
      <c r="F1059" s="21"/>
      <c r="G1059" s="79" t="s">
        <v>1110</v>
      </c>
      <c r="H1059" s="80" t="n">
        <v>2</v>
      </c>
      <c r="I1059" s="81" t="n">
        <v>44321</v>
      </c>
      <c r="J1059" s="69" t="s">
        <v>981</v>
      </c>
      <c r="K1059" s="69"/>
      <c r="L1059" s="69" t="n">
        <v>1</v>
      </c>
      <c r="M1059" s="69" t="n">
        <v>0</v>
      </c>
      <c r="N1059" s="83"/>
      <c r="O1059" s="69"/>
      <c r="Q1059" s="62" t="str">
        <f aca="false">IF(ISBLANK(N1059),"",IF(N1059&lt;DATE(2023,5,1),"OLD","NEW"))</f>
        <v/>
      </c>
      <c r="S1059" s="33" t="n">
        <f aca="false">IF(COUNTIF('[1]Plate_1-2_LongFormat'!$A$2:$A$193,G1059)&gt;0,1,0)</f>
        <v>0</v>
      </c>
      <c r="T1059" s="33" t="n">
        <f aca="false">IF(COUNTIF([2]Attached_indexes!$C$2:$C$193,G1059)&gt;0,1,0)</f>
        <v>0</v>
      </c>
      <c r="U1059" s="59"/>
      <c r="V1059" s="1" t="s">
        <v>982</v>
      </c>
    </row>
    <row r="1060" customFormat="false" ht="15.75" hidden="false" customHeight="true" outlineLevel="0" collapsed="false">
      <c r="A1060" s="69"/>
      <c r="B1060" s="69"/>
      <c r="C1060" s="69"/>
      <c r="D1060" s="69"/>
      <c r="E1060" s="78"/>
      <c r="F1060" s="21"/>
      <c r="G1060" s="79" t="s">
        <v>1111</v>
      </c>
      <c r="H1060" s="80" t="n">
        <v>2</v>
      </c>
      <c r="I1060" s="81" t="n">
        <v>44714</v>
      </c>
      <c r="J1060" s="69" t="s">
        <v>981</v>
      </c>
      <c r="K1060" s="69"/>
      <c r="L1060" s="69" t="n">
        <v>1</v>
      </c>
      <c r="M1060" s="69" t="n">
        <v>0</v>
      </c>
      <c r="N1060" s="83"/>
      <c r="O1060" s="69"/>
      <c r="Q1060" s="62" t="str">
        <f aca="false">IF(ISBLANK(N1060),"",IF(N1060&lt;DATE(2023,5,1),"OLD","NEW"))</f>
        <v/>
      </c>
      <c r="S1060" s="33" t="n">
        <f aca="false">IF(COUNTIF('[1]Plate_1-2_LongFormat'!$A$2:$A$193,G1060)&gt;0,1,0)</f>
        <v>0</v>
      </c>
      <c r="T1060" s="33" t="n">
        <f aca="false">IF(COUNTIF([2]Attached_indexes!$C$2:$C$193,G1060)&gt;0,1,0)</f>
        <v>0</v>
      </c>
      <c r="U1060" s="59"/>
      <c r="V1060" s="1" t="s">
        <v>982</v>
      </c>
    </row>
    <row r="1061" customFormat="false" ht="15.75" hidden="false" customHeight="true" outlineLevel="0" collapsed="false">
      <c r="A1061" s="69"/>
      <c r="B1061" s="69"/>
      <c r="C1061" s="69"/>
      <c r="D1061" s="69"/>
      <c r="E1061" s="78"/>
      <c r="F1061" s="21"/>
      <c r="G1061" s="79" t="s">
        <v>1112</v>
      </c>
      <c r="H1061" s="80" t="n">
        <v>2</v>
      </c>
      <c r="I1061" s="81" t="n">
        <v>44714</v>
      </c>
      <c r="J1061" s="69" t="s">
        <v>981</v>
      </c>
      <c r="K1061" s="69"/>
      <c r="L1061" s="69" t="n">
        <v>1</v>
      </c>
      <c r="M1061" s="69" t="n">
        <v>0</v>
      </c>
      <c r="N1061" s="83"/>
      <c r="O1061" s="69"/>
      <c r="Q1061" s="62" t="str">
        <f aca="false">IF(ISBLANK(N1061),"",IF(N1061&lt;DATE(2023,5,1),"OLD","NEW"))</f>
        <v/>
      </c>
      <c r="S1061" s="33" t="n">
        <f aca="false">IF(COUNTIF('[1]Plate_1-2_LongFormat'!$A$2:$A$193,G1061)&gt;0,1,0)</f>
        <v>0</v>
      </c>
      <c r="T1061" s="33" t="n">
        <f aca="false">IF(COUNTIF([2]Attached_indexes!$C$2:$C$193,G1061)&gt;0,1,0)</f>
        <v>0</v>
      </c>
      <c r="U1061" s="59"/>
      <c r="V1061" s="1" t="s">
        <v>982</v>
      </c>
    </row>
    <row r="1062" customFormat="false" ht="15.75" hidden="false" customHeight="true" outlineLevel="0" collapsed="false">
      <c r="A1062" s="69"/>
      <c r="B1062" s="69"/>
      <c r="C1062" s="69"/>
      <c r="D1062" s="69"/>
      <c r="E1062" s="78"/>
      <c r="F1062" s="21"/>
      <c r="G1062" s="79" t="s">
        <v>1113</v>
      </c>
      <c r="H1062" s="80" t="n">
        <v>2</v>
      </c>
      <c r="I1062" s="81" t="n">
        <v>44319</v>
      </c>
      <c r="J1062" s="69" t="s">
        <v>981</v>
      </c>
      <c r="K1062" s="69"/>
      <c r="L1062" s="69" t="n">
        <v>1</v>
      </c>
      <c r="M1062" s="69" t="n">
        <v>0</v>
      </c>
      <c r="N1062" s="83"/>
      <c r="O1062" s="69"/>
      <c r="Q1062" s="62" t="str">
        <f aca="false">IF(ISBLANK(N1062),"",IF(N1062&lt;DATE(2023,5,1),"OLD","NEW"))</f>
        <v/>
      </c>
      <c r="S1062" s="33" t="n">
        <f aca="false">IF(COUNTIF('[1]Plate_1-2_LongFormat'!$A$2:$A$193,G1062)&gt;0,1,0)</f>
        <v>0</v>
      </c>
      <c r="T1062" s="33" t="n">
        <f aca="false">IF(COUNTIF([2]Attached_indexes!$C$2:$C$193,G1062)&gt;0,1,0)</f>
        <v>0</v>
      </c>
      <c r="U1062" s="59"/>
      <c r="V1062" s="1" t="s">
        <v>982</v>
      </c>
    </row>
    <row r="1063" customFormat="false" ht="15.75" hidden="false" customHeight="true" outlineLevel="0" collapsed="false">
      <c r="A1063" s="69"/>
      <c r="B1063" s="69"/>
      <c r="C1063" s="69"/>
      <c r="D1063" s="69"/>
      <c r="E1063" s="78"/>
      <c r="F1063" s="21"/>
      <c r="G1063" s="79" t="s">
        <v>1114</v>
      </c>
      <c r="H1063" s="80" t="n">
        <v>2</v>
      </c>
      <c r="I1063" s="81" t="n">
        <v>44683</v>
      </c>
      <c r="J1063" s="69" t="s">
        <v>981</v>
      </c>
      <c r="K1063" s="69"/>
      <c r="L1063" s="69" t="n">
        <v>1</v>
      </c>
      <c r="M1063" s="69" t="n">
        <v>0</v>
      </c>
      <c r="N1063" s="83"/>
      <c r="O1063" s="69"/>
      <c r="Q1063" s="62" t="str">
        <f aca="false">IF(ISBLANK(N1063),"",IF(N1063&lt;DATE(2023,5,1),"OLD","NEW"))</f>
        <v/>
      </c>
      <c r="S1063" s="33" t="n">
        <f aca="false">IF(COUNTIF('[1]Plate_1-2_LongFormat'!$A$2:$A$193,G1063)&gt;0,1,0)</f>
        <v>0</v>
      </c>
      <c r="T1063" s="33" t="n">
        <f aca="false">IF(COUNTIF([2]Attached_indexes!$C$2:$C$193,G1063)&gt;0,1,0)</f>
        <v>0</v>
      </c>
      <c r="U1063" s="59"/>
      <c r="V1063" s="1" t="s">
        <v>982</v>
      </c>
    </row>
    <row r="1064" customFormat="false" ht="15.75" hidden="false" customHeight="true" outlineLevel="0" collapsed="false">
      <c r="A1064" s="69"/>
      <c r="B1064" s="69"/>
      <c r="C1064" s="69"/>
      <c r="D1064" s="69"/>
      <c r="E1064" s="78"/>
      <c r="F1064" s="21"/>
      <c r="G1064" s="79" t="s">
        <v>1115</v>
      </c>
      <c r="H1064" s="80" t="n">
        <v>2</v>
      </c>
      <c r="I1064" s="81" t="n">
        <v>44683</v>
      </c>
      <c r="J1064" s="69" t="s">
        <v>981</v>
      </c>
      <c r="K1064" s="69"/>
      <c r="L1064" s="69" t="n">
        <v>1</v>
      </c>
      <c r="M1064" s="69" t="n">
        <v>0</v>
      </c>
      <c r="N1064" s="83"/>
      <c r="O1064" s="69"/>
      <c r="Q1064" s="62" t="str">
        <f aca="false">IF(ISBLANK(N1064),"",IF(N1064&lt;DATE(2023,5,1),"OLD","NEW"))</f>
        <v/>
      </c>
      <c r="S1064" s="33" t="n">
        <f aca="false">IF(COUNTIF('[1]Plate_1-2_LongFormat'!$A$2:$A$193,G1064)&gt;0,1,0)</f>
        <v>0</v>
      </c>
      <c r="T1064" s="33" t="n">
        <f aca="false">IF(COUNTIF([2]Attached_indexes!$C$2:$C$193,G1064)&gt;0,1,0)</f>
        <v>0</v>
      </c>
      <c r="U1064" s="59"/>
      <c r="V1064" s="1" t="s">
        <v>982</v>
      </c>
    </row>
    <row r="1065" customFormat="false" ht="15.75" hidden="false" customHeight="true" outlineLevel="0" collapsed="false">
      <c r="A1065" s="69"/>
      <c r="B1065" s="69"/>
      <c r="C1065" s="69"/>
      <c r="D1065" s="69"/>
      <c r="E1065" s="78"/>
      <c r="F1065" s="21"/>
      <c r="G1065" s="79" t="s">
        <v>1116</v>
      </c>
      <c r="H1065" s="80" t="n">
        <v>2</v>
      </c>
      <c r="I1065" s="81" t="n">
        <v>44693</v>
      </c>
      <c r="J1065" s="69" t="s">
        <v>981</v>
      </c>
      <c r="K1065" s="69"/>
      <c r="L1065" s="69" t="n">
        <v>1</v>
      </c>
      <c r="M1065" s="69" t="n">
        <v>0</v>
      </c>
      <c r="N1065" s="83"/>
      <c r="O1065" s="69"/>
      <c r="Q1065" s="62" t="str">
        <f aca="false">IF(ISBLANK(N1065),"",IF(N1065&lt;DATE(2023,5,1),"OLD","NEW"))</f>
        <v/>
      </c>
      <c r="S1065" s="33" t="n">
        <f aca="false">IF(COUNTIF('[1]Plate_1-2_LongFormat'!$A$2:$A$193,G1065)&gt;0,1,0)</f>
        <v>0</v>
      </c>
      <c r="T1065" s="33" t="n">
        <f aca="false">IF(COUNTIF([2]Attached_indexes!$C$2:$C$193,G1065)&gt;0,1,0)</f>
        <v>0</v>
      </c>
      <c r="U1065" s="59"/>
      <c r="V1065" s="1" t="s">
        <v>982</v>
      </c>
    </row>
    <row r="1066" customFormat="false" ht="15.75" hidden="false" customHeight="true" outlineLevel="0" collapsed="false">
      <c r="A1066" s="69"/>
      <c r="B1066" s="69"/>
      <c r="C1066" s="69"/>
      <c r="D1066" s="69"/>
      <c r="E1066" s="78"/>
      <c r="F1066" s="21"/>
      <c r="G1066" s="79" t="s">
        <v>1117</v>
      </c>
      <c r="H1066" s="80" t="n">
        <v>2</v>
      </c>
      <c r="I1066" s="81" t="n">
        <v>44693</v>
      </c>
      <c r="J1066" s="69" t="s">
        <v>981</v>
      </c>
      <c r="K1066" s="69"/>
      <c r="L1066" s="69" t="n">
        <v>1</v>
      </c>
      <c r="M1066" s="69" t="n">
        <v>0</v>
      </c>
      <c r="N1066" s="83"/>
      <c r="O1066" s="69"/>
      <c r="Q1066" s="62" t="str">
        <f aca="false">IF(ISBLANK(N1066),"",IF(N1066&lt;DATE(2023,5,1),"OLD","NEW"))</f>
        <v/>
      </c>
      <c r="S1066" s="33" t="n">
        <f aca="false">IF(COUNTIF('[1]Plate_1-2_LongFormat'!$A$2:$A$193,G1066)&gt;0,1,0)</f>
        <v>0</v>
      </c>
      <c r="T1066" s="33" t="n">
        <f aca="false">IF(COUNTIF([2]Attached_indexes!$C$2:$C$193,G1066)&gt;0,1,0)</f>
        <v>0</v>
      </c>
      <c r="U1066" s="59"/>
      <c r="V1066" s="1" t="s">
        <v>982</v>
      </c>
    </row>
    <row r="1067" customFormat="false" ht="15.75" hidden="false" customHeight="true" outlineLevel="0" collapsed="false">
      <c r="A1067" s="2"/>
      <c r="B1067" s="2"/>
      <c r="C1067" s="2"/>
      <c r="D1067" s="2"/>
      <c r="E1067" s="66"/>
      <c r="F1067" s="18"/>
      <c r="G1067" s="91" t="s">
        <v>1118</v>
      </c>
      <c r="H1067" s="18" t="n">
        <v>2</v>
      </c>
      <c r="I1067" s="18"/>
      <c r="J1067" s="18"/>
      <c r="K1067" s="18"/>
      <c r="L1067" s="18" t="n">
        <v>1</v>
      </c>
      <c r="M1067" s="2" t="n">
        <v>1</v>
      </c>
      <c r="N1067" s="3" t="n">
        <v>44914</v>
      </c>
      <c r="O1067" s="2" t="n">
        <v>7.87</v>
      </c>
      <c r="P1067" s="2"/>
      <c r="Q1067" s="62" t="str">
        <f aca="false">IF(ISBLANK(N1067),"",IF(N1067&lt;DATE(2023,5,1),"OLD","NEW"))</f>
        <v>OLD</v>
      </c>
      <c r="R1067" s="91" t="s">
        <v>1119</v>
      </c>
      <c r="S1067" s="33" t="n">
        <f aca="false">IF(COUNTIF('[1]Plate_1-2_LongFormat'!$A$2:$A$193,G1067)&gt;0,1,0)</f>
        <v>1</v>
      </c>
      <c r="T1067" s="33" t="n">
        <f aca="false">IF(COUNTIF([2]Attached_indexes!$C$2:$C$193,G1067)&gt;0,1,0)</f>
        <v>1</v>
      </c>
      <c r="U1067" s="59"/>
      <c r="V1067" s="1" t="s">
        <v>982</v>
      </c>
    </row>
    <row r="1068" customFormat="false" ht="15.75" hidden="false" customHeight="true" outlineLevel="0" collapsed="false">
      <c r="A1068" s="2"/>
      <c r="B1068" s="2"/>
      <c r="C1068" s="2"/>
      <c r="D1068" s="2"/>
      <c r="E1068" s="66"/>
      <c r="F1068" s="18"/>
      <c r="G1068" s="91" t="s">
        <v>1118</v>
      </c>
      <c r="H1068" s="18" t="n">
        <v>2</v>
      </c>
      <c r="I1068" s="18"/>
      <c r="J1068" s="18"/>
      <c r="K1068" s="18"/>
      <c r="L1068" s="18" t="n">
        <v>1</v>
      </c>
      <c r="M1068" s="2" t="n">
        <v>1</v>
      </c>
      <c r="N1068" s="3" t="n">
        <v>44914</v>
      </c>
      <c r="O1068" s="2" t="n">
        <v>7.87</v>
      </c>
      <c r="P1068" s="2"/>
      <c r="Q1068" s="62" t="str">
        <f aca="false">IF(ISBLANK(N1068),"",IF(N1068&lt;DATE(2023,5,1),"OLD","NEW"))</f>
        <v>OLD</v>
      </c>
      <c r="R1068" s="91" t="s">
        <v>1120</v>
      </c>
      <c r="S1068" s="33" t="n">
        <f aca="false">IF(COUNTIF('[1]Plate_1-2_LongFormat'!$A$2:$A$193,G1068)&gt;0,1,0)</f>
        <v>1</v>
      </c>
      <c r="T1068" s="33" t="n">
        <f aca="false">IF(COUNTIF([2]Attached_indexes!$C$2:$C$193,G1068)&gt;0,1,0)</f>
        <v>1</v>
      </c>
      <c r="U1068" s="59"/>
      <c r="V1068" s="1" t="s">
        <v>982</v>
      </c>
    </row>
    <row r="1069" customFormat="false" ht="15.75" hidden="false" customHeight="true" outlineLevel="0" collapsed="false">
      <c r="A1069" s="2"/>
      <c r="B1069" s="2"/>
      <c r="C1069" s="2"/>
      <c r="D1069" s="2"/>
      <c r="E1069" s="66"/>
      <c r="F1069" s="18"/>
      <c r="G1069" s="91" t="s">
        <v>1118</v>
      </c>
      <c r="H1069" s="18" t="n">
        <v>2</v>
      </c>
      <c r="I1069" s="18" t="n">
        <v>44693</v>
      </c>
      <c r="J1069" s="18" t="s">
        <v>981</v>
      </c>
      <c r="K1069" s="18"/>
      <c r="L1069" s="18" t="n">
        <v>1</v>
      </c>
      <c r="M1069" s="2" t="n">
        <v>1</v>
      </c>
      <c r="N1069" s="3" t="n">
        <v>44914</v>
      </c>
      <c r="O1069" s="2" t="n">
        <v>7.87</v>
      </c>
      <c r="P1069" s="2"/>
      <c r="Q1069" s="62" t="str">
        <f aca="false">IF(ISBLANK(N1069),"",IF(N1069&lt;DATE(2023,5,1),"OLD","NEW"))</f>
        <v>OLD</v>
      </c>
      <c r="R1069" s="91" t="s">
        <v>1121</v>
      </c>
      <c r="S1069" s="33" t="n">
        <f aca="false">IF(COUNTIF('[1]Plate_1-2_LongFormat'!$A$2:$A$193,G1069)&gt;0,1,0)</f>
        <v>1</v>
      </c>
      <c r="T1069" s="33" t="n">
        <f aca="false">IF(COUNTIF([2]Attached_indexes!$C$2:$C$193,G1069)&gt;0,1,0)</f>
        <v>1</v>
      </c>
      <c r="U1069" s="59"/>
      <c r="V1069" s="1" t="s">
        <v>982</v>
      </c>
    </row>
    <row r="1070" customFormat="false" ht="15.75" hidden="false" customHeight="true" outlineLevel="0" collapsed="false">
      <c r="A1070" s="69"/>
      <c r="B1070" s="69"/>
      <c r="C1070" s="69"/>
      <c r="D1070" s="69"/>
      <c r="E1070" s="78"/>
      <c r="F1070" s="21"/>
      <c r="G1070" s="79" t="s">
        <v>1122</v>
      </c>
      <c r="H1070" s="80" t="n">
        <v>2</v>
      </c>
      <c r="I1070" s="81" t="n">
        <v>44693</v>
      </c>
      <c r="J1070" s="69" t="s">
        <v>981</v>
      </c>
      <c r="K1070" s="69" t="s">
        <v>991</v>
      </c>
      <c r="L1070" s="69" t="n">
        <v>1</v>
      </c>
      <c r="M1070" s="69" t="n">
        <v>0</v>
      </c>
      <c r="N1070" s="83"/>
      <c r="O1070" s="69"/>
      <c r="Q1070" s="62" t="str">
        <f aca="false">IF(ISBLANK(N1070),"",IF(N1070&lt;DATE(2023,5,1),"OLD","NEW"))</f>
        <v/>
      </c>
      <c r="S1070" s="33" t="n">
        <f aca="false">IF(COUNTIF('[1]Plate_1-2_LongFormat'!$A$2:$A$193,G1070)&gt;0,1,0)</f>
        <v>0</v>
      </c>
      <c r="T1070" s="33" t="n">
        <f aca="false">IF(COUNTIF([2]Attached_indexes!$C$2:$C$193,G1070)&gt;0,1,0)</f>
        <v>0</v>
      </c>
      <c r="U1070" s="59"/>
      <c r="V1070" s="1" t="s">
        <v>982</v>
      </c>
    </row>
    <row r="1071" customFormat="false" ht="15.75" hidden="false" customHeight="true" outlineLevel="0" collapsed="false">
      <c r="A1071" s="69"/>
      <c r="B1071" s="69"/>
      <c r="C1071" s="69"/>
      <c r="D1071" s="69"/>
      <c r="E1071" s="78"/>
      <c r="F1071" s="21"/>
      <c r="G1071" s="79" t="s">
        <v>1123</v>
      </c>
      <c r="H1071" s="80" t="n">
        <v>2</v>
      </c>
      <c r="I1071" s="81" t="n">
        <v>44693</v>
      </c>
      <c r="J1071" s="69" t="s">
        <v>981</v>
      </c>
      <c r="K1071" s="69"/>
      <c r="L1071" s="69" t="n">
        <v>1</v>
      </c>
      <c r="M1071" s="69" t="n">
        <v>0</v>
      </c>
      <c r="N1071" s="83"/>
      <c r="O1071" s="69"/>
      <c r="Q1071" s="62" t="str">
        <f aca="false">IF(ISBLANK(N1071),"",IF(N1071&lt;DATE(2023,5,1),"OLD","NEW"))</f>
        <v/>
      </c>
      <c r="S1071" s="33" t="n">
        <f aca="false">IF(COUNTIF('[1]Plate_1-2_LongFormat'!$A$2:$A$193,G1071)&gt;0,1,0)</f>
        <v>0</v>
      </c>
      <c r="T1071" s="33" t="n">
        <f aca="false">IF(COUNTIF([2]Attached_indexes!$C$2:$C$193,G1071)&gt;0,1,0)</f>
        <v>0</v>
      </c>
      <c r="U1071" s="59"/>
      <c r="V1071" s="1" t="s">
        <v>982</v>
      </c>
    </row>
    <row r="1072" customFormat="false" ht="15.75" hidden="false" customHeight="true" outlineLevel="0" collapsed="false">
      <c r="A1072" s="69"/>
      <c r="B1072" s="69"/>
      <c r="C1072" s="69"/>
      <c r="D1072" s="69"/>
      <c r="E1072" s="78"/>
      <c r="F1072" s="21"/>
      <c r="G1072" s="79" t="s">
        <v>1124</v>
      </c>
      <c r="H1072" s="80" t="n">
        <v>2</v>
      </c>
      <c r="I1072" s="81" t="n">
        <v>44693</v>
      </c>
      <c r="J1072" s="69" t="s">
        <v>981</v>
      </c>
      <c r="K1072" s="69" t="s">
        <v>1125</v>
      </c>
      <c r="L1072" s="69" t="n">
        <v>1</v>
      </c>
      <c r="M1072" s="69" t="n">
        <v>0</v>
      </c>
      <c r="N1072" s="83"/>
      <c r="O1072" s="69"/>
      <c r="Q1072" s="62" t="str">
        <f aca="false">IF(ISBLANK(N1072),"",IF(N1072&lt;DATE(2023,5,1),"OLD","NEW"))</f>
        <v/>
      </c>
      <c r="S1072" s="33" t="n">
        <f aca="false">IF(COUNTIF('[1]Plate_1-2_LongFormat'!$A$2:$A$193,G1072)&gt;0,1,0)</f>
        <v>0</v>
      </c>
      <c r="T1072" s="33" t="n">
        <f aca="false">IF(COUNTIF([2]Attached_indexes!$C$2:$C$193,G1072)&gt;0,1,0)</f>
        <v>0</v>
      </c>
      <c r="U1072" s="59"/>
      <c r="V1072" s="1" t="s">
        <v>982</v>
      </c>
    </row>
    <row r="1073" customFormat="false" ht="15.75" hidden="false" customHeight="true" outlineLevel="0" collapsed="false">
      <c r="A1073" s="2"/>
      <c r="B1073" s="2"/>
      <c r="C1073" s="2"/>
      <c r="D1073" s="2"/>
      <c r="E1073" s="60"/>
      <c r="F1073" s="18"/>
      <c r="G1073" s="91" t="s">
        <v>1126</v>
      </c>
      <c r="H1073" s="18" t="n">
        <v>2</v>
      </c>
      <c r="I1073" s="22" t="n">
        <v>44693</v>
      </c>
      <c r="J1073" s="2" t="s">
        <v>981</v>
      </c>
      <c r="K1073" s="2" t="s">
        <v>990</v>
      </c>
      <c r="L1073" s="2" t="n">
        <v>1</v>
      </c>
      <c r="M1073" s="2" t="n">
        <v>1</v>
      </c>
      <c r="N1073" s="3" t="n">
        <v>45071</v>
      </c>
      <c r="O1073" s="2" t="n">
        <v>28.5</v>
      </c>
      <c r="P1073" s="2" t="n">
        <v>4</v>
      </c>
      <c r="Q1073" s="62" t="str">
        <f aca="false">IF(ISBLANK(N1073),"",IF(N1073&lt;DATE(2023,5,1),"OLD","NEW"))</f>
        <v>NEW</v>
      </c>
      <c r="R1073" s="2" t="s">
        <v>1127</v>
      </c>
      <c r="S1073" s="33" t="n">
        <f aca="false">IF(COUNTIF('[1]Plate_1-2_LongFormat'!$A$2:$A$193,G1073)&gt;0,1,0)</f>
        <v>0</v>
      </c>
      <c r="T1073" s="33" t="n">
        <f aca="false">IF(COUNTIF([2]Attached_indexes!$C$2:$C$193,G1073)&gt;0,1,0)</f>
        <v>0</v>
      </c>
      <c r="U1073" s="59"/>
      <c r="V1073" s="1" t="s">
        <v>982</v>
      </c>
    </row>
    <row r="1074" customFormat="false" ht="15.75" hidden="false" customHeight="true" outlineLevel="0" collapsed="false">
      <c r="A1074" s="2"/>
      <c r="B1074" s="2"/>
      <c r="C1074" s="2"/>
      <c r="D1074" s="2"/>
      <c r="E1074" s="60"/>
      <c r="F1074" s="18"/>
      <c r="G1074" s="91" t="s">
        <v>1126</v>
      </c>
      <c r="H1074" s="18" t="n">
        <v>2</v>
      </c>
      <c r="I1074" s="22" t="n">
        <v>44693</v>
      </c>
      <c r="J1074" s="2" t="s">
        <v>981</v>
      </c>
      <c r="K1074" s="2" t="s">
        <v>990</v>
      </c>
      <c r="L1074" s="2" t="n">
        <v>1</v>
      </c>
      <c r="M1074" s="2" t="n">
        <v>1</v>
      </c>
      <c r="N1074" s="3" t="n">
        <v>45071</v>
      </c>
      <c r="O1074" s="2" t="n">
        <v>28.5</v>
      </c>
      <c r="P1074" s="2" t="n">
        <v>4</v>
      </c>
      <c r="Q1074" s="62" t="str">
        <f aca="false">IF(ISBLANK(N1074),"",IF(N1074&lt;DATE(2023,5,1),"OLD","NEW"))</f>
        <v>NEW</v>
      </c>
      <c r="R1074" s="2" t="s">
        <v>1127</v>
      </c>
      <c r="S1074" s="33" t="n">
        <f aca="false">IF(COUNTIF('[1]Plate_1-2_LongFormat'!$A$2:$A$193,G1074)&gt;0,1,0)</f>
        <v>0</v>
      </c>
      <c r="T1074" s="33" t="n">
        <f aca="false">IF(COUNTIF([2]Attached_indexes!$C$2:$C$193,G1074)&gt;0,1,0)</f>
        <v>0</v>
      </c>
      <c r="U1074" s="59"/>
      <c r="V1074" s="1" t="s">
        <v>982</v>
      </c>
    </row>
    <row r="1075" customFormat="false" ht="15.75" hidden="false" customHeight="true" outlineLevel="0" collapsed="false">
      <c r="A1075" s="2"/>
      <c r="B1075" s="2"/>
      <c r="C1075" s="2"/>
      <c r="D1075" s="2"/>
      <c r="E1075" s="60"/>
      <c r="F1075" s="18"/>
      <c r="G1075" s="91" t="s">
        <v>1126</v>
      </c>
      <c r="H1075" s="18" t="n">
        <v>2</v>
      </c>
      <c r="I1075" s="22" t="n">
        <v>44693</v>
      </c>
      <c r="J1075" s="2" t="s">
        <v>981</v>
      </c>
      <c r="K1075" s="2" t="s">
        <v>990</v>
      </c>
      <c r="L1075" s="2" t="n">
        <v>1</v>
      </c>
      <c r="M1075" s="2" t="n">
        <v>1</v>
      </c>
      <c r="N1075" s="3" t="n">
        <v>45071</v>
      </c>
      <c r="O1075" s="2" t="n">
        <v>28.5</v>
      </c>
      <c r="P1075" s="2" t="n">
        <v>4</v>
      </c>
      <c r="Q1075" s="62" t="str">
        <f aca="false">IF(ISBLANK(N1075),"",IF(N1075&lt;DATE(2023,5,1),"OLD","NEW"))</f>
        <v>NEW</v>
      </c>
      <c r="R1075" s="2" t="s">
        <v>1127</v>
      </c>
      <c r="S1075" s="33" t="n">
        <f aca="false">IF(COUNTIF('[1]Plate_1-2_LongFormat'!$A$2:$A$193,G1075)&gt;0,1,0)</f>
        <v>0</v>
      </c>
      <c r="T1075" s="33" t="n">
        <f aca="false">IF(COUNTIF([2]Attached_indexes!$C$2:$C$193,G1075)&gt;0,1,0)</f>
        <v>0</v>
      </c>
      <c r="U1075" s="59"/>
      <c r="V1075" s="1" t="s">
        <v>982</v>
      </c>
    </row>
    <row r="1076" customFormat="false" ht="15.75" hidden="false" customHeight="true" outlineLevel="0" collapsed="false">
      <c r="A1076" s="69"/>
      <c r="B1076" s="69"/>
      <c r="C1076" s="69"/>
      <c r="D1076" s="69"/>
      <c r="E1076" s="78"/>
      <c r="F1076" s="21"/>
      <c r="G1076" s="79" t="s">
        <v>1128</v>
      </c>
      <c r="H1076" s="80" t="n">
        <v>2</v>
      </c>
      <c r="I1076" s="81" t="n">
        <v>44693</v>
      </c>
      <c r="J1076" s="69" t="s">
        <v>981</v>
      </c>
      <c r="K1076" s="69" t="s">
        <v>1129</v>
      </c>
      <c r="L1076" s="69" t="n">
        <v>1</v>
      </c>
      <c r="M1076" s="69" t="n">
        <v>0</v>
      </c>
      <c r="N1076" s="83"/>
      <c r="O1076" s="69"/>
      <c r="Q1076" s="62" t="str">
        <f aca="false">IF(ISBLANK(N1076),"",IF(N1076&lt;DATE(2023,5,1),"OLD","NEW"))</f>
        <v/>
      </c>
      <c r="S1076" s="33" t="n">
        <f aca="false">IF(COUNTIF('[1]Plate_1-2_LongFormat'!$A$2:$A$193,G1076)&gt;0,1,0)</f>
        <v>0</v>
      </c>
      <c r="T1076" s="33" t="n">
        <f aca="false">IF(COUNTIF([2]Attached_indexes!$C$2:$C$193,G1076)&gt;0,1,0)</f>
        <v>0</v>
      </c>
      <c r="U1076" s="59"/>
      <c r="V1076" s="1" t="s">
        <v>982</v>
      </c>
    </row>
    <row r="1077" customFormat="false" ht="15.75" hidden="false" customHeight="true" outlineLevel="0" collapsed="false">
      <c r="A1077" s="69"/>
      <c r="B1077" s="69"/>
      <c r="C1077" s="69"/>
      <c r="D1077" s="69"/>
      <c r="E1077" s="78"/>
      <c r="F1077" s="21"/>
      <c r="G1077" s="79" t="s">
        <v>1130</v>
      </c>
      <c r="H1077" s="80" t="n">
        <v>2</v>
      </c>
      <c r="I1077" s="81" t="n">
        <v>44671</v>
      </c>
      <c r="J1077" s="69" t="s">
        <v>981</v>
      </c>
      <c r="K1077" s="69" t="s">
        <v>1036</v>
      </c>
      <c r="L1077" s="69" t="n">
        <v>1</v>
      </c>
      <c r="M1077" s="69" t="n">
        <v>0</v>
      </c>
      <c r="N1077" s="83"/>
      <c r="O1077" s="69"/>
      <c r="Q1077" s="62" t="str">
        <f aca="false">IF(ISBLANK(N1077),"",IF(N1077&lt;DATE(2023,5,1),"OLD","NEW"))</f>
        <v/>
      </c>
      <c r="S1077" s="33" t="n">
        <f aca="false">IF(COUNTIF('[1]Plate_1-2_LongFormat'!$A$2:$A$193,G1077)&gt;0,1,0)</f>
        <v>0</v>
      </c>
      <c r="T1077" s="33" t="n">
        <f aca="false">IF(COUNTIF([2]Attached_indexes!$C$2:$C$193,G1077)&gt;0,1,0)</f>
        <v>0</v>
      </c>
      <c r="U1077" s="59"/>
      <c r="V1077" s="1" t="s">
        <v>982</v>
      </c>
    </row>
    <row r="1078" customFormat="false" ht="15.75" hidden="false" customHeight="true" outlineLevel="0" collapsed="false">
      <c r="A1078" s="69"/>
      <c r="B1078" s="69"/>
      <c r="C1078" s="69"/>
      <c r="D1078" s="69"/>
      <c r="E1078" s="78"/>
      <c r="F1078" s="21"/>
      <c r="G1078" s="79" t="s">
        <v>1131</v>
      </c>
      <c r="H1078" s="80" t="n">
        <v>2</v>
      </c>
      <c r="I1078" s="81" t="n">
        <v>44671</v>
      </c>
      <c r="J1078" s="69" t="s">
        <v>981</v>
      </c>
      <c r="K1078" s="69"/>
      <c r="L1078" s="69" t="n">
        <v>1</v>
      </c>
      <c r="M1078" s="69" t="n">
        <v>0</v>
      </c>
      <c r="N1078" s="83"/>
      <c r="O1078" s="69"/>
      <c r="Q1078" s="62" t="str">
        <f aca="false">IF(ISBLANK(N1078),"",IF(N1078&lt;DATE(2023,5,1),"OLD","NEW"))</f>
        <v/>
      </c>
      <c r="S1078" s="33" t="n">
        <f aca="false">IF(COUNTIF('[1]Plate_1-2_LongFormat'!$A$2:$A$193,G1078)&gt;0,1,0)</f>
        <v>0</v>
      </c>
      <c r="T1078" s="33" t="n">
        <f aca="false">IF(COUNTIF([2]Attached_indexes!$C$2:$C$193,G1078)&gt;0,1,0)</f>
        <v>0</v>
      </c>
      <c r="U1078" s="59"/>
      <c r="V1078" s="1" t="s">
        <v>982</v>
      </c>
    </row>
    <row r="1079" customFormat="false" ht="15.75" hidden="false" customHeight="true" outlineLevel="0" collapsed="false">
      <c r="A1079" s="69"/>
      <c r="B1079" s="69"/>
      <c r="C1079" s="69"/>
      <c r="D1079" s="69"/>
      <c r="E1079" s="78"/>
      <c r="F1079" s="21"/>
      <c r="G1079" s="79" t="s">
        <v>1132</v>
      </c>
      <c r="H1079" s="80" t="n">
        <v>2</v>
      </c>
      <c r="I1079" s="81" t="n">
        <v>44671</v>
      </c>
      <c r="J1079" s="69" t="s">
        <v>981</v>
      </c>
      <c r="K1079" s="69"/>
      <c r="L1079" s="69" t="n">
        <v>1</v>
      </c>
      <c r="M1079" s="69" t="n">
        <v>0</v>
      </c>
      <c r="N1079" s="83"/>
      <c r="O1079" s="69"/>
      <c r="Q1079" s="62" t="str">
        <f aca="false">IF(ISBLANK(N1079),"",IF(N1079&lt;DATE(2023,5,1),"OLD","NEW"))</f>
        <v/>
      </c>
      <c r="S1079" s="33" t="n">
        <f aca="false">IF(COUNTIF('[1]Plate_1-2_LongFormat'!$A$2:$A$193,G1079)&gt;0,1,0)</f>
        <v>0</v>
      </c>
      <c r="T1079" s="33" t="n">
        <f aca="false">IF(COUNTIF([2]Attached_indexes!$C$2:$C$193,G1079)&gt;0,1,0)</f>
        <v>0</v>
      </c>
      <c r="U1079" s="59"/>
      <c r="V1079" s="1" t="s">
        <v>982</v>
      </c>
    </row>
    <row r="1080" customFormat="false" ht="15.75" hidden="false" customHeight="true" outlineLevel="0" collapsed="false">
      <c r="A1080" s="69"/>
      <c r="B1080" s="69"/>
      <c r="C1080" s="69"/>
      <c r="D1080" s="69"/>
      <c r="E1080" s="78"/>
      <c r="F1080" s="21"/>
      <c r="G1080" s="79" t="s">
        <v>1133</v>
      </c>
      <c r="H1080" s="80" t="n">
        <v>2</v>
      </c>
      <c r="I1080" s="81" t="n">
        <v>44671</v>
      </c>
      <c r="J1080" s="69" t="s">
        <v>981</v>
      </c>
      <c r="K1080" s="69"/>
      <c r="L1080" s="69" t="n">
        <v>1</v>
      </c>
      <c r="M1080" s="69" t="n">
        <v>0</v>
      </c>
      <c r="N1080" s="83"/>
      <c r="O1080" s="69"/>
      <c r="Q1080" s="62" t="str">
        <f aca="false">IF(ISBLANK(N1080),"",IF(N1080&lt;DATE(2023,5,1),"OLD","NEW"))</f>
        <v/>
      </c>
      <c r="S1080" s="33" t="n">
        <f aca="false">IF(COUNTIF('[1]Plate_1-2_LongFormat'!$A$2:$A$193,G1080)&gt;0,1,0)</f>
        <v>0</v>
      </c>
      <c r="T1080" s="33" t="n">
        <f aca="false">IF(COUNTIF([2]Attached_indexes!$C$2:$C$193,G1080)&gt;0,1,0)</f>
        <v>0</v>
      </c>
      <c r="U1080" s="59"/>
      <c r="V1080" s="1" t="s">
        <v>982</v>
      </c>
    </row>
    <row r="1081" customFormat="false" ht="15.75" hidden="false" customHeight="true" outlineLevel="0" collapsed="false">
      <c r="A1081" s="69"/>
      <c r="B1081" s="69"/>
      <c r="C1081" s="69"/>
      <c r="D1081" s="69"/>
      <c r="E1081" s="78"/>
      <c r="F1081" s="21"/>
      <c r="G1081" s="79" t="s">
        <v>1134</v>
      </c>
      <c r="H1081" s="80" t="n">
        <v>2</v>
      </c>
      <c r="I1081" s="81" t="n">
        <v>44671</v>
      </c>
      <c r="J1081" s="69" t="s">
        <v>981</v>
      </c>
      <c r="K1081" s="69" t="s">
        <v>1135</v>
      </c>
      <c r="L1081" s="69" t="n">
        <v>1</v>
      </c>
      <c r="M1081" s="69" t="n">
        <v>0</v>
      </c>
      <c r="N1081" s="83"/>
      <c r="O1081" s="69"/>
      <c r="Q1081" s="62" t="str">
        <f aca="false">IF(ISBLANK(N1081),"",IF(N1081&lt;DATE(2023,5,1),"OLD","NEW"))</f>
        <v/>
      </c>
      <c r="S1081" s="33" t="n">
        <f aca="false">IF(COUNTIF('[1]Plate_1-2_LongFormat'!$A$2:$A$193,G1081)&gt;0,1,0)</f>
        <v>0</v>
      </c>
      <c r="T1081" s="33" t="n">
        <f aca="false">IF(COUNTIF([2]Attached_indexes!$C$2:$C$193,G1081)&gt;0,1,0)</f>
        <v>0</v>
      </c>
      <c r="U1081" s="59"/>
      <c r="V1081" s="1" t="s">
        <v>982</v>
      </c>
    </row>
    <row r="1082" customFormat="false" ht="15.75" hidden="false" customHeight="true" outlineLevel="0" collapsed="false">
      <c r="A1082" s="69"/>
      <c r="B1082" s="69"/>
      <c r="C1082" s="69"/>
      <c r="D1082" s="69"/>
      <c r="E1082" s="78"/>
      <c r="F1082" s="21"/>
      <c r="G1082" s="79" t="s">
        <v>1136</v>
      </c>
      <c r="H1082" s="80" t="n">
        <v>2</v>
      </c>
      <c r="I1082" s="81" t="n">
        <v>44671</v>
      </c>
      <c r="J1082" s="69" t="s">
        <v>981</v>
      </c>
      <c r="K1082" s="69"/>
      <c r="L1082" s="69" t="n">
        <v>1</v>
      </c>
      <c r="M1082" s="69" t="n">
        <v>0</v>
      </c>
      <c r="N1082" s="83"/>
      <c r="O1082" s="69"/>
      <c r="Q1082" s="62" t="str">
        <f aca="false">IF(ISBLANK(N1082),"",IF(N1082&lt;DATE(2023,5,1),"OLD","NEW"))</f>
        <v/>
      </c>
      <c r="S1082" s="33" t="n">
        <f aca="false">IF(COUNTIF('[1]Plate_1-2_LongFormat'!$A$2:$A$193,G1082)&gt;0,1,0)</f>
        <v>0</v>
      </c>
      <c r="T1082" s="33" t="n">
        <f aca="false">IF(COUNTIF([2]Attached_indexes!$C$2:$C$193,G1082)&gt;0,1,0)</f>
        <v>0</v>
      </c>
      <c r="U1082" s="59"/>
      <c r="V1082" s="1" t="s">
        <v>982</v>
      </c>
    </row>
    <row r="1083" customFormat="false" ht="15.75" hidden="false" customHeight="true" outlineLevel="0" collapsed="false">
      <c r="A1083" s="69"/>
      <c r="B1083" s="69"/>
      <c r="C1083" s="69"/>
      <c r="D1083" s="69"/>
      <c r="E1083" s="78"/>
      <c r="F1083" s="21"/>
      <c r="G1083" s="79" t="s">
        <v>1137</v>
      </c>
      <c r="H1083" s="80" t="n">
        <v>2</v>
      </c>
      <c r="I1083" s="81" t="n">
        <v>44706</v>
      </c>
      <c r="J1083" s="69" t="s">
        <v>981</v>
      </c>
      <c r="K1083" s="69"/>
      <c r="L1083" s="69" t="n">
        <v>1</v>
      </c>
      <c r="M1083" s="69" t="n">
        <v>0</v>
      </c>
      <c r="N1083" s="83"/>
      <c r="O1083" s="69"/>
      <c r="Q1083" s="62" t="str">
        <f aca="false">IF(ISBLANK(N1083),"",IF(N1083&lt;DATE(2023,5,1),"OLD","NEW"))</f>
        <v/>
      </c>
      <c r="S1083" s="33" t="n">
        <f aca="false">IF(COUNTIF('[1]Plate_1-2_LongFormat'!$A$2:$A$193,G1083)&gt;0,1,0)</f>
        <v>0</v>
      </c>
      <c r="T1083" s="33" t="n">
        <f aca="false">IF(COUNTIF([2]Attached_indexes!$C$2:$C$193,G1083)&gt;0,1,0)</f>
        <v>0</v>
      </c>
      <c r="U1083" s="59"/>
      <c r="V1083" s="1" t="s">
        <v>982</v>
      </c>
    </row>
    <row r="1084" customFormat="false" ht="15.75" hidden="false" customHeight="true" outlineLevel="0" collapsed="false">
      <c r="A1084" s="69"/>
      <c r="B1084" s="69"/>
      <c r="C1084" s="69"/>
      <c r="D1084" s="69"/>
      <c r="E1084" s="78"/>
      <c r="F1084" s="21"/>
      <c r="G1084" s="79" t="s">
        <v>1138</v>
      </c>
      <c r="H1084" s="80" t="n">
        <v>2</v>
      </c>
      <c r="I1084" s="81" t="n">
        <v>44706</v>
      </c>
      <c r="J1084" s="69" t="s">
        <v>981</v>
      </c>
      <c r="K1084" s="69"/>
      <c r="L1084" s="69" t="n">
        <v>1</v>
      </c>
      <c r="M1084" s="69" t="n">
        <v>0</v>
      </c>
      <c r="N1084" s="83"/>
      <c r="O1084" s="69"/>
      <c r="Q1084" s="62" t="str">
        <f aca="false">IF(ISBLANK(N1084),"",IF(N1084&lt;DATE(2023,5,1),"OLD","NEW"))</f>
        <v/>
      </c>
      <c r="S1084" s="33" t="n">
        <f aca="false">IF(COUNTIF('[1]Plate_1-2_LongFormat'!$A$2:$A$193,G1084)&gt;0,1,0)</f>
        <v>0</v>
      </c>
      <c r="T1084" s="33" t="n">
        <f aca="false">IF(COUNTIF([2]Attached_indexes!$C$2:$C$193,G1084)&gt;0,1,0)</f>
        <v>0</v>
      </c>
      <c r="U1084" s="59"/>
      <c r="V1084" s="1" t="s">
        <v>982</v>
      </c>
    </row>
    <row r="1085" customFormat="false" ht="15.75" hidden="false" customHeight="true" outlineLevel="0" collapsed="false">
      <c r="A1085" s="69"/>
      <c r="B1085" s="69"/>
      <c r="C1085" s="69"/>
      <c r="D1085" s="69"/>
      <c r="E1085" s="78"/>
      <c r="F1085" s="21"/>
      <c r="G1085" s="79" t="s">
        <v>1139</v>
      </c>
      <c r="H1085" s="80" t="n">
        <v>2</v>
      </c>
      <c r="I1085" s="81" t="n">
        <v>44706</v>
      </c>
      <c r="J1085" s="69" t="s">
        <v>981</v>
      </c>
      <c r="K1085" s="69"/>
      <c r="L1085" s="69" t="n">
        <v>1</v>
      </c>
      <c r="M1085" s="69" t="n">
        <v>0</v>
      </c>
      <c r="N1085" s="83"/>
      <c r="O1085" s="69"/>
      <c r="Q1085" s="62" t="str">
        <f aca="false">IF(ISBLANK(N1085),"",IF(N1085&lt;DATE(2023,5,1),"OLD","NEW"))</f>
        <v/>
      </c>
      <c r="S1085" s="33" t="n">
        <f aca="false">IF(COUNTIF('[1]Plate_1-2_LongFormat'!$A$2:$A$193,G1085)&gt;0,1,0)</f>
        <v>0</v>
      </c>
      <c r="T1085" s="33" t="n">
        <f aca="false">IF(COUNTIF([2]Attached_indexes!$C$2:$C$193,G1085)&gt;0,1,0)</f>
        <v>0</v>
      </c>
      <c r="U1085" s="59"/>
      <c r="V1085" s="1" t="s">
        <v>982</v>
      </c>
    </row>
    <row r="1086" customFormat="false" ht="15.75" hidden="false" customHeight="true" outlineLevel="0" collapsed="false">
      <c r="A1086" s="69"/>
      <c r="B1086" s="69"/>
      <c r="C1086" s="69"/>
      <c r="D1086" s="69"/>
      <c r="E1086" s="78"/>
      <c r="F1086" s="21"/>
      <c r="G1086" s="79" t="s">
        <v>1140</v>
      </c>
      <c r="H1086" s="80" t="n">
        <v>2</v>
      </c>
      <c r="I1086" s="81" t="n">
        <v>44726</v>
      </c>
      <c r="J1086" s="69" t="s">
        <v>981</v>
      </c>
      <c r="K1086" s="69"/>
      <c r="L1086" s="69" t="n">
        <v>1</v>
      </c>
      <c r="M1086" s="69" t="n">
        <v>0</v>
      </c>
      <c r="N1086" s="83"/>
      <c r="O1086" s="69"/>
      <c r="Q1086" s="62" t="str">
        <f aca="false">IF(ISBLANK(N1086),"",IF(N1086&lt;DATE(2023,5,1),"OLD","NEW"))</f>
        <v/>
      </c>
      <c r="S1086" s="33" t="n">
        <f aca="false">IF(COUNTIF('[1]Plate_1-2_LongFormat'!$A$2:$A$193,G1086)&gt;0,1,0)</f>
        <v>0</v>
      </c>
      <c r="T1086" s="33" t="n">
        <f aca="false">IF(COUNTIF([2]Attached_indexes!$C$2:$C$193,G1086)&gt;0,1,0)</f>
        <v>0</v>
      </c>
      <c r="U1086" s="59"/>
      <c r="V1086" s="1" t="s">
        <v>982</v>
      </c>
    </row>
    <row r="1087" customFormat="false" ht="15.75" hidden="false" customHeight="true" outlineLevel="0" collapsed="false">
      <c r="A1087" s="69"/>
      <c r="B1087" s="69"/>
      <c r="C1087" s="69"/>
      <c r="D1087" s="69"/>
      <c r="E1087" s="78"/>
      <c r="F1087" s="21"/>
      <c r="G1087" s="79" t="s">
        <v>1141</v>
      </c>
      <c r="H1087" s="80" t="n">
        <v>2</v>
      </c>
      <c r="I1087" s="81" t="n">
        <v>44726</v>
      </c>
      <c r="J1087" s="69" t="s">
        <v>981</v>
      </c>
      <c r="K1087" s="69" t="s">
        <v>1037</v>
      </c>
      <c r="L1087" s="69" t="n">
        <v>1</v>
      </c>
      <c r="M1087" s="69" t="n">
        <v>0</v>
      </c>
      <c r="N1087" s="83"/>
      <c r="O1087" s="69"/>
      <c r="Q1087" s="62" t="str">
        <f aca="false">IF(ISBLANK(N1087),"",IF(N1087&lt;DATE(2023,5,1),"OLD","NEW"))</f>
        <v/>
      </c>
      <c r="S1087" s="33" t="n">
        <f aca="false">IF(COUNTIF('[1]Plate_1-2_LongFormat'!$A$2:$A$193,G1087)&gt;0,1,0)</f>
        <v>0</v>
      </c>
      <c r="T1087" s="33" t="n">
        <f aca="false">IF(COUNTIF([2]Attached_indexes!$C$2:$C$193,G1087)&gt;0,1,0)</f>
        <v>0</v>
      </c>
      <c r="U1087" s="59"/>
      <c r="V1087" s="1" t="s">
        <v>982</v>
      </c>
    </row>
    <row r="1088" customFormat="false" ht="15.75" hidden="false" customHeight="true" outlineLevel="0" collapsed="false">
      <c r="A1088" s="2"/>
      <c r="B1088" s="2"/>
      <c r="C1088" s="2"/>
      <c r="D1088" s="2"/>
      <c r="E1088" s="60"/>
      <c r="F1088" s="18"/>
      <c r="G1088" s="91" t="s">
        <v>1142</v>
      </c>
      <c r="H1088" s="18" t="n">
        <v>2</v>
      </c>
      <c r="I1088" s="22" t="n">
        <v>44726</v>
      </c>
      <c r="J1088" s="2" t="s">
        <v>981</v>
      </c>
      <c r="K1088" s="2" t="s">
        <v>1021</v>
      </c>
      <c r="L1088" s="2" t="n">
        <v>1</v>
      </c>
      <c r="M1088" s="2" t="n">
        <v>1</v>
      </c>
      <c r="N1088" s="3" t="n">
        <v>45061</v>
      </c>
      <c r="O1088" s="2" t="n">
        <v>28.7</v>
      </c>
      <c r="P1088" s="2" t="n">
        <v>4</v>
      </c>
      <c r="Q1088" s="62" t="str">
        <f aca="false">IF(ISBLANK(N1088),"",IF(N1088&lt;DATE(2023,5,1),"OLD","NEW"))</f>
        <v>NEW</v>
      </c>
      <c r="R1088" s="2" t="s">
        <v>1143</v>
      </c>
      <c r="S1088" s="33" t="n">
        <f aca="false">IF(COUNTIF('[1]Plate_1-2_LongFormat'!$A$2:$A$193,G1088)&gt;0,1,0)</f>
        <v>0</v>
      </c>
      <c r="T1088" s="33" t="n">
        <f aca="false">IF(COUNTIF([2]Attached_indexes!$C$2:$C$193,G1088)&gt;0,1,0)</f>
        <v>0</v>
      </c>
      <c r="U1088" s="59"/>
      <c r="V1088" s="1" t="s">
        <v>982</v>
      </c>
    </row>
    <row r="1089" customFormat="false" ht="15.75" hidden="false" customHeight="true" outlineLevel="0" collapsed="false">
      <c r="A1089" s="2"/>
      <c r="B1089" s="2"/>
      <c r="C1089" s="2"/>
      <c r="D1089" s="2"/>
      <c r="E1089" s="60"/>
      <c r="F1089" s="18"/>
      <c r="G1089" s="91" t="s">
        <v>1142</v>
      </c>
      <c r="H1089" s="18" t="n">
        <v>2</v>
      </c>
      <c r="I1089" s="22" t="n">
        <v>44726</v>
      </c>
      <c r="J1089" s="2" t="s">
        <v>981</v>
      </c>
      <c r="K1089" s="2" t="s">
        <v>1021</v>
      </c>
      <c r="L1089" s="2" t="n">
        <v>1</v>
      </c>
      <c r="M1089" s="2" t="n">
        <v>1</v>
      </c>
      <c r="N1089" s="3" t="n">
        <v>45061</v>
      </c>
      <c r="O1089" s="2" t="n">
        <v>28.7</v>
      </c>
      <c r="P1089" s="2" t="n">
        <v>4</v>
      </c>
      <c r="Q1089" s="62" t="str">
        <f aca="false">IF(ISBLANK(N1089),"",IF(N1089&lt;DATE(2023,5,1),"OLD","NEW"))</f>
        <v>NEW</v>
      </c>
      <c r="R1089" s="2" t="s">
        <v>1144</v>
      </c>
      <c r="S1089" s="33" t="n">
        <f aca="false">IF(COUNTIF('[1]Plate_1-2_LongFormat'!$A$2:$A$193,G1089)&gt;0,1,0)</f>
        <v>0</v>
      </c>
      <c r="T1089" s="33" t="n">
        <f aca="false">IF(COUNTIF([2]Attached_indexes!$C$2:$C$193,G1089)&gt;0,1,0)</f>
        <v>0</v>
      </c>
      <c r="U1089" s="59"/>
      <c r="V1089" s="1" t="s">
        <v>982</v>
      </c>
    </row>
    <row r="1090" customFormat="false" ht="15.75" hidden="false" customHeight="true" outlineLevel="0" collapsed="false">
      <c r="A1090" s="2"/>
      <c r="B1090" s="2"/>
      <c r="C1090" s="2"/>
      <c r="D1090" s="2"/>
      <c r="E1090" s="60"/>
      <c r="F1090" s="18"/>
      <c r="G1090" s="91" t="s">
        <v>1142</v>
      </c>
      <c r="H1090" s="18" t="n">
        <v>2</v>
      </c>
      <c r="I1090" s="22" t="n">
        <v>44726</v>
      </c>
      <c r="J1090" s="2" t="s">
        <v>981</v>
      </c>
      <c r="K1090" s="2" t="s">
        <v>1021</v>
      </c>
      <c r="L1090" s="2" t="n">
        <v>1</v>
      </c>
      <c r="M1090" s="2" t="n">
        <v>1</v>
      </c>
      <c r="N1090" s="3" t="n">
        <v>45061</v>
      </c>
      <c r="O1090" s="2" t="n">
        <v>28.7</v>
      </c>
      <c r="P1090" s="2" t="n">
        <v>4</v>
      </c>
      <c r="Q1090" s="62" t="str">
        <f aca="false">IF(ISBLANK(N1090),"",IF(N1090&lt;DATE(2023,5,1),"OLD","NEW"))</f>
        <v>NEW</v>
      </c>
      <c r="R1090" s="2" t="s">
        <v>1145</v>
      </c>
      <c r="S1090" s="33" t="n">
        <f aca="false">IF(COUNTIF('[1]Plate_1-2_LongFormat'!$A$2:$A$193,G1090)&gt;0,1,0)</f>
        <v>0</v>
      </c>
      <c r="T1090" s="33" t="n">
        <f aca="false">IF(COUNTIF([2]Attached_indexes!$C$2:$C$193,G1090)&gt;0,1,0)</f>
        <v>0</v>
      </c>
      <c r="U1090" s="59"/>
      <c r="V1090" s="1" t="s">
        <v>982</v>
      </c>
    </row>
    <row r="1091" customFormat="false" ht="15.75" hidden="false" customHeight="true" outlineLevel="0" collapsed="false">
      <c r="A1091" s="69"/>
      <c r="B1091" s="69"/>
      <c r="C1091" s="69"/>
      <c r="D1091" s="69"/>
      <c r="E1091" s="78"/>
      <c r="F1091" s="21"/>
      <c r="G1091" s="79" t="s">
        <v>1146</v>
      </c>
      <c r="H1091" s="80" t="n">
        <v>2</v>
      </c>
      <c r="I1091" s="81" t="n">
        <v>44693</v>
      </c>
      <c r="J1091" s="69" t="s">
        <v>981</v>
      </c>
      <c r="K1091" s="69" t="s">
        <v>1043</v>
      </c>
      <c r="L1091" s="69" t="n">
        <v>1</v>
      </c>
      <c r="M1091" s="69" t="n">
        <v>0</v>
      </c>
      <c r="N1091" s="83"/>
      <c r="O1091" s="69"/>
      <c r="Q1091" s="62" t="str">
        <f aca="false">IF(ISBLANK(N1091),"",IF(N1091&lt;DATE(2023,5,1),"OLD","NEW"))</f>
        <v/>
      </c>
      <c r="S1091" s="33" t="n">
        <f aca="false">IF(COUNTIF('[1]Plate_1-2_LongFormat'!$A$2:$A$193,G1091)&gt;0,1,0)</f>
        <v>0</v>
      </c>
      <c r="T1091" s="33" t="n">
        <f aca="false">IF(COUNTIF([2]Attached_indexes!$C$2:$C$193,G1091)&gt;0,1,0)</f>
        <v>0</v>
      </c>
      <c r="U1091" s="59"/>
      <c r="V1091" s="1" t="s">
        <v>982</v>
      </c>
    </row>
    <row r="1092" customFormat="false" ht="15.75" hidden="false" customHeight="true" outlineLevel="0" collapsed="false">
      <c r="A1092" s="69"/>
      <c r="B1092" s="69"/>
      <c r="C1092" s="69"/>
      <c r="D1092" s="69"/>
      <c r="E1092" s="78"/>
      <c r="F1092" s="21"/>
      <c r="G1092" s="79" t="s">
        <v>1147</v>
      </c>
      <c r="H1092" s="80" t="n">
        <v>2</v>
      </c>
      <c r="I1092" s="81" t="n">
        <v>44693</v>
      </c>
      <c r="J1092" s="69" t="s">
        <v>981</v>
      </c>
      <c r="K1092" s="69" t="s">
        <v>1031</v>
      </c>
      <c r="L1092" s="69" t="n">
        <v>1</v>
      </c>
      <c r="M1092" s="69" t="n">
        <v>0</v>
      </c>
      <c r="N1092" s="83"/>
      <c r="O1092" s="69"/>
      <c r="Q1092" s="62" t="str">
        <f aca="false">IF(ISBLANK(N1092),"",IF(N1092&lt;DATE(2023,5,1),"OLD","NEW"))</f>
        <v/>
      </c>
      <c r="S1092" s="33" t="n">
        <f aca="false">IF(COUNTIF('[1]Plate_1-2_LongFormat'!$A$2:$A$193,G1092)&gt;0,1,0)</f>
        <v>0</v>
      </c>
      <c r="T1092" s="33" t="n">
        <f aca="false">IF(COUNTIF([2]Attached_indexes!$C$2:$C$193,G1092)&gt;0,1,0)</f>
        <v>0</v>
      </c>
      <c r="U1092" s="59"/>
      <c r="V1092" s="1" t="s">
        <v>982</v>
      </c>
    </row>
    <row r="1093" customFormat="false" ht="15.75" hidden="false" customHeight="true" outlineLevel="0" collapsed="false">
      <c r="A1093" s="69"/>
      <c r="B1093" s="69"/>
      <c r="C1093" s="69"/>
      <c r="D1093" s="69"/>
      <c r="E1093" s="78"/>
      <c r="F1093" s="21"/>
      <c r="G1093" s="79" t="s">
        <v>1148</v>
      </c>
      <c r="H1093" s="80" t="n">
        <v>2</v>
      </c>
      <c r="I1093" s="81" t="n">
        <v>44693</v>
      </c>
      <c r="J1093" s="69" t="s">
        <v>981</v>
      </c>
      <c r="K1093" s="69" t="s">
        <v>986</v>
      </c>
      <c r="L1093" s="69" t="n">
        <v>1</v>
      </c>
      <c r="M1093" s="69" t="n">
        <v>0</v>
      </c>
      <c r="N1093" s="83"/>
      <c r="O1093" s="69"/>
      <c r="Q1093" s="62" t="str">
        <f aca="false">IF(ISBLANK(N1093),"",IF(N1093&lt;DATE(2023,5,1),"OLD","NEW"))</f>
        <v/>
      </c>
      <c r="S1093" s="33" t="n">
        <f aca="false">IF(COUNTIF('[1]Plate_1-2_LongFormat'!$A$2:$A$193,G1093)&gt;0,1,0)</f>
        <v>0</v>
      </c>
      <c r="T1093" s="33" t="n">
        <f aca="false">IF(COUNTIF([2]Attached_indexes!$C$2:$C$193,G1093)&gt;0,1,0)</f>
        <v>0</v>
      </c>
      <c r="U1093" s="59"/>
      <c r="V1093" s="1" t="s">
        <v>982</v>
      </c>
    </row>
    <row r="1094" customFormat="false" ht="15.75" hidden="false" customHeight="true" outlineLevel="0" collapsed="false">
      <c r="A1094" s="2"/>
      <c r="B1094" s="2"/>
      <c r="C1094" s="2"/>
      <c r="D1094" s="2"/>
      <c r="E1094" s="60"/>
      <c r="F1094" s="18"/>
      <c r="G1094" s="91" t="s">
        <v>1149</v>
      </c>
      <c r="H1094" s="18" t="n">
        <v>2</v>
      </c>
      <c r="I1094" s="22" t="n">
        <v>44693</v>
      </c>
      <c r="J1094" s="2" t="s">
        <v>981</v>
      </c>
      <c r="K1094" s="2" t="s">
        <v>986</v>
      </c>
      <c r="L1094" s="2" t="n">
        <v>1</v>
      </c>
      <c r="M1094" s="2" t="n">
        <v>1</v>
      </c>
      <c r="N1094" s="3" t="n">
        <v>45061</v>
      </c>
      <c r="O1094" s="2" t="n">
        <v>3.18</v>
      </c>
      <c r="P1094" s="2" t="n">
        <v>4</v>
      </c>
      <c r="Q1094" s="62" t="str">
        <f aca="false">IF(ISBLANK(N1094),"",IF(N1094&lt;DATE(2023,5,1),"OLD","NEW"))</f>
        <v>NEW</v>
      </c>
      <c r="R1094" s="2" t="s">
        <v>1150</v>
      </c>
      <c r="S1094" s="33" t="n">
        <f aca="false">IF(COUNTIF('[1]Plate_1-2_LongFormat'!$A$2:$A$193,G1094)&gt;0,1,0)</f>
        <v>0</v>
      </c>
      <c r="T1094" s="33" t="n">
        <f aca="false">IF(COUNTIF([2]Attached_indexes!$C$2:$C$193,G1094)&gt;0,1,0)</f>
        <v>0</v>
      </c>
      <c r="U1094" s="59"/>
      <c r="V1094" s="1" t="s">
        <v>982</v>
      </c>
    </row>
    <row r="1095" customFormat="false" ht="15.75" hidden="false" customHeight="true" outlineLevel="0" collapsed="false">
      <c r="A1095" s="2"/>
      <c r="B1095" s="2"/>
      <c r="C1095" s="2"/>
      <c r="D1095" s="2"/>
      <c r="E1095" s="60"/>
      <c r="F1095" s="18"/>
      <c r="G1095" s="91" t="s">
        <v>1149</v>
      </c>
      <c r="H1095" s="18" t="n">
        <v>2</v>
      </c>
      <c r="I1095" s="22" t="n">
        <v>44693</v>
      </c>
      <c r="J1095" s="2" t="s">
        <v>981</v>
      </c>
      <c r="K1095" s="2" t="s">
        <v>986</v>
      </c>
      <c r="L1095" s="2" t="n">
        <v>1</v>
      </c>
      <c r="M1095" s="2" t="n">
        <v>1</v>
      </c>
      <c r="N1095" s="3" t="n">
        <v>45061</v>
      </c>
      <c r="O1095" s="2" t="n">
        <v>3.18</v>
      </c>
      <c r="P1095" s="2" t="n">
        <v>4</v>
      </c>
      <c r="Q1095" s="62" t="str">
        <f aca="false">IF(ISBLANK(N1095),"",IF(N1095&lt;DATE(2023,5,1),"OLD","NEW"))</f>
        <v>NEW</v>
      </c>
      <c r="R1095" s="2" t="s">
        <v>1150</v>
      </c>
      <c r="S1095" s="33" t="n">
        <f aca="false">IF(COUNTIF('[1]Plate_1-2_LongFormat'!$A$2:$A$193,G1095)&gt;0,1,0)</f>
        <v>0</v>
      </c>
      <c r="T1095" s="33" t="n">
        <f aca="false">IF(COUNTIF([2]Attached_indexes!$C$2:$C$193,G1095)&gt;0,1,0)</f>
        <v>0</v>
      </c>
      <c r="U1095" s="59"/>
      <c r="V1095" s="1" t="s">
        <v>982</v>
      </c>
    </row>
    <row r="1096" customFormat="false" ht="14.25" hidden="false" customHeight="true" outlineLevel="0" collapsed="false">
      <c r="A1096" s="2"/>
      <c r="B1096" s="2"/>
      <c r="C1096" s="2"/>
      <c r="D1096" s="2"/>
      <c r="E1096" s="60"/>
      <c r="F1096" s="18"/>
      <c r="G1096" s="91" t="s">
        <v>1149</v>
      </c>
      <c r="H1096" s="18" t="n">
        <v>2</v>
      </c>
      <c r="I1096" s="22" t="n">
        <v>44693</v>
      </c>
      <c r="J1096" s="2" t="s">
        <v>981</v>
      </c>
      <c r="K1096" s="2" t="s">
        <v>986</v>
      </c>
      <c r="L1096" s="2" t="n">
        <v>1</v>
      </c>
      <c r="M1096" s="2" t="n">
        <v>1</v>
      </c>
      <c r="N1096" s="3" t="n">
        <v>45061</v>
      </c>
      <c r="O1096" s="2" t="n">
        <v>3.18</v>
      </c>
      <c r="P1096" s="2" t="n">
        <v>4</v>
      </c>
      <c r="Q1096" s="62" t="str">
        <f aca="false">IF(ISBLANK(N1096),"",IF(N1096&lt;DATE(2023,5,1),"OLD","NEW"))</f>
        <v>NEW</v>
      </c>
      <c r="R1096" s="2" t="s">
        <v>1150</v>
      </c>
      <c r="S1096" s="33" t="n">
        <f aca="false">IF(COUNTIF('[1]Plate_1-2_LongFormat'!$A$2:$A$193,G1096)&gt;0,1,0)</f>
        <v>0</v>
      </c>
      <c r="T1096" s="33" t="n">
        <f aca="false">IF(COUNTIF([2]Attached_indexes!$C$2:$C$193,G1096)&gt;0,1,0)</f>
        <v>0</v>
      </c>
      <c r="U1096" s="59"/>
      <c r="V1096" s="1" t="s">
        <v>982</v>
      </c>
    </row>
    <row r="1097" customFormat="false" ht="15.75" hidden="false" customHeight="true" outlineLevel="0" collapsed="false">
      <c r="A1097" s="69"/>
      <c r="B1097" s="69"/>
      <c r="C1097" s="69"/>
      <c r="D1097" s="69"/>
      <c r="E1097" s="78"/>
      <c r="F1097" s="21"/>
      <c r="G1097" s="79" t="s">
        <v>1151</v>
      </c>
      <c r="H1097" s="80" t="n">
        <v>2</v>
      </c>
      <c r="I1097" s="81" t="n">
        <v>44693</v>
      </c>
      <c r="J1097" s="69" t="s">
        <v>981</v>
      </c>
      <c r="K1097" s="69" t="s">
        <v>1037</v>
      </c>
      <c r="L1097" s="69" t="n">
        <v>1</v>
      </c>
      <c r="M1097" s="69" t="n">
        <v>0</v>
      </c>
      <c r="N1097" s="83"/>
      <c r="O1097" s="69"/>
      <c r="Q1097" s="62" t="str">
        <f aca="false">IF(ISBLANK(N1097),"",IF(N1097&lt;DATE(2023,5,1),"OLD","NEW"))</f>
        <v/>
      </c>
      <c r="S1097" s="33" t="n">
        <f aca="false">IF(COUNTIF('[1]Plate_1-2_LongFormat'!$A$2:$A$193,G1097)&gt;0,1,0)</f>
        <v>0</v>
      </c>
      <c r="T1097" s="33" t="n">
        <f aca="false">IF(COUNTIF([2]Attached_indexes!$C$2:$C$193,G1097)&gt;0,1,0)</f>
        <v>0</v>
      </c>
      <c r="U1097" s="59"/>
      <c r="V1097" s="1" t="s">
        <v>982</v>
      </c>
    </row>
    <row r="1098" customFormat="false" ht="15.75" hidden="false" customHeight="true" outlineLevel="0" collapsed="false">
      <c r="A1098" s="69"/>
      <c r="B1098" s="69"/>
      <c r="C1098" s="69"/>
      <c r="D1098" s="69"/>
      <c r="E1098" s="78"/>
      <c r="F1098" s="21"/>
      <c r="G1098" s="79" t="s">
        <v>1152</v>
      </c>
      <c r="H1098" s="80" t="n">
        <v>2</v>
      </c>
      <c r="I1098" s="81" t="n">
        <v>44726</v>
      </c>
      <c r="J1098" s="69" t="s">
        <v>981</v>
      </c>
      <c r="K1098" s="69" t="s">
        <v>1024</v>
      </c>
      <c r="L1098" s="69" t="n">
        <v>1</v>
      </c>
      <c r="M1098" s="69" t="n">
        <v>0</v>
      </c>
      <c r="N1098" s="83"/>
      <c r="O1098" s="69"/>
      <c r="Q1098" s="62" t="str">
        <f aca="false">IF(ISBLANK(N1098),"",IF(N1098&lt;DATE(2023,5,1),"OLD","NEW"))</f>
        <v/>
      </c>
      <c r="S1098" s="33" t="n">
        <f aca="false">IF(COUNTIF('[1]Plate_1-2_LongFormat'!$A$2:$A$193,G1098)&gt;0,1,0)</f>
        <v>0</v>
      </c>
      <c r="T1098" s="33" t="n">
        <f aca="false">IF(COUNTIF([2]Attached_indexes!$C$2:$C$193,G1098)&gt;0,1,0)</f>
        <v>0</v>
      </c>
      <c r="U1098" s="59"/>
      <c r="V1098" s="1" t="s">
        <v>982</v>
      </c>
    </row>
    <row r="1099" customFormat="false" ht="15.75" hidden="false" customHeight="true" outlineLevel="0" collapsed="false">
      <c r="A1099" s="69"/>
      <c r="B1099" s="69"/>
      <c r="C1099" s="69"/>
      <c r="D1099" s="69"/>
      <c r="E1099" s="78"/>
      <c r="F1099" s="21"/>
      <c r="G1099" s="79" t="s">
        <v>1153</v>
      </c>
      <c r="H1099" s="80" t="n">
        <v>2</v>
      </c>
      <c r="I1099" s="81" t="n">
        <v>44726</v>
      </c>
      <c r="J1099" s="69" t="s">
        <v>981</v>
      </c>
      <c r="K1099" s="69"/>
      <c r="L1099" s="69" t="n">
        <v>1</v>
      </c>
      <c r="M1099" s="69" t="n">
        <v>0</v>
      </c>
      <c r="N1099" s="83"/>
      <c r="O1099" s="69"/>
      <c r="Q1099" s="62" t="str">
        <f aca="false">IF(ISBLANK(N1099),"",IF(N1099&lt;DATE(2023,5,1),"OLD","NEW"))</f>
        <v/>
      </c>
      <c r="S1099" s="33" t="n">
        <f aca="false">IF(COUNTIF('[1]Plate_1-2_LongFormat'!$A$2:$A$193,G1099)&gt;0,1,0)</f>
        <v>0</v>
      </c>
      <c r="T1099" s="33" t="n">
        <f aca="false">IF(COUNTIF([2]Attached_indexes!$C$2:$C$193,G1099)&gt;0,1,0)</f>
        <v>0</v>
      </c>
      <c r="U1099" s="59"/>
      <c r="V1099" s="1" t="s">
        <v>982</v>
      </c>
    </row>
    <row r="1100" customFormat="false" ht="15.75" hidden="false" customHeight="true" outlineLevel="0" collapsed="false">
      <c r="A1100" s="69"/>
      <c r="B1100" s="69"/>
      <c r="C1100" s="69"/>
      <c r="D1100" s="69"/>
      <c r="E1100" s="78"/>
      <c r="F1100" s="21"/>
      <c r="G1100" s="79" t="s">
        <v>1154</v>
      </c>
      <c r="H1100" s="80" t="n">
        <v>2</v>
      </c>
      <c r="I1100" s="81" t="n">
        <v>44726</v>
      </c>
      <c r="J1100" s="69" t="s">
        <v>981</v>
      </c>
      <c r="K1100" s="69" t="s">
        <v>1021</v>
      </c>
      <c r="L1100" s="69" t="n">
        <v>1</v>
      </c>
      <c r="M1100" s="69" t="n">
        <v>0</v>
      </c>
      <c r="N1100" s="83"/>
      <c r="O1100" s="69"/>
      <c r="Q1100" s="62" t="str">
        <f aca="false">IF(ISBLANK(N1100),"",IF(N1100&lt;DATE(2023,5,1),"OLD","NEW"))</f>
        <v/>
      </c>
      <c r="S1100" s="33" t="n">
        <f aca="false">IF(COUNTIF('[1]Plate_1-2_LongFormat'!$A$2:$A$193,G1100)&gt;0,1,0)</f>
        <v>0</v>
      </c>
      <c r="T1100" s="33" t="n">
        <f aca="false">IF(COUNTIF([2]Attached_indexes!$C$2:$C$193,G1100)&gt;0,1,0)</f>
        <v>0</v>
      </c>
      <c r="U1100" s="59"/>
      <c r="V1100" s="1" t="s">
        <v>982</v>
      </c>
    </row>
    <row r="1101" customFormat="false" ht="15.75" hidden="false" customHeight="true" outlineLevel="0" collapsed="false">
      <c r="A1101" s="69"/>
      <c r="B1101" s="69"/>
      <c r="C1101" s="69"/>
      <c r="D1101" s="69"/>
      <c r="E1101" s="78"/>
      <c r="F1101" s="21"/>
      <c r="G1101" s="79" t="s">
        <v>1155</v>
      </c>
      <c r="H1101" s="80" t="n">
        <v>2</v>
      </c>
      <c r="I1101" s="81" t="n">
        <v>44726</v>
      </c>
      <c r="J1101" s="69" t="s">
        <v>981</v>
      </c>
      <c r="K1101" s="69" t="s">
        <v>1020</v>
      </c>
      <c r="L1101" s="69" t="n">
        <v>1</v>
      </c>
      <c r="M1101" s="69" t="n">
        <v>0</v>
      </c>
      <c r="N1101" s="83"/>
      <c r="O1101" s="69"/>
      <c r="Q1101" s="62" t="str">
        <f aca="false">IF(ISBLANK(N1101),"",IF(N1101&lt;DATE(2023,5,1),"OLD","NEW"))</f>
        <v/>
      </c>
      <c r="S1101" s="33" t="n">
        <f aca="false">IF(COUNTIF('[1]Plate_1-2_LongFormat'!$A$2:$A$193,G1101)&gt;0,1,0)</f>
        <v>0</v>
      </c>
      <c r="T1101" s="33" t="n">
        <f aca="false">IF(COUNTIF([2]Attached_indexes!$C$2:$C$193,G1101)&gt;0,1,0)</f>
        <v>0</v>
      </c>
      <c r="U1101" s="59"/>
      <c r="V1101" s="1" t="s">
        <v>982</v>
      </c>
    </row>
    <row r="1102" customFormat="false" ht="15.75" hidden="false" customHeight="true" outlineLevel="0" collapsed="false">
      <c r="A1102" s="69"/>
      <c r="B1102" s="69"/>
      <c r="C1102" s="69"/>
      <c r="D1102" s="69"/>
      <c r="E1102" s="78"/>
      <c r="F1102" s="21"/>
      <c r="G1102" s="79" t="s">
        <v>1156</v>
      </c>
      <c r="H1102" s="80" t="n">
        <v>2</v>
      </c>
      <c r="I1102" s="81" t="n">
        <v>44714</v>
      </c>
      <c r="J1102" s="69" t="s">
        <v>981</v>
      </c>
      <c r="K1102" s="69" t="s">
        <v>1036</v>
      </c>
      <c r="L1102" s="69" t="n">
        <v>1</v>
      </c>
      <c r="M1102" s="69" t="n">
        <v>0</v>
      </c>
      <c r="N1102" s="83"/>
      <c r="O1102" s="69"/>
      <c r="Q1102" s="62" t="str">
        <f aca="false">IF(ISBLANK(N1102),"",IF(N1102&lt;DATE(2023,5,1),"OLD","NEW"))</f>
        <v/>
      </c>
      <c r="S1102" s="33" t="n">
        <f aca="false">IF(COUNTIF('[1]Plate_1-2_LongFormat'!$A$2:$A$193,G1102)&gt;0,1,0)</f>
        <v>0</v>
      </c>
      <c r="T1102" s="33" t="n">
        <f aca="false">IF(COUNTIF([2]Attached_indexes!$C$2:$C$193,G1102)&gt;0,1,0)</f>
        <v>0</v>
      </c>
      <c r="U1102" s="59"/>
      <c r="V1102" s="1" t="s">
        <v>982</v>
      </c>
    </row>
    <row r="1103" customFormat="false" ht="15.75" hidden="false" customHeight="true" outlineLevel="0" collapsed="false">
      <c r="A1103" s="2"/>
      <c r="B1103" s="2"/>
      <c r="C1103" s="2"/>
      <c r="D1103" s="2"/>
      <c r="E1103" s="60"/>
      <c r="F1103" s="18"/>
      <c r="G1103" s="91" t="s">
        <v>1157</v>
      </c>
      <c r="H1103" s="18" t="n">
        <v>2</v>
      </c>
      <c r="I1103" s="22" t="n">
        <v>44714</v>
      </c>
      <c r="J1103" s="2" t="s">
        <v>981</v>
      </c>
      <c r="K1103" s="2" t="s">
        <v>1024</v>
      </c>
      <c r="L1103" s="2" t="n">
        <v>1</v>
      </c>
      <c r="M1103" s="2" t="n">
        <v>1</v>
      </c>
      <c r="N1103" s="3" t="n">
        <v>45061</v>
      </c>
      <c r="O1103" s="2" t="n">
        <v>18.9</v>
      </c>
      <c r="P1103" s="2" t="n">
        <v>4</v>
      </c>
      <c r="Q1103" s="62" t="str">
        <f aca="false">IF(ISBLANK(N1103),"",IF(N1103&lt;DATE(2023,5,1),"OLD","NEW"))</f>
        <v>NEW</v>
      </c>
      <c r="R1103" s="2" t="s">
        <v>1158</v>
      </c>
      <c r="S1103" s="33" t="n">
        <f aca="false">IF(COUNTIF('[1]Plate_1-2_LongFormat'!$A$2:$A$193,G1103)&gt;0,1,0)</f>
        <v>0</v>
      </c>
      <c r="T1103" s="33" t="n">
        <f aca="false">IF(COUNTIF([2]Attached_indexes!$C$2:$C$193,G1103)&gt;0,1,0)</f>
        <v>0</v>
      </c>
      <c r="U1103" s="59"/>
      <c r="V1103" s="1" t="s">
        <v>982</v>
      </c>
    </row>
    <row r="1104" customFormat="false" ht="15.75" hidden="false" customHeight="true" outlineLevel="0" collapsed="false">
      <c r="A1104" s="2"/>
      <c r="B1104" s="2"/>
      <c r="C1104" s="2"/>
      <c r="D1104" s="2"/>
      <c r="E1104" s="60"/>
      <c r="F1104" s="18"/>
      <c r="G1104" s="91" t="s">
        <v>1157</v>
      </c>
      <c r="H1104" s="18" t="n">
        <v>2</v>
      </c>
      <c r="I1104" s="22" t="n">
        <v>44714</v>
      </c>
      <c r="J1104" s="2" t="s">
        <v>981</v>
      </c>
      <c r="K1104" s="2" t="s">
        <v>1024</v>
      </c>
      <c r="L1104" s="2" t="n">
        <v>1</v>
      </c>
      <c r="M1104" s="2" t="n">
        <v>1</v>
      </c>
      <c r="N1104" s="3" t="n">
        <v>45061</v>
      </c>
      <c r="O1104" s="2" t="n">
        <v>18.9</v>
      </c>
      <c r="P1104" s="2" t="n">
        <v>4</v>
      </c>
      <c r="Q1104" s="62" t="str">
        <f aca="false">IF(ISBLANK(N1104),"",IF(N1104&lt;DATE(2023,5,1),"OLD","NEW"))</f>
        <v>NEW</v>
      </c>
      <c r="R1104" s="2" t="s">
        <v>1159</v>
      </c>
      <c r="S1104" s="33" t="n">
        <f aca="false">IF(COUNTIF('[1]Plate_1-2_LongFormat'!$A$2:$A$193,G1104)&gt;0,1,0)</f>
        <v>0</v>
      </c>
      <c r="T1104" s="33" t="n">
        <f aca="false">IF(COUNTIF([2]Attached_indexes!$C$2:$C$193,G1104)&gt;0,1,0)</f>
        <v>0</v>
      </c>
      <c r="U1104" s="59"/>
      <c r="V1104" s="1" t="s">
        <v>982</v>
      </c>
    </row>
    <row r="1105" customFormat="false" ht="15.75" hidden="false" customHeight="true" outlineLevel="0" collapsed="false">
      <c r="A1105" s="2"/>
      <c r="B1105" s="2"/>
      <c r="C1105" s="2"/>
      <c r="D1105" s="2"/>
      <c r="E1105" s="60"/>
      <c r="F1105" s="18"/>
      <c r="G1105" s="91" t="s">
        <v>1157</v>
      </c>
      <c r="H1105" s="18" t="n">
        <v>2</v>
      </c>
      <c r="I1105" s="22" t="n">
        <v>44714</v>
      </c>
      <c r="J1105" s="2" t="s">
        <v>981</v>
      </c>
      <c r="K1105" s="2" t="s">
        <v>1024</v>
      </c>
      <c r="L1105" s="2" t="n">
        <v>1</v>
      </c>
      <c r="M1105" s="2" t="n">
        <v>1</v>
      </c>
      <c r="N1105" s="3" t="n">
        <v>45061</v>
      </c>
      <c r="O1105" s="2" t="n">
        <v>18.9</v>
      </c>
      <c r="P1105" s="2" t="n">
        <v>4</v>
      </c>
      <c r="Q1105" s="62" t="str">
        <f aca="false">IF(ISBLANK(N1105),"",IF(N1105&lt;DATE(2023,5,1),"OLD","NEW"))</f>
        <v>NEW</v>
      </c>
      <c r="R1105" s="2" t="s">
        <v>1160</v>
      </c>
      <c r="S1105" s="33" t="n">
        <f aca="false">IF(COUNTIF('[1]Plate_1-2_LongFormat'!$A$2:$A$193,G1105)&gt;0,1,0)</f>
        <v>0</v>
      </c>
      <c r="T1105" s="33" t="n">
        <f aca="false">IF(COUNTIF([2]Attached_indexes!$C$2:$C$193,G1105)&gt;0,1,0)</f>
        <v>0</v>
      </c>
      <c r="U1105" s="59"/>
      <c r="V1105" s="1" t="s">
        <v>982</v>
      </c>
    </row>
    <row r="1106" customFormat="false" ht="15.75" hidden="false" customHeight="true" outlineLevel="0" collapsed="false">
      <c r="A1106" s="69"/>
      <c r="B1106" s="69"/>
      <c r="C1106" s="69"/>
      <c r="D1106" s="69"/>
      <c r="E1106" s="78"/>
      <c r="F1106" s="21"/>
      <c r="G1106" s="79" t="s">
        <v>1161</v>
      </c>
      <c r="H1106" s="80" t="n">
        <v>2</v>
      </c>
      <c r="I1106" s="81" t="n">
        <v>44714</v>
      </c>
      <c r="J1106" s="69" t="s">
        <v>981</v>
      </c>
      <c r="K1106" s="69"/>
      <c r="L1106" s="69" t="n">
        <v>1</v>
      </c>
      <c r="M1106" s="69" t="n">
        <v>0</v>
      </c>
      <c r="N1106" s="83"/>
      <c r="O1106" s="69"/>
      <c r="Q1106" s="62" t="str">
        <f aca="false">IF(ISBLANK(N1106),"",IF(N1106&lt;DATE(2023,5,1),"OLD","NEW"))</f>
        <v/>
      </c>
      <c r="S1106" s="33" t="n">
        <f aca="false">IF(COUNTIF('[1]Plate_1-2_LongFormat'!$A$2:$A$193,G1106)&gt;0,1,0)</f>
        <v>0</v>
      </c>
      <c r="T1106" s="33" t="n">
        <f aca="false">IF(COUNTIF([2]Attached_indexes!$C$2:$C$193,G1106)&gt;0,1,0)</f>
        <v>0</v>
      </c>
      <c r="U1106" s="59"/>
      <c r="V1106" s="1" t="s">
        <v>982</v>
      </c>
    </row>
    <row r="1107" customFormat="false" ht="15.75" hidden="false" customHeight="true" outlineLevel="0" collapsed="false">
      <c r="A1107" s="69"/>
      <c r="B1107" s="69"/>
      <c r="C1107" s="69"/>
      <c r="D1107" s="69"/>
      <c r="E1107" s="78"/>
      <c r="F1107" s="21"/>
      <c r="G1107" s="79" t="s">
        <v>1162</v>
      </c>
      <c r="H1107" s="80" t="n">
        <v>2</v>
      </c>
      <c r="I1107" s="81" t="n">
        <v>44714</v>
      </c>
      <c r="J1107" s="69" t="s">
        <v>981</v>
      </c>
      <c r="K1107" s="69"/>
      <c r="L1107" s="69" t="n">
        <v>1</v>
      </c>
      <c r="M1107" s="69" t="n">
        <v>0</v>
      </c>
      <c r="N1107" s="83"/>
      <c r="O1107" s="69"/>
      <c r="Q1107" s="62" t="str">
        <f aca="false">IF(ISBLANK(N1107),"",IF(N1107&lt;DATE(2023,5,1),"OLD","NEW"))</f>
        <v/>
      </c>
      <c r="S1107" s="33" t="n">
        <f aca="false">IF(COUNTIF('[1]Plate_1-2_LongFormat'!$A$2:$A$193,G1107)&gt;0,1,0)</f>
        <v>0</v>
      </c>
      <c r="T1107" s="33" t="n">
        <f aca="false">IF(COUNTIF([2]Attached_indexes!$C$2:$C$193,G1107)&gt;0,1,0)</f>
        <v>0</v>
      </c>
      <c r="U1107" s="59"/>
      <c r="V1107" s="1" t="s">
        <v>982</v>
      </c>
    </row>
    <row r="1108" customFormat="false" ht="15.75" hidden="false" customHeight="true" outlineLevel="0" collapsed="false">
      <c r="A1108" s="69"/>
      <c r="B1108" s="69"/>
      <c r="C1108" s="69"/>
      <c r="D1108" s="69"/>
      <c r="E1108" s="78"/>
      <c r="F1108" s="21"/>
      <c r="G1108" s="79" t="s">
        <v>1111</v>
      </c>
      <c r="H1108" s="80" t="n">
        <v>2</v>
      </c>
      <c r="I1108" s="81" t="n">
        <v>44714</v>
      </c>
      <c r="J1108" s="69" t="s">
        <v>981</v>
      </c>
      <c r="K1108" s="69"/>
      <c r="L1108" s="69" t="n">
        <v>1</v>
      </c>
      <c r="M1108" s="69" t="n">
        <v>0</v>
      </c>
      <c r="N1108" s="83"/>
      <c r="O1108" s="69"/>
      <c r="Q1108" s="62" t="str">
        <f aca="false">IF(ISBLANK(N1108),"",IF(N1108&lt;DATE(2023,5,1),"OLD","NEW"))</f>
        <v/>
      </c>
      <c r="S1108" s="33" t="n">
        <f aca="false">IF(COUNTIF('[1]Plate_1-2_LongFormat'!$A$2:$A$193,G1108)&gt;0,1,0)</f>
        <v>0</v>
      </c>
      <c r="T1108" s="33" t="n">
        <f aca="false">IF(COUNTIF([2]Attached_indexes!$C$2:$C$193,G1108)&gt;0,1,0)</f>
        <v>0</v>
      </c>
      <c r="U1108" s="59"/>
      <c r="V1108" s="1" t="s">
        <v>982</v>
      </c>
    </row>
    <row r="1109" customFormat="false" ht="15.75" hidden="false" customHeight="true" outlineLevel="0" collapsed="false">
      <c r="A1109" s="69"/>
      <c r="B1109" s="69"/>
      <c r="C1109" s="69"/>
      <c r="D1109" s="69"/>
      <c r="E1109" s="78"/>
      <c r="F1109" s="21"/>
      <c r="G1109" s="79" t="s">
        <v>1112</v>
      </c>
      <c r="H1109" s="80" t="n">
        <v>2</v>
      </c>
      <c r="I1109" s="81" t="n">
        <v>44714</v>
      </c>
      <c r="J1109" s="69" t="s">
        <v>981</v>
      </c>
      <c r="K1109" s="69"/>
      <c r="L1109" s="69" t="n">
        <v>1</v>
      </c>
      <c r="M1109" s="69" t="n">
        <v>0</v>
      </c>
      <c r="N1109" s="83"/>
      <c r="O1109" s="69"/>
      <c r="Q1109" s="62" t="str">
        <f aca="false">IF(ISBLANK(N1109),"",IF(N1109&lt;DATE(2023,5,1),"OLD","NEW"))</f>
        <v/>
      </c>
      <c r="S1109" s="33" t="n">
        <f aca="false">IF(COUNTIF('[1]Plate_1-2_LongFormat'!$A$2:$A$193,G1109)&gt;0,1,0)</f>
        <v>0</v>
      </c>
      <c r="T1109" s="33" t="n">
        <f aca="false">IF(COUNTIF([2]Attached_indexes!$C$2:$C$193,G1109)&gt;0,1,0)</f>
        <v>0</v>
      </c>
      <c r="U1109" s="59"/>
      <c r="V1109" s="1" t="s">
        <v>982</v>
      </c>
    </row>
    <row r="1110" customFormat="false" ht="15.75" hidden="false" customHeight="true" outlineLevel="0" collapsed="false">
      <c r="A1110" s="2"/>
      <c r="B1110" s="2"/>
      <c r="C1110" s="2"/>
      <c r="D1110" s="2"/>
      <c r="E1110" s="60"/>
      <c r="F1110" s="18"/>
      <c r="G1110" s="91" t="s">
        <v>1163</v>
      </c>
      <c r="H1110" s="18" t="n">
        <v>2</v>
      </c>
      <c r="I1110" s="22" t="n">
        <v>44683</v>
      </c>
      <c r="J1110" s="2" t="s">
        <v>981</v>
      </c>
      <c r="K1110" s="2"/>
      <c r="L1110" s="2" t="n">
        <v>1</v>
      </c>
      <c r="M1110" s="2" t="n">
        <v>1</v>
      </c>
      <c r="N1110" s="3" t="n">
        <v>45061</v>
      </c>
      <c r="O1110" s="2" t="n">
        <v>25.1</v>
      </c>
      <c r="P1110" s="2" t="n">
        <v>4</v>
      </c>
      <c r="Q1110" s="62" t="str">
        <f aca="false">IF(ISBLANK(N1110),"",IF(N1110&lt;DATE(2023,5,1),"OLD","NEW"))</f>
        <v>NEW</v>
      </c>
      <c r="R1110" s="2" t="s">
        <v>1164</v>
      </c>
      <c r="S1110" s="33" t="n">
        <f aca="false">IF(COUNTIF('[1]Plate_1-2_LongFormat'!$A$2:$A$193,G1110)&gt;0,1,0)</f>
        <v>0</v>
      </c>
      <c r="T1110" s="33" t="n">
        <f aca="false">IF(COUNTIF([2]Attached_indexes!$C$2:$C$193,G1110)&gt;0,1,0)</f>
        <v>0</v>
      </c>
      <c r="U1110" s="59"/>
      <c r="V1110" s="1" t="s">
        <v>982</v>
      </c>
    </row>
    <row r="1111" customFormat="false" ht="15.75" hidden="false" customHeight="true" outlineLevel="0" collapsed="false">
      <c r="A1111" s="2"/>
      <c r="B1111" s="2"/>
      <c r="C1111" s="2"/>
      <c r="D1111" s="2"/>
      <c r="E1111" s="60"/>
      <c r="F1111" s="18"/>
      <c r="G1111" s="91" t="s">
        <v>1163</v>
      </c>
      <c r="H1111" s="18" t="n">
        <v>2</v>
      </c>
      <c r="I1111" s="22" t="n">
        <v>44683</v>
      </c>
      <c r="J1111" s="2" t="s">
        <v>981</v>
      </c>
      <c r="K1111" s="2"/>
      <c r="L1111" s="2" t="n">
        <v>1</v>
      </c>
      <c r="M1111" s="2" t="n">
        <v>1</v>
      </c>
      <c r="N1111" s="3" t="n">
        <v>45061</v>
      </c>
      <c r="O1111" s="2" t="n">
        <v>25.1</v>
      </c>
      <c r="P1111" s="2" t="n">
        <v>4</v>
      </c>
      <c r="Q1111" s="62" t="str">
        <f aca="false">IF(ISBLANK(N1111),"",IF(N1111&lt;DATE(2023,5,1),"OLD","NEW"))</f>
        <v>NEW</v>
      </c>
      <c r="R1111" s="2" t="s">
        <v>1164</v>
      </c>
      <c r="S1111" s="33" t="n">
        <f aca="false">IF(COUNTIF('[1]Plate_1-2_LongFormat'!$A$2:$A$193,G1111)&gt;0,1,0)</f>
        <v>0</v>
      </c>
      <c r="T1111" s="33" t="n">
        <f aca="false">IF(COUNTIF([2]Attached_indexes!$C$2:$C$193,G1111)&gt;0,1,0)</f>
        <v>0</v>
      </c>
      <c r="U1111" s="59"/>
      <c r="V1111" s="1" t="s">
        <v>982</v>
      </c>
    </row>
    <row r="1112" customFormat="false" ht="15.75" hidden="false" customHeight="true" outlineLevel="0" collapsed="false">
      <c r="A1112" s="2"/>
      <c r="B1112" s="2"/>
      <c r="C1112" s="2"/>
      <c r="D1112" s="2"/>
      <c r="E1112" s="60"/>
      <c r="F1112" s="18"/>
      <c r="G1112" s="91" t="s">
        <v>1163</v>
      </c>
      <c r="H1112" s="18" t="n">
        <v>2</v>
      </c>
      <c r="I1112" s="22" t="n">
        <v>44683</v>
      </c>
      <c r="J1112" s="2" t="s">
        <v>981</v>
      </c>
      <c r="K1112" s="2"/>
      <c r="L1112" s="2" t="n">
        <v>1</v>
      </c>
      <c r="M1112" s="2" t="n">
        <v>1</v>
      </c>
      <c r="N1112" s="3" t="n">
        <v>45061</v>
      </c>
      <c r="O1112" s="2" t="n">
        <v>25.1</v>
      </c>
      <c r="P1112" s="2" t="n">
        <v>4</v>
      </c>
      <c r="Q1112" s="62" t="str">
        <f aca="false">IF(ISBLANK(N1112),"",IF(N1112&lt;DATE(2023,5,1),"OLD","NEW"))</f>
        <v>NEW</v>
      </c>
      <c r="R1112" s="2" t="s">
        <v>1164</v>
      </c>
      <c r="S1112" s="33" t="n">
        <f aca="false">IF(COUNTIF('[1]Plate_1-2_LongFormat'!$A$2:$A$193,G1112)&gt;0,1,0)</f>
        <v>0</v>
      </c>
      <c r="T1112" s="33" t="n">
        <f aca="false">IF(COUNTIF([2]Attached_indexes!$C$2:$C$193,G1112)&gt;0,1,0)</f>
        <v>0</v>
      </c>
      <c r="U1112" s="59"/>
      <c r="V1112" s="1" t="s">
        <v>982</v>
      </c>
    </row>
    <row r="1113" customFormat="false" ht="15.75" hidden="false" customHeight="true" outlineLevel="0" collapsed="false">
      <c r="A1113" s="2"/>
      <c r="B1113" s="2"/>
      <c r="C1113" s="2"/>
      <c r="D1113" s="2"/>
      <c r="E1113" s="60"/>
      <c r="F1113" s="18"/>
      <c r="G1113" s="91" t="s">
        <v>1165</v>
      </c>
      <c r="H1113" s="18" t="n">
        <v>2</v>
      </c>
      <c r="I1113" s="22" t="n">
        <v>44683</v>
      </c>
      <c r="J1113" s="2" t="s">
        <v>981</v>
      </c>
      <c r="K1113" s="2" t="s">
        <v>984</v>
      </c>
      <c r="L1113" s="2" t="n">
        <v>1</v>
      </c>
      <c r="M1113" s="2" t="n">
        <v>1</v>
      </c>
      <c r="N1113" s="3" t="n">
        <v>45071</v>
      </c>
      <c r="O1113" s="2" t="n">
        <v>9.64</v>
      </c>
      <c r="P1113" s="2" t="n">
        <v>4</v>
      </c>
      <c r="Q1113" s="62" t="str">
        <f aca="false">IF(ISBLANK(N1113),"",IF(N1113&lt;DATE(2023,5,1),"OLD","NEW"))</f>
        <v>NEW</v>
      </c>
      <c r="R1113" s="2" t="s">
        <v>1166</v>
      </c>
      <c r="S1113" s="33" t="n">
        <f aca="false">IF(COUNTIF('[1]Plate_1-2_LongFormat'!$A$2:$A$193,G1113)&gt;0,1,0)</f>
        <v>0</v>
      </c>
      <c r="T1113" s="33" t="n">
        <f aca="false">IF(COUNTIF([2]Attached_indexes!$C$2:$C$193,G1113)&gt;0,1,0)</f>
        <v>0</v>
      </c>
      <c r="U1113" s="59"/>
      <c r="V1113" s="1" t="s">
        <v>982</v>
      </c>
    </row>
    <row r="1114" customFormat="false" ht="15.75" hidden="false" customHeight="true" outlineLevel="0" collapsed="false">
      <c r="A1114" s="2"/>
      <c r="B1114" s="2"/>
      <c r="C1114" s="2"/>
      <c r="D1114" s="2"/>
      <c r="E1114" s="60"/>
      <c r="F1114" s="18"/>
      <c r="G1114" s="91" t="s">
        <v>1165</v>
      </c>
      <c r="H1114" s="18" t="n">
        <v>2</v>
      </c>
      <c r="I1114" s="22" t="n">
        <v>44683</v>
      </c>
      <c r="J1114" s="2" t="s">
        <v>981</v>
      </c>
      <c r="K1114" s="2" t="s">
        <v>984</v>
      </c>
      <c r="L1114" s="2" t="n">
        <v>1</v>
      </c>
      <c r="M1114" s="2" t="n">
        <v>1</v>
      </c>
      <c r="N1114" s="3" t="n">
        <v>45071</v>
      </c>
      <c r="O1114" s="2" t="n">
        <v>9.64</v>
      </c>
      <c r="P1114" s="2" t="n">
        <v>4</v>
      </c>
      <c r="Q1114" s="62" t="str">
        <f aca="false">IF(ISBLANK(N1114),"",IF(N1114&lt;DATE(2023,5,1),"OLD","NEW"))</f>
        <v>NEW</v>
      </c>
      <c r="R1114" s="2" t="s">
        <v>1166</v>
      </c>
      <c r="S1114" s="33" t="n">
        <f aca="false">IF(COUNTIF('[1]Plate_1-2_LongFormat'!$A$2:$A$193,G1114)&gt;0,1,0)</f>
        <v>0</v>
      </c>
      <c r="T1114" s="33" t="n">
        <f aca="false">IF(COUNTIF([2]Attached_indexes!$C$2:$C$193,G1114)&gt;0,1,0)</f>
        <v>0</v>
      </c>
      <c r="U1114" s="59"/>
      <c r="V1114" s="1" t="s">
        <v>982</v>
      </c>
    </row>
    <row r="1115" customFormat="false" ht="15.75" hidden="false" customHeight="true" outlineLevel="0" collapsed="false">
      <c r="A1115" s="2"/>
      <c r="B1115" s="2"/>
      <c r="C1115" s="2"/>
      <c r="D1115" s="2"/>
      <c r="E1115" s="60"/>
      <c r="F1115" s="18"/>
      <c r="G1115" s="91" t="s">
        <v>1165</v>
      </c>
      <c r="H1115" s="18" t="n">
        <v>2</v>
      </c>
      <c r="I1115" s="22" t="n">
        <v>44683</v>
      </c>
      <c r="J1115" s="2" t="s">
        <v>981</v>
      </c>
      <c r="K1115" s="2" t="s">
        <v>984</v>
      </c>
      <c r="L1115" s="2" t="n">
        <v>1</v>
      </c>
      <c r="M1115" s="2" t="n">
        <v>1</v>
      </c>
      <c r="N1115" s="3" t="n">
        <v>45071</v>
      </c>
      <c r="O1115" s="2" t="n">
        <v>9.64</v>
      </c>
      <c r="P1115" s="2" t="n">
        <v>4</v>
      </c>
      <c r="Q1115" s="62" t="str">
        <f aca="false">IF(ISBLANK(N1115),"",IF(N1115&lt;DATE(2023,5,1),"OLD","NEW"))</f>
        <v>NEW</v>
      </c>
      <c r="R1115" s="2" t="s">
        <v>1166</v>
      </c>
      <c r="S1115" s="33" t="n">
        <f aca="false">IF(COUNTIF('[1]Plate_1-2_LongFormat'!$A$2:$A$193,G1115)&gt;0,1,0)</f>
        <v>0</v>
      </c>
      <c r="T1115" s="33" t="n">
        <f aca="false">IF(COUNTIF([2]Attached_indexes!$C$2:$C$193,G1115)&gt;0,1,0)</f>
        <v>0</v>
      </c>
      <c r="U1115" s="59"/>
      <c r="V1115" s="1" t="s">
        <v>982</v>
      </c>
    </row>
    <row r="1116" customFormat="false" ht="15.75" hidden="false" customHeight="true" outlineLevel="0" collapsed="false">
      <c r="A1116" s="69"/>
      <c r="B1116" s="69"/>
      <c r="C1116" s="69"/>
      <c r="D1116" s="69"/>
      <c r="E1116" s="78"/>
      <c r="F1116" s="21"/>
      <c r="G1116" s="79" t="s">
        <v>1167</v>
      </c>
      <c r="H1116" s="80" t="n">
        <v>2</v>
      </c>
      <c r="I1116" s="81" t="n">
        <v>44683</v>
      </c>
      <c r="J1116" s="69" t="s">
        <v>981</v>
      </c>
      <c r="K1116" s="69" t="s">
        <v>1019</v>
      </c>
      <c r="L1116" s="69" t="n">
        <v>1</v>
      </c>
      <c r="M1116" s="69" t="n">
        <v>0</v>
      </c>
      <c r="N1116" s="83"/>
      <c r="O1116" s="69"/>
      <c r="Q1116" s="62" t="str">
        <f aca="false">IF(ISBLANK(N1116),"",IF(N1116&lt;DATE(2023,5,1),"OLD","NEW"))</f>
        <v/>
      </c>
      <c r="S1116" s="33" t="n">
        <f aca="false">IF(COUNTIF('[1]Plate_1-2_LongFormat'!$A$2:$A$193,G1116)&gt;0,1,0)</f>
        <v>0</v>
      </c>
      <c r="T1116" s="33" t="n">
        <f aca="false">IF(COUNTIF([2]Attached_indexes!$C$2:$C$193,G1116)&gt;0,1,0)</f>
        <v>0</v>
      </c>
      <c r="U1116" s="59"/>
      <c r="V1116" s="1" t="s">
        <v>982</v>
      </c>
    </row>
    <row r="1117" customFormat="false" ht="15.75" hidden="false" customHeight="true" outlineLevel="0" collapsed="false">
      <c r="A1117" s="69"/>
      <c r="B1117" s="69"/>
      <c r="C1117" s="69"/>
      <c r="D1117" s="69"/>
      <c r="E1117" s="78"/>
      <c r="F1117" s="21"/>
      <c r="G1117" s="79" t="s">
        <v>1168</v>
      </c>
      <c r="H1117" s="80" t="n">
        <v>2</v>
      </c>
      <c r="I1117" s="81" t="n">
        <v>44683</v>
      </c>
      <c r="J1117" s="69" t="s">
        <v>981</v>
      </c>
      <c r="K1117" s="69"/>
      <c r="L1117" s="69" t="n">
        <v>1</v>
      </c>
      <c r="M1117" s="69" t="n">
        <v>0</v>
      </c>
      <c r="N1117" s="83"/>
      <c r="O1117" s="69"/>
      <c r="Q1117" s="62" t="str">
        <f aca="false">IF(ISBLANK(N1117),"",IF(N1117&lt;DATE(2023,5,1),"OLD","NEW"))</f>
        <v/>
      </c>
      <c r="S1117" s="33" t="n">
        <f aca="false">IF(COUNTIF('[1]Plate_1-2_LongFormat'!$A$2:$A$193,G1117)&gt;0,1,0)</f>
        <v>0</v>
      </c>
      <c r="T1117" s="33" t="n">
        <f aca="false">IF(COUNTIF([2]Attached_indexes!$C$2:$C$193,G1117)&gt;0,1,0)</f>
        <v>0</v>
      </c>
      <c r="U1117" s="59"/>
      <c r="V1117" s="1" t="s">
        <v>982</v>
      </c>
    </row>
    <row r="1118" customFormat="false" ht="15.75" hidden="false" customHeight="true" outlineLevel="0" collapsed="false">
      <c r="A1118" s="69"/>
      <c r="B1118" s="69"/>
      <c r="C1118" s="69"/>
      <c r="D1118" s="69"/>
      <c r="E1118" s="78"/>
      <c r="F1118" s="21"/>
      <c r="G1118" s="79" t="s">
        <v>1169</v>
      </c>
      <c r="H1118" s="80" t="n">
        <v>2</v>
      </c>
      <c r="I1118" s="81" t="n">
        <v>44693</v>
      </c>
      <c r="J1118" s="69" t="s">
        <v>981</v>
      </c>
      <c r="K1118" s="69"/>
      <c r="L1118" s="69" t="n">
        <v>1</v>
      </c>
      <c r="M1118" s="69" t="n">
        <v>0</v>
      </c>
      <c r="N1118" s="83"/>
      <c r="O1118" s="69"/>
      <c r="Q1118" s="62" t="str">
        <f aca="false">IF(ISBLANK(N1118),"",IF(N1118&lt;DATE(2023,5,1),"OLD","NEW"))</f>
        <v/>
      </c>
      <c r="S1118" s="33" t="n">
        <f aca="false">IF(COUNTIF('[1]Plate_1-2_LongFormat'!$A$2:$A$193,G1118)&gt;0,1,0)</f>
        <v>0</v>
      </c>
      <c r="T1118" s="33" t="n">
        <f aca="false">IF(COUNTIF([2]Attached_indexes!$C$2:$C$193,G1118)&gt;0,1,0)</f>
        <v>0</v>
      </c>
      <c r="U1118" s="59"/>
      <c r="V1118" s="1" t="s">
        <v>982</v>
      </c>
    </row>
    <row r="1119" customFormat="false" ht="15.75" hidden="false" customHeight="true" outlineLevel="0" collapsed="false">
      <c r="A1119" s="69"/>
      <c r="B1119" s="69"/>
      <c r="C1119" s="69"/>
      <c r="D1119" s="69"/>
      <c r="E1119" s="78"/>
      <c r="F1119" s="21"/>
      <c r="G1119" s="79" t="s">
        <v>1170</v>
      </c>
      <c r="H1119" s="80" t="n">
        <v>2</v>
      </c>
      <c r="I1119" s="81" t="n">
        <v>44693</v>
      </c>
      <c r="J1119" s="69" t="s">
        <v>981</v>
      </c>
      <c r="K1119" s="69"/>
      <c r="L1119" s="69" t="n">
        <v>1</v>
      </c>
      <c r="M1119" s="69" t="n">
        <v>0</v>
      </c>
      <c r="N1119" s="83"/>
      <c r="O1119" s="69"/>
      <c r="Q1119" s="62" t="str">
        <f aca="false">IF(ISBLANK(N1119),"",IF(N1119&lt;DATE(2023,5,1),"OLD","NEW"))</f>
        <v/>
      </c>
      <c r="S1119" s="33" t="n">
        <f aca="false">IF(COUNTIF('[1]Plate_1-2_LongFormat'!$A$2:$A$193,G1119)&gt;0,1,0)</f>
        <v>0</v>
      </c>
      <c r="T1119" s="33" t="n">
        <f aca="false">IF(COUNTIF([2]Attached_indexes!$C$2:$C$193,G1119)&gt;0,1,0)</f>
        <v>0</v>
      </c>
      <c r="U1119" s="59"/>
      <c r="V1119" s="1" t="s">
        <v>982</v>
      </c>
    </row>
    <row r="1120" customFormat="false" ht="15.75" hidden="false" customHeight="true" outlineLevel="0" collapsed="false">
      <c r="A1120" s="2"/>
      <c r="B1120" s="2"/>
      <c r="C1120" s="2"/>
      <c r="D1120" s="2"/>
      <c r="E1120" s="60"/>
      <c r="F1120" s="18"/>
      <c r="G1120" s="91" t="s">
        <v>1171</v>
      </c>
      <c r="H1120" s="18" t="n">
        <v>2</v>
      </c>
      <c r="I1120" s="22" t="n">
        <v>44693</v>
      </c>
      <c r="J1120" s="2" t="s">
        <v>981</v>
      </c>
      <c r="K1120" s="2"/>
      <c r="L1120" s="2" t="n">
        <v>1</v>
      </c>
      <c r="M1120" s="2" t="n">
        <v>1</v>
      </c>
      <c r="N1120" s="3" t="n">
        <v>45061</v>
      </c>
      <c r="O1120" s="2" t="n">
        <v>11.2</v>
      </c>
      <c r="P1120" s="2" t="n">
        <v>4</v>
      </c>
      <c r="Q1120" s="62" t="str">
        <f aca="false">IF(ISBLANK(N1120),"",IF(N1120&lt;DATE(2023,5,1),"OLD","NEW"))</f>
        <v>NEW</v>
      </c>
      <c r="R1120" s="2" t="s">
        <v>1172</v>
      </c>
      <c r="S1120" s="33" t="n">
        <f aca="false">IF(COUNTIF('[1]Plate_1-2_LongFormat'!$A$2:$A$193,G1120)&gt;0,1,0)</f>
        <v>0</v>
      </c>
      <c r="T1120" s="33" t="n">
        <f aca="false">IF(COUNTIF([2]Attached_indexes!$C$2:$C$193,G1120)&gt;0,1,0)</f>
        <v>0</v>
      </c>
      <c r="U1120" s="59"/>
      <c r="V1120" s="1" t="s">
        <v>982</v>
      </c>
    </row>
    <row r="1121" customFormat="false" ht="15.75" hidden="false" customHeight="true" outlineLevel="0" collapsed="false">
      <c r="A1121" s="2"/>
      <c r="B1121" s="2"/>
      <c r="C1121" s="2"/>
      <c r="D1121" s="2"/>
      <c r="E1121" s="60"/>
      <c r="F1121" s="18"/>
      <c r="G1121" s="91" t="s">
        <v>1171</v>
      </c>
      <c r="H1121" s="18" t="n">
        <v>2</v>
      </c>
      <c r="I1121" s="22" t="n">
        <v>44693</v>
      </c>
      <c r="J1121" s="2" t="s">
        <v>981</v>
      </c>
      <c r="K1121" s="2"/>
      <c r="L1121" s="2" t="n">
        <v>1</v>
      </c>
      <c r="M1121" s="2" t="n">
        <v>1</v>
      </c>
      <c r="N1121" s="3" t="n">
        <v>45061</v>
      </c>
      <c r="O1121" s="2" t="n">
        <v>11.2</v>
      </c>
      <c r="P1121" s="2" t="n">
        <v>4</v>
      </c>
      <c r="Q1121" s="62" t="str">
        <f aca="false">IF(ISBLANK(N1121),"",IF(N1121&lt;DATE(2023,5,1),"OLD","NEW"))</f>
        <v>NEW</v>
      </c>
      <c r="R1121" s="2" t="s">
        <v>1172</v>
      </c>
      <c r="S1121" s="33" t="n">
        <f aca="false">IF(COUNTIF('[1]Plate_1-2_LongFormat'!$A$2:$A$193,G1121)&gt;0,1,0)</f>
        <v>0</v>
      </c>
      <c r="T1121" s="33" t="n">
        <f aca="false">IF(COUNTIF([2]Attached_indexes!$C$2:$C$193,G1121)&gt;0,1,0)</f>
        <v>0</v>
      </c>
      <c r="U1121" s="59"/>
      <c r="V1121" s="1" t="s">
        <v>982</v>
      </c>
    </row>
    <row r="1122" customFormat="false" ht="15.75" hidden="false" customHeight="true" outlineLevel="0" collapsed="false">
      <c r="A1122" s="2"/>
      <c r="B1122" s="2"/>
      <c r="C1122" s="2"/>
      <c r="D1122" s="2"/>
      <c r="E1122" s="60"/>
      <c r="F1122" s="18"/>
      <c r="G1122" s="91" t="s">
        <v>1171</v>
      </c>
      <c r="H1122" s="18" t="n">
        <v>2</v>
      </c>
      <c r="I1122" s="22" t="n">
        <v>44693</v>
      </c>
      <c r="J1122" s="2" t="s">
        <v>981</v>
      </c>
      <c r="K1122" s="2"/>
      <c r="L1122" s="2" t="n">
        <v>1</v>
      </c>
      <c r="M1122" s="2" t="n">
        <v>1</v>
      </c>
      <c r="N1122" s="3" t="n">
        <v>45061</v>
      </c>
      <c r="O1122" s="2" t="n">
        <v>11.2</v>
      </c>
      <c r="P1122" s="2" t="n">
        <v>4</v>
      </c>
      <c r="Q1122" s="62" t="str">
        <f aca="false">IF(ISBLANK(N1122),"",IF(N1122&lt;DATE(2023,5,1),"OLD","NEW"))</f>
        <v>NEW</v>
      </c>
      <c r="R1122" s="2" t="s">
        <v>1172</v>
      </c>
      <c r="S1122" s="33" t="n">
        <f aca="false">IF(COUNTIF('[1]Plate_1-2_LongFormat'!$A$2:$A$193,G1122)&gt;0,1,0)</f>
        <v>0</v>
      </c>
      <c r="T1122" s="33" t="n">
        <f aca="false">IF(COUNTIF([2]Attached_indexes!$C$2:$C$193,G1122)&gt;0,1,0)</f>
        <v>0</v>
      </c>
      <c r="U1122" s="59"/>
      <c r="V1122" s="1" t="s">
        <v>982</v>
      </c>
    </row>
    <row r="1123" customFormat="false" ht="15.75" hidden="false" customHeight="true" outlineLevel="0" collapsed="false">
      <c r="A1123" s="69"/>
      <c r="B1123" s="69"/>
      <c r="C1123" s="69"/>
      <c r="D1123" s="69"/>
      <c r="E1123" s="78"/>
      <c r="F1123" s="21"/>
      <c r="G1123" s="79" t="s">
        <v>1173</v>
      </c>
      <c r="H1123" s="80" t="n">
        <v>2</v>
      </c>
      <c r="I1123" s="81" t="n">
        <v>44693</v>
      </c>
      <c r="J1123" s="69" t="s">
        <v>981</v>
      </c>
      <c r="K1123" s="69"/>
      <c r="L1123" s="69" t="n">
        <v>1</v>
      </c>
      <c r="M1123" s="69" t="n">
        <v>0</v>
      </c>
      <c r="N1123" s="83"/>
      <c r="O1123" s="69"/>
      <c r="Q1123" s="62" t="str">
        <f aca="false">IF(ISBLANK(N1123),"",IF(N1123&lt;DATE(2023,5,1),"OLD","NEW"))</f>
        <v/>
      </c>
      <c r="S1123" s="33" t="n">
        <f aca="false">IF(COUNTIF('[1]Plate_1-2_LongFormat'!$A$2:$A$193,G1123)&gt;0,1,0)</f>
        <v>0</v>
      </c>
      <c r="T1123" s="33" t="n">
        <f aca="false">IF(COUNTIF([2]Attached_indexes!$C$2:$C$193,G1123)&gt;0,1,0)</f>
        <v>0</v>
      </c>
      <c r="U1123" s="59"/>
      <c r="V1123" s="1" t="s">
        <v>982</v>
      </c>
    </row>
    <row r="1124" customFormat="false" ht="15.75" hidden="false" customHeight="true" outlineLevel="0" collapsed="false">
      <c r="A1124" s="69"/>
      <c r="B1124" s="69"/>
      <c r="C1124" s="69"/>
      <c r="D1124" s="69"/>
      <c r="E1124" s="78"/>
      <c r="F1124" s="21"/>
      <c r="G1124" s="79" t="s">
        <v>1174</v>
      </c>
      <c r="H1124" s="80" t="n">
        <v>2</v>
      </c>
      <c r="I1124" s="81" t="n">
        <v>44693</v>
      </c>
      <c r="J1124" s="69" t="s">
        <v>981</v>
      </c>
      <c r="K1124" s="69"/>
      <c r="L1124" s="69" t="n">
        <v>1</v>
      </c>
      <c r="M1124" s="69" t="n">
        <v>0</v>
      </c>
      <c r="N1124" s="83"/>
      <c r="O1124" s="69"/>
      <c r="Q1124" s="62" t="str">
        <f aca="false">IF(ISBLANK(N1124),"",IF(N1124&lt;DATE(2023,5,1),"OLD","NEW"))</f>
        <v/>
      </c>
      <c r="S1124" s="33" t="n">
        <f aca="false">IF(COUNTIF('[1]Plate_1-2_LongFormat'!$A$2:$A$193,G1124)&gt;0,1,0)</f>
        <v>0</v>
      </c>
      <c r="T1124" s="33" t="n">
        <f aca="false">IF(COUNTIF([2]Attached_indexes!$C$2:$C$193,G1124)&gt;0,1,0)</f>
        <v>0</v>
      </c>
      <c r="U1124" s="59"/>
      <c r="V1124" s="1" t="s">
        <v>982</v>
      </c>
    </row>
    <row r="1125" customFormat="false" ht="15.75" hidden="false" customHeight="true" outlineLevel="0" collapsed="false">
      <c r="A1125" s="69"/>
      <c r="B1125" s="69"/>
      <c r="C1125" s="69"/>
      <c r="D1125" s="69"/>
      <c r="E1125" s="78"/>
      <c r="F1125" s="21"/>
      <c r="G1125" s="79" t="s">
        <v>1175</v>
      </c>
      <c r="H1125" s="80" t="n">
        <v>2</v>
      </c>
      <c r="I1125" s="81" t="n">
        <v>44707</v>
      </c>
      <c r="J1125" s="69" t="s">
        <v>981</v>
      </c>
      <c r="K1125" s="69"/>
      <c r="L1125" s="69" t="n">
        <v>1</v>
      </c>
      <c r="M1125" s="69" t="n">
        <v>0</v>
      </c>
      <c r="N1125" s="83"/>
      <c r="O1125" s="69"/>
      <c r="Q1125" s="62" t="str">
        <f aca="false">IF(ISBLANK(N1125),"",IF(N1125&lt;DATE(2023,5,1),"OLD","NEW"))</f>
        <v/>
      </c>
      <c r="S1125" s="33" t="n">
        <f aca="false">IF(COUNTIF('[1]Plate_1-2_LongFormat'!$A$2:$A$193,G1125)&gt;0,1,0)</f>
        <v>0</v>
      </c>
      <c r="T1125" s="33" t="n">
        <f aca="false">IF(COUNTIF([2]Attached_indexes!$C$2:$C$193,G1125)&gt;0,1,0)</f>
        <v>0</v>
      </c>
      <c r="U1125" s="59"/>
      <c r="V1125" s="1" t="s">
        <v>982</v>
      </c>
    </row>
    <row r="1126" customFormat="false" ht="15.75" hidden="false" customHeight="true" outlineLevel="0" collapsed="false">
      <c r="A1126" s="2"/>
      <c r="B1126" s="2"/>
      <c r="C1126" s="2"/>
      <c r="D1126" s="2"/>
      <c r="E1126" s="60"/>
      <c r="F1126" s="18"/>
      <c r="G1126" s="91" t="s">
        <v>1176</v>
      </c>
      <c r="H1126" s="18" t="n">
        <v>2</v>
      </c>
      <c r="I1126" s="22" t="n">
        <v>44693</v>
      </c>
      <c r="J1126" s="2"/>
      <c r="K1126" s="2"/>
      <c r="L1126" s="2" t="n">
        <v>1</v>
      </c>
      <c r="M1126" s="2" t="n">
        <v>1</v>
      </c>
      <c r="N1126" s="3" t="n">
        <v>44999</v>
      </c>
      <c r="O1126" s="2" t="n">
        <v>4.27</v>
      </c>
      <c r="P1126" s="2" t="n">
        <v>3</v>
      </c>
      <c r="Q1126" s="62" t="str">
        <f aca="false">IF(ISBLANK(N1126),"",IF(N1126&lt;DATE(2023,5,1),"OLD","NEW"))</f>
        <v>OLD</v>
      </c>
      <c r="R1126" s="2" t="s">
        <v>1177</v>
      </c>
      <c r="S1126" s="33" t="n">
        <f aca="false">IF(COUNTIF('[1]Plate_1-2_LongFormat'!$A$2:$A$193,G1126)&gt;0,1,0)</f>
        <v>1</v>
      </c>
      <c r="T1126" s="33" t="n">
        <f aca="false">IF(COUNTIF([2]Attached_indexes!$C$2:$C$193,G1126)&gt;0,1,0)</f>
        <v>1</v>
      </c>
      <c r="U1126" s="59"/>
      <c r="V1126" s="1" t="s">
        <v>982</v>
      </c>
    </row>
    <row r="1127" customFormat="false" ht="15.75" hidden="false" customHeight="true" outlineLevel="0" collapsed="false">
      <c r="A1127" s="2"/>
      <c r="B1127" s="2"/>
      <c r="C1127" s="2"/>
      <c r="D1127" s="2"/>
      <c r="E1127" s="60"/>
      <c r="F1127" s="18"/>
      <c r="G1127" s="91" t="s">
        <v>1176</v>
      </c>
      <c r="H1127" s="18" t="n">
        <v>2</v>
      </c>
      <c r="I1127" s="22" t="n">
        <v>44693</v>
      </c>
      <c r="J1127" s="2"/>
      <c r="K1127" s="2"/>
      <c r="L1127" s="2" t="n">
        <v>1</v>
      </c>
      <c r="M1127" s="2" t="n">
        <v>1</v>
      </c>
      <c r="N1127" s="3" t="n">
        <v>44999</v>
      </c>
      <c r="O1127" s="2" t="n">
        <v>4.27</v>
      </c>
      <c r="P1127" s="2" t="n">
        <v>3</v>
      </c>
      <c r="Q1127" s="62" t="str">
        <f aca="false">IF(ISBLANK(N1127),"",IF(N1127&lt;DATE(2023,5,1),"OLD","NEW"))</f>
        <v>OLD</v>
      </c>
      <c r="R1127" s="2" t="s">
        <v>1177</v>
      </c>
      <c r="S1127" s="33" t="n">
        <f aca="false">IF(COUNTIF('[1]Plate_1-2_LongFormat'!$A$2:$A$193,G1127)&gt;0,1,0)</f>
        <v>1</v>
      </c>
      <c r="T1127" s="33" t="n">
        <f aca="false">IF(COUNTIF([2]Attached_indexes!$C$2:$C$193,G1127)&gt;0,1,0)</f>
        <v>1</v>
      </c>
      <c r="U1127" s="59"/>
      <c r="V1127" s="1" t="s">
        <v>982</v>
      </c>
    </row>
    <row r="1128" customFormat="false" ht="15.75" hidden="false" customHeight="true" outlineLevel="0" collapsed="false">
      <c r="A1128" s="2"/>
      <c r="B1128" s="2"/>
      <c r="C1128" s="2"/>
      <c r="D1128" s="2"/>
      <c r="E1128" s="60"/>
      <c r="F1128" s="18"/>
      <c r="G1128" s="91" t="s">
        <v>1176</v>
      </c>
      <c r="H1128" s="18" t="n">
        <v>2</v>
      </c>
      <c r="I1128" s="22" t="n">
        <v>44693</v>
      </c>
      <c r="J1128" s="2"/>
      <c r="K1128" s="2"/>
      <c r="L1128" s="2" t="n">
        <v>1</v>
      </c>
      <c r="M1128" s="2" t="n">
        <v>1</v>
      </c>
      <c r="N1128" s="3" t="n">
        <v>44999</v>
      </c>
      <c r="O1128" s="2" t="n">
        <v>4.27</v>
      </c>
      <c r="P1128" s="2" t="n">
        <v>3</v>
      </c>
      <c r="Q1128" s="62" t="str">
        <f aca="false">IF(ISBLANK(N1128),"",IF(N1128&lt;DATE(2023,5,1),"OLD","NEW"))</f>
        <v>OLD</v>
      </c>
      <c r="R1128" s="2" t="s">
        <v>1177</v>
      </c>
      <c r="S1128" s="33" t="n">
        <f aca="false">IF(COUNTIF('[1]Plate_1-2_LongFormat'!$A$2:$A$193,G1128)&gt;0,1,0)</f>
        <v>1</v>
      </c>
      <c r="T1128" s="33" t="n">
        <f aca="false">IF(COUNTIF([2]Attached_indexes!$C$2:$C$193,G1128)&gt;0,1,0)</f>
        <v>1</v>
      </c>
      <c r="U1128" s="59"/>
      <c r="V1128" s="1" t="s">
        <v>982</v>
      </c>
    </row>
    <row r="1129" customFormat="false" ht="15.75" hidden="false" customHeight="true" outlineLevel="0" collapsed="false">
      <c r="A1129" s="69"/>
      <c r="B1129" s="69"/>
      <c r="C1129" s="69"/>
      <c r="D1129" s="69"/>
      <c r="E1129" s="78"/>
      <c r="F1129" s="80" t="str">
        <f aca="false">CONCATENATE(B1129,"_",C1129,E1129)</f>
        <v>_</v>
      </c>
      <c r="G1129" s="79" t="s">
        <v>1178</v>
      </c>
      <c r="H1129" s="80" t="n">
        <v>2</v>
      </c>
      <c r="I1129" s="81" t="n">
        <v>44707</v>
      </c>
      <c r="J1129" s="69" t="s">
        <v>981</v>
      </c>
      <c r="K1129" s="69"/>
      <c r="L1129" s="69" t="n">
        <v>1</v>
      </c>
      <c r="M1129" s="69" t="n">
        <v>0</v>
      </c>
      <c r="N1129" s="83"/>
      <c r="O1129" s="69"/>
      <c r="Q1129" s="62" t="str">
        <f aca="false">IF(ISBLANK(N1129),"",IF(N1129&lt;DATE(2023,5,1),"OLD","NEW"))</f>
        <v/>
      </c>
      <c r="S1129" s="33" t="n">
        <f aca="false">IF(COUNTIF('[1]Plate_1-2_LongFormat'!$A$2:$A$193,G1129)&gt;0,1,0)</f>
        <v>0</v>
      </c>
      <c r="T1129" s="33" t="n">
        <f aca="false">IF(COUNTIF([2]Attached_indexes!$C$2:$C$193,G1129)&gt;0,1,0)</f>
        <v>0</v>
      </c>
      <c r="U1129" s="59"/>
      <c r="V1129" s="1" t="s">
        <v>982</v>
      </c>
    </row>
    <row r="1130" customFormat="false" ht="15.75" hidden="false" customHeight="true" outlineLevel="0" collapsed="false">
      <c r="A1130" s="69"/>
      <c r="B1130" s="69"/>
      <c r="C1130" s="69"/>
      <c r="D1130" s="69"/>
      <c r="E1130" s="78"/>
      <c r="F1130" s="80" t="str">
        <f aca="false">CONCATENATE(B1130,"_",C1130,E1130)</f>
        <v>_</v>
      </c>
      <c r="G1130" s="79" t="s">
        <v>1179</v>
      </c>
      <c r="H1130" s="80" t="n">
        <v>2</v>
      </c>
      <c r="I1130" s="81"/>
      <c r="J1130" s="69"/>
      <c r="K1130" s="69"/>
      <c r="L1130" s="69" t="n">
        <v>1</v>
      </c>
      <c r="M1130" s="69" t="n">
        <v>0</v>
      </c>
      <c r="N1130" s="83"/>
      <c r="O1130" s="69"/>
      <c r="Q1130" s="62" t="str">
        <f aca="false">IF(ISBLANK(N1130),"",IF(N1130&lt;DATE(2023,5,1),"OLD","NEW"))</f>
        <v/>
      </c>
      <c r="S1130" s="33" t="n">
        <f aca="false">IF(COUNTIF('[1]Plate_1-2_LongFormat'!$A$2:$A$193,G1130)&gt;0,1,0)</f>
        <v>0</v>
      </c>
      <c r="T1130" s="33" t="n">
        <f aca="false">IF(COUNTIF([2]Attached_indexes!$C$2:$C$193,G1130)&gt;0,1,0)</f>
        <v>0</v>
      </c>
      <c r="U1130" s="59"/>
      <c r="V1130" s="1" t="s">
        <v>982</v>
      </c>
    </row>
    <row r="1131" customFormat="false" ht="15.75" hidden="false" customHeight="true" outlineLevel="0" collapsed="false">
      <c r="A1131" s="69"/>
      <c r="B1131" s="69"/>
      <c r="C1131" s="69"/>
      <c r="D1131" s="69"/>
      <c r="E1131" s="78"/>
      <c r="F1131" s="80" t="str">
        <f aca="false">CONCATENATE(B1131,"_",C1131,E1131)</f>
        <v>_</v>
      </c>
      <c r="G1131" s="79" t="s">
        <v>1179</v>
      </c>
      <c r="H1131" s="80" t="n">
        <v>2</v>
      </c>
      <c r="I1131" s="81"/>
      <c r="J1131" s="69"/>
      <c r="K1131" s="69"/>
      <c r="L1131" s="69" t="n">
        <v>1</v>
      </c>
      <c r="M1131" s="69" t="n">
        <v>0</v>
      </c>
      <c r="N1131" s="83"/>
      <c r="O1131" s="69"/>
      <c r="Q1131" s="62" t="str">
        <f aca="false">IF(ISBLANK(N1131),"",IF(N1131&lt;DATE(2023,5,1),"OLD","NEW"))</f>
        <v/>
      </c>
      <c r="S1131" s="33" t="n">
        <f aca="false">IF(COUNTIF('[1]Plate_1-2_LongFormat'!$A$2:$A$193,G1131)&gt;0,1,0)</f>
        <v>0</v>
      </c>
      <c r="T1131" s="33" t="n">
        <f aca="false">IF(COUNTIF([2]Attached_indexes!$C$2:$C$193,G1131)&gt;0,1,0)</f>
        <v>0</v>
      </c>
      <c r="U1131" s="59"/>
      <c r="V1131" s="1" t="s">
        <v>982</v>
      </c>
    </row>
    <row r="1132" customFormat="false" ht="15.75" hidden="false" customHeight="true" outlineLevel="0" collapsed="false">
      <c r="A1132" s="69"/>
      <c r="B1132" s="69"/>
      <c r="C1132" s="69"/>
      <c r="D1132" s="69"/>
      <c r="E1132" s="78"/>
      <c r="F1132" s="80" t="str">
        <f aca="false">CONCATENATE(B1132,"_",C1132,E1132)</f>
        <v>_</v>
      </c>
      <c r="G1132" s="79" t="s">
        <v>1179</v>
      </c>
      <c r="H1132" s="80" t="n">
        <v>2</v>
      </c>
      <c r="I1132" s="81" t="n">
        <v>44707</v>
      </c>
      <c r="J1132" s="69" t="s">
        <v>981</v>
      </c>
      <c r="K1132" s="69"/>
      <c r="L1132" s="69" t="n">
        <v>1</v>
      </c>
      <c r="M1132" s="69" t="n">
        <v>0</v>
      </c>
      <c r="N1132" s="83"/>
      <c r="O1132" s="69"/>
      <c r="Q1132" s="62" t="str">
        <f aca="false">IF(ISBLANK(N1132),"",IF(N1132&lt;DATE(2023,5,1),"OLD","NEW"))</f>
        <v/>
      </c>
      <c r="S1132" s="33" t="n">
        <f aca="false">IF(COUNTIF('[1]Plate_1-2_LongFormat'!$A$2:$A$193,G1132)&gt;0,1,0)</f>
        <v>0</v>
      </c>
      <c r="T1132" s="33" t="n">
        <f aca="false">IF(COUNTIF([2]Attached_indexes!$C$2:$C$193,G1132)&gt;0,1,0)</f>
        <v>0</v>
      </c>
      <c r="U1132" s="59"/>
      <c r="V1132" s="1" t="s">
        <v>982</v>
      </c>
    </row>
    <row r="1133" customFormat="false" ht="15.75" hidden="false" customHeight="true" outlineLevel="0" collapsed="false">
      <c r="A1133" s="69"/>
      <c r="B1133" s="69"/>
      <c r="C1133" s="69"/>
      <c r="D1133" s="69"/>
      <c r="E1133" s="78"/>
      <c r="F1133" s="80" t="str">
        <f aca="false">CONCATENATE(B1133,"_",C1133,E1133)</f>
        <v>_</v>
      </c>
      <c r="G1133" s="79" t="s">
        <v>1180</v>
      </c>
      <c r="H1133" s="80" t="n">
        <v>2</v>
      </c>
      <c r="I1133" s="22" t="n">
        <v>44707</v>
      </c>
      <c r="J1133" s="2" t="s">
        <v>981</v>
      </c>
      <c r="K1133" s="2" t="s">
        <v>1036</v>
      </c>
      <c r="L1133" s="2" t="n">
        <v>1</v>
      </c>
      <c r="M1133" s="69" t="n">
        <v>0</v>
      </c>
      <c r="N1133" s="3"/>
      <c r="Q1133" s="62" t="str">
        <f aca="false">IF(ISBLANK(N1133),"",IF(N1133&lt;DATE(2023,5,1),"OLD","NEW"))</f>
        <v/>
      </c>
      <c r="S1133" s="33" t="n">
        <f aca="false">IF(COUNTIF('[1]Plate_1-2_LongFormat'!$A$2:$A$193,G1133)&gt;0,1,0)</f>
        <v>0</v>
      </c>
      <c r="T1133" s="33" t="n">
        <f aca="false">IF(COUNTIF([2]Attached_indexes!$C$2:$C$193,G1133)&gt;0,1,0)</f>
        <v>0</v>
      </c>
      <c r="U1133" s="59"/>
      <c r="V1133" s="1" t="s">
        <v>982</v>
      </c>
    </row>
    <row r="1134" customFormat="false" ht="15.75" hidden="false" customHeight="true" outlineLevel="0" collapsed="false">
      <c r="A1134" s="2"/>
      <c r="B1134" s="2"/>
      <c r="C1134" s="2"/>
      <c r="D1134" s="2"/>
      <c r="E1134" s="60"/>
      <c r="F1134" s="18" t="str">
        <f aca="false">CONCATENATE(B1134,"_",C1134,E1134)</f>
        <v>_</v>
      </c>
      <c r="G1134" s="91" t="s">
        <v>1181</v>
      </c>
      <c r="H1134" s="18" t="n">
        <v>2</v>
      </c>
      <c r="I1134" s="22" t="n">
        <v>44707</v>
      </c>
      <c r="J1134" s="2" t="s">
        <v>981</v>
      </c>
      <c r="K1134" s="2" t="s">
        <v>1036</v>
      </c>
      <c r="L1134" s="2" t="n">
        <v>1</v>
      </c>
      <c r="M1134" s="2" t="n">
        <v>1</v>
      </c>
      <c r="N1134" s="3" t="n">
        <v>44870</v>
      </c>
      <c r="O1134" s="2" t="n">
        <v>11.1</v>
      </c>
      <c r="P1134" s="2" t="n">
        <v>1</v>
      </c>
      <c r="Q1134" s="62" t="str">
        <f aca="false">IF(ISBLANK(N1134),"",IF(N1134&lt;DATE(2023,5,1),"OLD","NEW"))</f>
        <v>OLD</v>
      </c>
      <c r="R1134" s="2" t="s">
        <v>1182</v>
      </c>
      <c r="S1134" s="33" t="n">
        <f aca="false">IF(COUNTIF('[1]Plate_1-2_LongFormat'!$A$2:$A$193,G1134)&gt;0,1,0)</f>
        <v>0</v>
      </c>
      <c r="T1134" s="33" t="n">
        <f aca="false">IF(COUNTIF([2]Attached_indexes!$C$2:$C$193,G1134)&gt;0,1,0)</f>
        <v>0</v>
      </c>
      <c r="U1134" s="59"/>
      <c r="V1134" s="1" t="s">
        <v>982</v>
      </c>
    </row>
    <row r="1135" customFormat="false" ht="15.75" hidden="false" customHeight="true" outlineLevel="0" collapsed="false">
      <c r="A1135" s="2"/>
      <c r="B1135" s="2"/>
      <c r="C1135" s="2"/>
      <c r="D1135" s="2"/>
      <c r="E1135" s="60"/>
      <c r="F1135" s="18" t="str">
        <f aca="false">CONCATENATE(B1135,"_",C1135,E1135)</f>
        <v>_</v>
      </c>
      <c r="G1135" s="91" t="s">
        <v>1181</v>
      </c>
      <c r="H1135" s="18" t="n">
        <v>2</v>
      </c>
      <c r="I1135" s="22" t="n">
        <v>44707</v>
      </c>
      <c r="J1135" s="2" t="s">
        <v>981</v>
      </c>
      <c r="K1135" s="2" t="s">
        <v>1036</v>
      </c>
      <c r="L1135" s="2" t="n">
        <v>1</v>
      </c>
      <c r="M1135" s="2" t="n">
        <v>1</v>
      </c>
      <c r="N1135" s="3" t="n">
        <v>44870</v>
      </c>
      <c r="O1135" s="2" t="n">
        <v>11.1</v>
      </c>
      <c r="P1135" s="2" t="n">
        <v>1</v>
      </c>
      <c r="Q1135" s="62" t="str">
        <f aca="false">IF(ISBLANK(N1135),"",IF(N1135&lt;DATE(2023,5,1),"OLD","NEW"))</f>
        <v>OLD</v>
      </c>
      <c r="R1135" s="2" t="s">
        <v>1183</v>
      </c>
      <c r="S1135" s="33" t="n">
        <f aca="false">IF(COUNTIF('[1]Plate_1-2_LongFormat'!$A$2:$A$193,G1135)&gt;0,1,0)</f>
        <v>0</v>
      </c>
      <c r="T1135" s="33" t="n">
        <f aca="false">IF(COUNTIF([2]Attached_indexes!$C$2:$C$193,G1135)&gt;0,1,0)</f>
        <v>0</v>
      </c>
      <c r="U1135" s="59"/>
      <c r="V1135" s="1" t="s">
        <v>982</v>
      </c>
    </row>
    <row r="1136" customFormat="false" ht="15.75" hidden="false" customHeight="true" outlineLevel="0" collapsed="false">
      <c r="A1136" s="2"/>
      <c r="B1136" s="2"/>
      <c r="C1136" s="2"/>
      <c r="D1136" s="2"/>
      <c r="E1136" s="60"/>
      <c r="F1136" s="18" t="str">
        <f aca="false">CONCATENATE(B1136,"_",C1136,E1136)</f>
        <v>_</v>
      </c>
      <c r="G1136" s="91" t="s">
        <v>1181</v>
      </c>
      <c r="H1136" s="18" t="n">
        <v>2</v>
      </c>
      <c r="I1136" s="22" t="n">
        <v>44707</v>
      </c>
      <c r="J1136" s="2" t="s">
        <v>981</v>
      </c>
      <c r="K1136" s="2"/>
      <c r="L1136" s="2" t="n">
        <v>1</v>
      </c>
      <c r="M1136" s="2" t="n">
        <v>1</v>
      </c>
      <c r="N1136" s="3" t="n">
        <v>44870</v>
      </c>
      <c r="O1136" s="2" t="n">
        <v>11.1</v>
      </c>
      <c r="P1136" s="2" t="n">
        <v>1</v>
      </c>
      <c r="Q1136" s="62" t="str">
        <f aca="false">IF(ISBLANK(N1136),"",IF(N1136&lt;DATE(2023,5,1),"OLD","NEW"))</f>
        <v>OLD</v>
      </c>
      <c r="R1136" s="2" t="s">
        <v>1184</v>
      </c>
      <c r="S1136" s="33" t="n">
        <f aca="false">IF(COUNTIF('[1]Plate_1-2_LongFormat'!$A$2:$A$193,G1136)&gt;0,1,0)</f>
        <v>0</v>
      </c>
      <c r="T1136" s="33" t="n">
        <f aca="false">IF(COUNTIF([2]Attached_indexes!$C$2:$C$193,G1136)&gt;0,1,0)</f>
        <v>0</v>
      </c>
      <c r="U1136" s="59"/>
      <c r="V1136" s="1" t="s">
        <v>982</v>
      </c>
    </row>
    <row r="1137" customFormat="false" ht="15.75" hidden="false" customHeight="true" outlineLevel="0" collapsed="false">
      <c r="A1137" s="69"/>
      <c r="B1137" s="69"/>
      <c r="C1137" s="69"/>
      <c r="D1137" s="69"/>
      <c r="E1137" s="78"/>
      <c r="F1137" s="80" t="str">
        <f aca="false">CONCATENATE(B1137,"_",C1137,E1137)</f>
        <v>_</v>
      </c>
      <c r="G1137" s="79" t="s">
        <v>1185</v>
      </c>
      <c r="H1137" s="80" t="n">
        <v>2</v>
      </c>
      <c r="I1137" s="81" t="n">
        <v>44707</v>
      </c>
      <c r="J1137" s="69" t="s">
        <v>981</v>
      </c>
      <c r="K1137" s="69"/>
      <c r="L1137" s="69" t="n">
        <v>1</v>
      </c>
      <c r="M1137" s="69" t="n">
        <v>0</v>
      </c>
      <c r="N1137" s="83"/>
      <c r="O1137" s="69"/>
      <c r="Q1137" s="62" t="str">
        <f aca="false">IF(ISBLANK(N1137),"",IF(N1137&lt;DATE(2023,5,1),"OLD","NEW"))</f>
        <v/>
      </c>
      <c r="S1137" s="33" t="n">
        <f aca="false">IF(COUNTIF('[1]Plate_1-2_LongFormat'!$A$2:$A$193,G1137)&gt;0,1,0)</f>
        <v>0</v>
      </c>
      <c r="T1137" s="33" t="n">
        <f aca="false">IF(COUNTIF([2]Attached_indexes!$C$2:$C$193,G1137)&gt;0,1,0)</f>
        <v>0</v>
      </c>
      <c r="U1137" s="59"/>
      <c r="V1137" s="1" t="s">
        <v>982</v>
      </c>
    </row>
    <row r="1138" customFormat="false" ht="15.75" hidden="false" customHeight="true" outlineLevel="0" collapsed="false">
      <c r="A1138" s="69"/>
      <c r="B1138" s="69"/>
      <c r="C1138" s="69"/>
      <c r="D1138" s="69"/>
      <c r="E1138" s="78"/>
      <c r="F1138" s="80" t="str">
        <f aca="false">CONCATENATE(B1138,"_",C1138,E1138)</f>
        <v>_</v>
      </c>
      <c r="G1138" s="79" t="s">
        <v>1186</v>
      </c>
      <c r="H1138" s="80" t="n">
        <v>2</v>
      </c>
      <c r="I1138" s="81" t="n">
        <v>44707</v>
      </c>
      <c r="J1138" s="69" t="s">
        <v>981</v>
      </c>
      <c r="K1138" s="69"/>
      <c r="L1138" s="69" t="n">
        <v>1</v>
      </c>
      <c r="M1138" s="69" t="n">
        <v>0</v>
      </c>
      <c r="N1138" s="83"/>
      <c r="O1138" s="69"/>
      <c r="Q1138" s="62" t="str">
        <f aca="false">IF(ISBLANK(N1138),"",IF(N1138&lt;DATE(2023,5,1),"OLD","NEW"))</f>
        <v/>
      </c>
      <c r="S1138" s="33" t="n">
        <f aca="false">IF(COUNTIF('[1]Plate_1-2_LongFormat'!$A$2:$A$193,G1138)&gt;0,1,0)</f>
        <v>0</v>
      </c>
      <c r="T1138" s="33" t="n">
        <f aca="false">IF(COUNTIF([2]Attached_indexes!$C$2:$C$193,G1138)&gt;0,1,0)</f>
        <v>0</v>
      </c>
      <c r="U1138" s="59"/>
      <c r="V1138" s="1" t="s">
        <v>982</v>
      </c>
    </row>
    <row r="1139" customFormat="false" ht="15.75" hidden="false" customHeight="true" outlineLevel="0" collapsed="false">
      <c r="A1139" s="69"/>
      <c r="B1139" s="69"/>
      <c r="C1139" s="69"/>
      <c r="D1139" s="69"/>
      <c r="E1139" s="78"/>
      <c r="F1139" s="80" t="str">
        <f aca="false">CONCATENATE(B1139,"_",C1139,E1139)</f>
        <v>_</v>
      </c>
      <c r="G1139" s="79" t="s">
        <v>1187</v>
      </c>
      <c r="H1139" s="80" t="n">
        <v>2</v>
      </c>
      <c r="I1139" s="81" t="n">
        <v>44707</v>
      </c>
      <c r="J1139" s="69" t="s">
        <v>981</v>
      </c>
      <c r="K1139" s="69"/>
      <c r="L1139" s="69" t="n">
        <v>1</v>
      </c>
      <c r="M1139" s="69" t="n">
        <v>0</v>
      </c>
      <c r="N1139" s="83"/>
      <c r="O1139" s="69"/>
      <c r="Q1139" s="62" t="str">
        <f aca="false">IF(ISBLANK(N1139),"",IF(N1139&lt;DATE(2023,5,1),"OLD","NEW"))</f>
        <v/>
      </c>
      <c r="S1139" s="33" t="n">
        <f aca="false">IF(COUNTIF('[1]Plate_1-2_LongFormat'!$A$2:$A$193,G1139)&gt;0,1,0)</f>
        <v>0</v>
      </c>
      <c r="T1139" s="33" t="n">
        <f aca="false">IF(COUNTIF([2]Attached_indexes!$C$2:$C$193,G1139)&gt;0,1,0)</f>
        <v>0</v>
      </c>
      <c r="U1139" s="59"/>
      <c r="V1139" s="1" t="s">
        <v>982</v>
      </c>
    </row>
    <row r="1140" customFormat="false" ht="15.75" hidden="false" customHeight="true" outlineLevel="0" collapsed="false">
      <c r="A1140" s="69"/>
      <c r="B1140" s="69"/>
      <c r="C1140" s="69"/>
      <c r="D1140" s="69"/>
      <c r="E1140" s="78"/>
      <c r="F1140" s="80" t="str">
        <f aca="false">CONCATENATE(B1140,"_",C1140,E1140)</f>
        <v>_</v>
      </c>
      <c r="G1140" s="79" t="s">
        <v>1188</v>
      </c>
      <c r="H1140" s="80" t="n">
        <v>2</v>
      </c>
      <c r="I1140" s="81" t="n">
        <v>44707</v>
      </c>
      <c r="J1140" s="69" t="s">
        <v>981</v>
      </c>
      <c r="K1140" s="69"/>
      <c r="L1140" s="69" t="n">
        <v>1</v>
      </c>
      <c r="M1140" s="69" t="n">
        <v>0</v>
      </c>
      <c r="N1140" s="83"/>
      <c r="O1140" s="69"/>
      <c r="Q1140" s="62" t="str">
        <f aca="false">IF(ISBLANK(N1140),"",IF(N1140&lt;DATE(2023,5,1),"OLD","NEW"))</f>
        <v/>
      </c>
      <c r="S1140" s="33" t="n">
        <f aca="false">IF(COUNTIF('[1]Plate_1-2_LongFormat'!$A$2:$A$193,G1140)&gt;0,1,0)</f>
        <v>0</v>
      </c>
      <c r="T1140" s="33" t="n">
        <f aca="false">IF(COUNTIF([2]Attached_indexes!$C$2:$C$193,G1140)&gt;0,1,0)</f>
        <v>0</v>
      </c>
      <c r="U1140" s="59"/>
      <c r="V1140" s="1" t="s">
        <v>982</v>
      </c>
    </row>
    <row r="1141" customFormat="false" ht="15.75" hidden="false" customHeight="true" outlineLevel="0" collapsed="false">
      <c r="A1141" s="69"/>
      <c r="B1141" s="69"/>
      <c r="C1141" s="69"/>
      <c r="D1141" s="69"/>
      <c r="E1141" s="78"/>
      <c r="F1141" s="80" t="str">
        <f aca="false">CONCATENATE(B1141,"_",C1141,E1141)</f>
        <v>_</v>
      </c>
      <c r="G1141" s="79" t="s">
        <v>1189</v>
      </c>
      <c r="H1141" s="80" t="n">
        <v>2</v>
      </c>
      <c r="I1141" s="81" t="n">
        <v>44707</v>
      </c>
      <c r="J1141" s="69" t="s">
        <v>981</v>
      </c>
      <c r="K1141" s="69"/>
      <c r="L1141" s="69" t="n">
        <v>1</v>
      </c>
      <c r="M1141" s="69" t="n">
        <v>0</v>
      </c>
      <c r="N1141" s="83"/>
      <c r="O1141" s="69"/>
      <c r="Q1141" s="62" t="str">
        <f aca="false">IF(ISBLANK(N1141),"",IF(N1141&lt;DATE(2023,5,1),"OLD","NEW"))</f>
        <v/>
      </c>
      <c r="S1141" s="33" t="n">
        <f aca="false">IF(COUNTIF('[1]Plate_1-2_LongFormat'!$A$2:$A$193,G1141)&gt;0,1,0)</f>
        <v>0</v>
      </c>
      <c r="T1141" s="33" t="n">
        <f aca="false">IF(COUNTIF([2]Attached_indexes!$C$2:$C$193,G1141)&gt;0,1,0)</f>
        <v>0</v>
      </c>
      <c r="U1141" s="59"/>
      <c r="V1141" s="1" t="s">
        <v>982</v>
      </c>
    </row>
    <row r="1142" customFormat="false" ht="15.75" hidden="false" customHeight="true" outlineLevel="0" collapsed="false">
      <c r="A1142" s="69" t="s">
        <v>302</v>
      </c>
      <c r="B1142" s="69" t="s">
        <v>302</v>
      </c>
      <c r="C1142" s="69" t="s">
        <v>159</v>
      </c>
      <c r="D1142" s="69"/>
      <c r="E1142" s="78"/>
      <c r="F1142" s="80" t="s">
        <v>1190</v>
      </c>
      <c r="G1142" s="79" t="s">
        <v>1190</v>
      </c>
      <c r="H1142" s="80" t="n">
        <v>1</v>
      </c>
      <c r="I1142" s="81" t="n">
        <v>44673</v>
      </c>
      <c r="J1142" s="69" t="s">
        <v>981</v>
      </c>
      <c r="K1142" s="69"/>
      <c r="L1142" s="69" t="n">
        <v>1</v>
      </c>
      <c r="M1142" s="69" t="n">
        <v>1</v>
      </c>
      <c r="N1142" s="83" t="n">
        <v>44842</v>
      </c>
      <c r="O1142" s="69" t="n">
        <v>7.6</v>
      </c>
      <c r="Q1142" s="62" t="str">
        <f aca="false">IF(ISBLANK(N1142),"",IF(N1142&lt;DATE(2023,5,1),"OLD","NEW"))</f>
        <v>OLD</v>
      </c>
      <c r="R1142" s="2" t="s">
        <v>1191</v>
      </c>
      <c r="S1142" s="33" t="n">
        <f aca="false">IF(COUNTIF('[1]Plate_1-2_LongFormat'!$A$2:$A$193,G1142)&gt;0,1,0)</f>
        <v>1</v>
      </c>
      <c r="T1142" s="33" t="n">
        <f aca="false">IF(COUNTIF([2]Attached_indexes!$C$2:$C$193,G1142)&gt;0,1,0)</f>
        <v>1</v>
      </c>
      <c r="U1142" s="59"/>
      <c r="V1142" s="1" t="s">
        <v>982</v>
      </c>
    </row>
    <row r="1143" customFormat="false" ht="15.75" hidden="false" customHeight="true" outlineLevel="0" collapsed="false">
      <c r="A1143" s="69" t="s">
        <v>302</v>
      </c>
      <c r="B1143" s="69" t="s">
        <v>302</v>
      </c>
      <c r="C1143" s="69" t="s">
        <v>159</v>
      </c>
      <c r="D1143" s="69"/>
      <c r="E1143" s="78"/>
      <c r="F1143" s="80" t="s">
        <v>1190</v>
      </c>
      <c r="G1143" s="79" t="s">
        <v>1190</v>
      </c>
      <c r="H1143" s="80" t="n">
        <v>1</v>
      </c>
      <c r="I1143" s="81" t="n">
        <v>44673</v>
      </c>
      <c r="J1143" s="69" t="s">
        <v>981</v>
      </c>
      <c r="K1143" s="69"/>
      <c r="L1143" s="69" t="n">
        <v>1</v>
      </c>
      <c r="M1143" s="69" t="n">
        <v>1</v>
      </c>
      <c r="N1143" s="83" t="n">
        <v>44842</v>
      </c>
      <c r="O1143" s="69" t="n">
        <v>7.6</v>
      </c>
      <c r="Q1143" s="62" t="str">
        <f aca="false">IF(ISBLANK(N1143),"",IF(N1143&lt;DATE(2023,5,1),"OLD","NEW"))</f>
        <v>OLD</v>
      </c>
      <c r="R1143" s="2" t="s">
        <v>1191</v>
      </c>
      <c r="S1143" s="33" t="n">
        <v>1</v>
      </c>
      <c r="T1143" s="33" t="n">
        <f aca="false">IF(COUNTIF([2]Attached_indexes!$C$2:$C$193,G1143)&gt;0,1,0)</f>
        <v>1</v>
      </c>
      <c r="U1143" s="59"/>
      <c r="V1143" s="1" t="s">
        <v>982</v>
      </c>
    </row>
    <row r="1144" customFormat="false" ht="15.75" hidden="false" customHeight="true" outlineLevel="0" collapsed="false">
      <c r="A1144" s="69" t="s">
        <v>302</v>
      </c>
      <c r="B1144" s="69" t="s">
        <v>302</v>
      </c>
      <c r="C1144" s="69" t="s">
        <v>159</v>
      </c>
      <c r="D1144" s="69"/>
      <c r="E1144" s="78"/>
      <c r="F1144" s="80" t="s">
        <v>1190</v>
      </c>
      <c r="G1144" s="79" t="s">
        <v>1190</v>
      </c>
      <c r="H1144" s="80" t="n">
        <v>1</v>
      </c>
      <c r="I1144" s="81" t="n">
        <v>44673</v>
      </c>
      <c r="J1144" s="69" t="s">
        <v>981</v>
      </c>
      <c r="K1144" s="69"/>
      <c r="L1144" s="69" t="n">
        <v>1</v>
      </c>
      <c r="M1144" s="69" t="n">
        <v>1</v>
      </c>
      <c r="N1144" s="83" t="n">
        <v>44842</v>
      </c>
      <c r="O1144" s="69" t="n">
        <v>7.6</v>
      </c>
      <c r="Q1144" s="62" t="str">
        <f aca="false">IF(ISBLANK(N1144),"",IF(N1144&lt;DATE(2023,5,1),"OLD","NEW"))</f>
        <v>OLD</v>
      </c>
      <c r="R1144" s="2" t="s">
        <v>1191</v>
      </c>
      <c r="S1144" s="33" t="n">
        <v>1</v>
      </c>
      <c r="T1144" s="33" t="n">
        <f aca="false">IF(COUNTIF([2]Attached_indexes!$C$2:$C$193,G1144)&gt;0,1,0)</f>
        <v>1</v>
      </c>
      <c r="U1144" s="59"/>
      <c r="V1144" s="1" t="s">
        <v>982</v>
      </c>
    </row>
    <row r="1145" customFormat="false" ht="15.75" hidden="false" customHeight="true" outlineLevel="0" collapsed="false">
      <c r="E1145" s="60"/>
      <c r="F1145" s="18"/>
      <c r="G1145" s="18"/>
      <c r="H1145" s="18"/>
      <c r="I1145" s="18"/>
      <c r="L1145" s="2"/>
      <c r="M1145" s="2"/>
      <c r="N1145" s="3"/>
      <c r="Q1145" s="62"/>
      <c r="S1145" s="2"/>
      <c r="U1145" s="59"/>
    </row>
    <row r="1146" customFormat="false" ht="15.75" hidden="false" customHeight="true" outlineLevel="0" collapsed="false">
      <c r="E1146" s="60"/>
      <c r="F1146" s="18"/>
      <c r="G1146" s="95" t="s">
        <v>799</v>
      </c>
      <c r="H1146" s="96"/>
      <c r="I1146" s="96"/>
      <c r="J1146" s="96" t="e">
        <f aca="false" t="array" ref="J1146:J1146">SUM(J2:J1144/3)</f>
        <v>#VALUE!</v>
      </c>
      <c r="K1146" s="96" t="e">
        <f aca="false" t="array" ref="K1146:K1146">SUM(K2:K1144/3)</f>
        <v>#VALUE!</v>
      </c>
      <c r="L1146" s="96" t="n">
        <f aca="false">COUNTA(G53:G1144)/3</f>
        <v>364</v>
      </c>
      <c r="M1146" s="96" t="n">
        <f aca="false" t="array" ref="M1146:M1146">SUM(M53:M1144/3)</f>
        <v>319</v>
      </c>
      <c r="N1146" s="97"/>
      <c r="O1146" s="96"/>
      <c r="P1146" s="98"/>
      <c r="Q1146" s="99"/>
      <c r="R1146" s="96"/>
      <c r="S1146" s="96" t="n">
        <f aca="false" t="array" ref="S1146:S1146">SUM(S53:S1144/3)</f>
        <v>175</v>
      </c>
      <c r="T1146" s="96" t="n">
        <f aca="false" t="array" ref="T1146:T1146">SUM(T53:T1144/3)</f>
        <v>175</v>
      </c>
      <c r="U1146" s="59"/>
    </row>
    <row r="1147" customFormat="false" ht="15.75" hidden="false" customHeight="true" outlineLevel="0" collapsed="false">
      <c r="E1147" s="60"/>
      <c r="F1147" s="18"/>
      <c r="G1147" s="18"/>
      <c r="H1147" s="18"/>
      <c r="I1147" s="18"/>
      <c r="L1147" s="2"/>
      <c r="M1147" s="2"/>
      <c r="N1147" s="3"/>
      <c r="Q1147" s="62"/>
      <c r="S1147" s="2"/>
      <c r="U1147" s="59"/>
    </row>
    <row r="1148" customFormat="false" ht="15.75" hidden="false" customHeight="true" outlineLevel="0" collapsed="false">
      <c r="E1148" s="60"/>
      <c r="F1148" s="18"/>
      <c r="G1148" s="18"/>
      <c r="H1148" s="18"/>
      <c r="I1148" s="18"/>
      <c r="L1148" s="2"/>
      <c r="M1148" s="2"/>
      <c r="N1148" s="3"/>
      <c r="Q1148" s="62"/>
      <c r="S1148" s="2"/>
      <c r="U1148" s="59"/>
    </row>
    <row r="1149" customFormat="false" ht="15.75" hidden="false" customHeight="true" outlineLevel="0" collapsed="false">
      <c r="E1149" s="60"/>
      <c r="F1149" s="18"/>
      <c r="G1149" s="18"/>
      <c r="H1149" s="18"/>
      <c r="I1149" s="18"/>
      <c r="L1149" s="2"/>
      <c r="M1149" s="2"/>
      <c r="N1149" s="3"/>
      <c r="Q1149" s="62"/>
      <c r="S1149" s="2"/>
      <c r="U1149" s="59"/>
    </row>
    <row r="1150" customFormat="false" ht="15.75" hidden="false" customHeight="true" outlineLevel="0" collapsed="false">
      <c r="E1150" s="60"/>
      <c r="F1150" s="18"/>
      <c r="G1150" s="18"/>
      <c r="H1150" s="18"/>
      <c r="I1150" s="18"/>
      <c r="L1150" s="2"/>
      <c r="M1150" s="2"/>
      <c r="N1150" s="3"/>
      <c r="Q1150" s="62"/>
      <c r="S1150" s="2"/>
      <c r="U1150" s="59"/>
    </row>
    <row r="1151" customFormat="false" ht="15.75" hidden="false" customHeight="true" outlineLevel="0" collapsed="false">
      <c r="E1151" s="60"/>
      <c r="F1151" s="18"/>
      <c r="G1151" s="18"/>
      <c r="H1151" s="18"/>
      <c r="I1151" s="18"/>
      <c r="L1151" s="2"/>
      <c r="M1151" s="2"/>
      <c r="N1151" s="3"/>
      <c r="Q1151" s="62"/>
      <c r="S1151" s="2"/>
      <c r="U1151" s="59"/>
    </row>
    <row r="1152" customFormat="false" ht="15.75" hidden="false" customHeight="true" outlineLevel="0" collapsed="false">
      <c r="E1152" s="60"/>
      <c r="F1152" s="18"/>
      <c r="G1152" s="18"/>
      <c r="H1152" s="18"/>
      <c r="I1152" s="18"/>
      <c r="L1152" s="2"/>
      <c r="M1152" s="2"/>
      <c r="N1152" s="3"/>
      <c r="Q1152" s="62"/>
      <c r="S1152" s="2"/>
      <c r="U1152" s="59"/>
    </row>
    <row r="1153" customFormat="false" ht="15.75" hidden="false" customHeight="true" outlineLevel="0" collapsed="false">
      <c r="E1153" s="60"/>
      <c r="F1153" s="18"/>
      <c r="G1153" s="18"/>
      <c r="H1153" s="18"/>
      <c r="I1153" s="18"/>
      <c r="L1153" s="2"/>
      <c r="M1153" s="2"/>
      <c r="N1153" s="3"/>
      <c r="Q1153" s="62"/>
      <c r="S1153" s="2"/>
      <c r="U1153" s="59"/>
    </row>
    <row r="1154" customFormat="false" ht="15.75" hidden="false" customHeight="true" outlineLevel="0" collapsed="false">
      <c r="E1154" s="60"/>
      <c r="F1154" s="18"/>
      <c r="G1154" s="18"/>
      <c r="H1154" s="18"/>
      <c r="I1154" s="18"/>
      <c r="L1154" s="2"/>
      <c r="M1154" s="2"/>
      <c r="N1154" s="3"/>
      <c r="Q1154" s="62"/>
      <c r="S1154" s="2"/>
      <c r="U1154" s="59"/>
    </row>
    <row r="1155" customFormat="false" ht="15.75" hidden="false" customHeight="true" outlineLevel="0" collapsed="false">
      <c r="E1155" s="60"/>
      <c r="F1155" s="18"/>
      <c r="G1155" s="18"/>
      <c r="H1155" s="18"/>
      <c r="I1155" s="18"/>
      <c r="L1155" s="2"/>
      <c r="M1155" s="2"/>
      <c r="N1155" s="3"/>
      <c r="Q1155" s="62"/>
      <c r="S1155" s="2"/>
      <c r="U1155" s="59"/>
    </row>
    <row r="1156" customFormat="false" ht="15.75" hidden="false" customHeight="true" outlineLevel="0" collapsed="false">
      <c r="E1156" s="60"/>
      <c r="F1156" s="18"/>
      <c r="G1156" s="18"/>
      <c r="H1156" s="18"/>
      <c r="I1156" s="18"/>
      <c r="L1156" s="2"/>
      <c r="M1156" s="2"/>
      <c r="N1156" s="3"/>
      <c r="Q1156" s="62"/>
      <c r="S1156" s="2"/>
      <c r="U1156" s="59"/>
    </row>
    <row r="1157" customFormat="false" ht="15.75" hidden="false" customHeight="true" outlineLevel="0" collapsed="false">
      <c r="E1157" s="60"/>
      <c r="F1157" s="18"/>
      <c r="G1157" s="18"/>
      <c r="H1157" s="18"/>
      <c r="I1157" s="18"/>
      <c r="L1157" s="2"/>
      <c r="M1157" s="2"/>
      <c r="N1157" s="3"/>
      <c r="Q1157" s="62"/>
      <c r="S1157" s="2"/>
      <c r="U1157" s="59"/>
    </row>
    <row r="1158" customFormat="false" ht="15.75" hidden="false" customHeight="true" outlineLevel="0" collapsed="false">
      <c r="E1158" s="60"/>
      <c r="F1158" s="18"/>
      <c r="G1158" s="18"/>
      <c r="H1158" s="18"/>
      <c r="I1158" s="18"/>
      <c r="L1158" s="2"/>
      <c r="M1158" s="2"/>
      <c r="N1158" s="3"/>
      <c r="Q1158" s="62"/>
      <c r="S1158" s="2"/>
      <c r="U1158" s="59"/>
    </row>
    <row r="1159" customFormat="false" ht="15.75" hidden="false" customHeight="true" outlineLevel="0" collapsed="false">
      <c r="E1159" s="60"/>
      <c r="F1159" s="18"/>
      <c r="G1159" s="18"/>
      <c r="H1159" s="18"/>
      <c r="I1159" s="18"/>
      <c r="L1159" s="2"/>
      <c r="M1159" s="2"/>
      <c r="N1159" s="3"/>
      <c r="Q1159" s="62"/>
      <c r="S1159" s="2"/>
      <c r="U1159" s="59"/>
    </row>
    <row r="1160" customFormat="false" ht="15.75" hidden="false" customHeight="true" outlineLevel="0" collapsed="false">
      <c r="E1160" s="60"/>
      <c r="F1160" s="18"/>
      <c r="G1160" s="18"/>
      <c r="H1160" s="18"/>
      <c r="I1160" s="18"/>
      <c r="L1160" s="2"/>
      <c r="M1160" s="2"/>
      <c r="N1160" s="3"/>
      <c r="Q1160" s="62"/>
      <c r="S1160" s="2"/>
      <c r="U1160" s="59"/>
    </row>
    <row r="1161" customFormat="false" ht="14.25" hidden="false" customHeight="true" outlineLevel="0" collapsed="false">
      <c r="E1161" s="60"/>
      <c r="G1161" s="18"/>
      <c r="L1161" s="2"/>
      <c r="N1161" s="3"/>
      <c r="Q1161" s="62"/>
      <c r="S1161" s="2"/>
      <c r="U1161" s="59"/>
    </row>
    <row r="1162" customFormat="false" ht="14.25" hidden="false" customHeight="true" outlineLevel="0" collapsed="false">
      <c r="E1162" s="60"/>
      <c r="G1162" s="18"/>
      <c r="L1162" s="2"/>
      <c r="N1162" s="3"/>
      <c r="Q1162" s="62"/>
      <c r="S1162" s="2"/>
      <c r="U1162" s="59"/>
    </row>
    <row r="1163" customFormat="false" ht="14.25" hidden="false" customHeight="true" outlineLevel="0" collapsed="false">
      <c r="E1163" s="60"/>
      <c r="G1163" s="18"/>
      <c r="L1163" s="2"/>
      <c r="N1163" s="3"/>
      <c r="Q1163" s="62"/>
      <c r="S1163" s="2"/>
      <c r="U1163" s="59"/>
    </row>
    <row r="1164" customFormat="false" ht="14.25" hidden="false" customHeight="true" outlineLevel="0" collapsed="false">
      <c r="E1164" s="60"/>
      <c r="G1164" s="18"/>
      <c r="L1164" s="2"/>
      <c r="N1164" s="3"/>
      <c r="Q1164" s="62"/>
      <c r="S1164" s="2"/>
      <c r="U1164" s="59"/>
    </row>
  </sheetData>
  <conditionalFormatting sqref="M1:M1164 O347:O349">
    <cfRule type="colorScale" priority="2">
      <colorScale>
        <cfvo type="min" val="0"/>
        <cfvo type="percentile" val="50"/>
        <cfvo type="max" val="0"/>
        <color rgb="FFF8696B"/>
        <color rgb="FFFFEB84"/>
        <color rgb="FF63BE7B"/>
      </colorScale>
    </cfRule>
    <cfRule type="colorScale" priority="3">
      <colorScale>
        <cfvo type="min" val="0"/>
        <cfvo type="max" val="0"/>
        <color rgb="FFFFEF9C"/>
        <color rgb="FF63BE7B"/>
      </colorScale>
    </cfRule>
  </conditionalFormatting>
  <conditionalFormatting sqref="O53:O420 O1 O421:P421 O422:O1164 P92:P94 P104:P106 P128:P130 P170:P175 P185:P190 P215:P226 P356:P358 P368:P370 P380:P382 P386:P391 P419:P420 P455:P457 P461:P466 P572:P574 P599:P601 P683:P688 P743:P751 P809:P811 P839:P847 P860:P862 P986:P988 P1073:P1075 P1088:P1090 P1094:P1096 P1103:P1105 P1110:P1115 P1120:P1122">
    <cfRule type="colorScale" priority="4">
      <colorScale>
        <cfvo type="min" val="0"/>
        <cfvo type="percentile" val="50"/>
        <cfvo type="max" val="0"/>
        <color rgb="FF92E7EE"/>
        <color rgb="FFD7AFFF"/>
        <color rgb="FFF8696B"/>
      </colorScale>
    </cfRule>
    <cfRule type="colorScale" priority="5">
      <colorScale>
        <cfvo type="min" val="0"/>
        <cfvo type="max" val="0"/>
        <color rgb="FFFCFCFF"/>
        <color rgb="FFF8696B"/>
      </colorScale>
    </cfRule>
  </conditionalFormatting>
  <conditionalFormatting sqref="S1:S1145 S1147:S1164 T2:T1144">
    <cfRule type="colorScale" priority="6">
      <colorScale>
        <cfvo type="min" val="0"/>
        <cfvo type="max" val="0"/>
        <color rgb="FFFFEF9C"/>
        <color rgb="FF63BE7B"/>
      </colorScale>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F37" activeCellId="0" sqref="F37"/>
    </sheetView>
  </sheetViews>
  <sheetFormatPr defaultColWidth="12.6328125" defaultRowHeight="14.25" customHeight="true" zeroHeight="false" outlineLevelRow="0" outlineLevelCol="0"/>
  <cols>
    <col collapsed="false" customWidth="true" hidden="false" outlineLevel="0" max="1" min="1" style="1" width="14.45"/>
    <col collapsed="false" customWidth="true" hidden="false" outlineLevel="0" max="2" min="2" style="1" width="24.5"/>
    <col collapsed="false" customWidth="true" hidden="false" outlineLevel="0" max="3" min="3" style="1" width="16.18"/>
    <col collapsed="false" customWidth="true" hidden="false" outlineLevel="0" max="4" min="4" style="1" width="4.63"/>
    <col collapsed="false" customWidth="true" hidden="false" outlineLevel="0" max="5" min="5" style="1" width="2.18"/>
    <col collapsed="false" customWidth="true" hidden="false" outlineLevel="0" max="6" min="6" style="1" width="2.63"/>
    <col collapsed="false" customWidth="true" hidden="false" outlineLevel="0" max="8" min="7" style="1" width="6"/>
    <col collapsed="false" customWidth="true" hidden="false" outlineLevel="0" max="9" min="9" style="1" width="3.18"/>
    <col collapsed="false" customWidth="true" hidden="false" outlineLevel="0" max="10" min="10" style="1" width="6.18"/>
    <col collapsed="false" customWidth="true" hidden="false" outlineLevel="0" max="11" min="11" style="1" width="6"/>
    <col collapsed="false" customWidth="true" hidden="false" outlineLevel="0" max="12" min="12" style="1" width="5.91"/>
    <col collapsed="false" customWidth="true" hidden="false" outlineLevel="0" max="13" min="13" style="1" width="5.63"/>
    <col collapsed="false" customWidth="true" hidden="false" outlineLevel="0" max="14" min="14" style="1" width="6.18"/>
    <col collapsed="false" customWidth="true" hidden="false" outlineLevel="0" max="15" min="15" style="1" width="13.45"/>
    <col collapsed="false" customWidth="true" hidden="false" outlineLevel="0" max="16" min="16" style="1" width="10.45"/>
    <col collapsed="false" customWidth="true" hidden="false" outlineLevel="0" max="17" min="17" style="1" width="10.27"/>
    <col collapsed="false" customWidth="true" hidden="false" outlineLevel="0" max="26" min="18" style="1" width="8.63"/>
  </cols>
  <sheetData>
    <row r="1" customFormat="false" ht="13.5" hidden="false" customHeight="true" outlineLevel="0" collapsed="false">
      <c r="A1" s="100" t="s">
        <v>7</v>
      </c>
      <c r="B1" s="101" t="s">
        <v>1192</v>
      </c>
      <c r="J1" s="79" t="s">
        <v>1052</v>
      </c>
      <c r="P1" s="45" t="s">
        <v>1193</v>
      </c>
      <c r="Q1" s="45" t="s">
        <v>1194</v>
      </c>
    </row>
    <row r="2" customFormat="false" ht="13.5" hidden="false" customHeight="true" outlineLevel="0" collapsed="false">
      <c r="A2" s="102" t="s">
        <v>342</v>
      </c>
      <c r="B2" s="103" t="n">
        <v>63</v>
      </c>
      <c r="J2" s="79" t="s">
        <v>1054</v>
      </c>
      <c r="M2" s="2" t="str">
        <f aca="false">IFERROR(__xludf.dummyfunction("ARRAY_CONSTRAIN(ARRAYFORMULA(UNIQUE(J1:J139)), 111, 1)"),"AGFB_L1_x2")</f>
        <v>AGFB_L1_x2</v>
      </c>
      <c r="O2" s="2" t="s">
        <v>1052</v>
      </c>
      <c r="P2" s="2" t="n">
        <v>1.86</v>
      </c>
      <c r="Q2" s="2" t="str">
        <f aca="false">IF(P2&lt;1, "BAD", "GOOD")</f>
        <v>GOOD</v>
      </c>
    </row>
    <row r="3" customFormat="false" ht="13.5" hidden="false" customHeight="true" outlineLevel="0" collapsed="false">
      <c r="A3" s="104" t="s">
        <v>302</v>
      </c>
      <c r="B3" s="105" t="n">
        <v>57</v>
      </c>
      <c r="J3" s="79" t="s">
        <v>1055</v>
      </c>
      <c r="M3" s="2" t="str">
        <f aca="false">IFERROR(__xludf.dummyfunction("""COMPUTED_VALUE"""),"BHEB_G1_x2")</f>
        <v>BHEB_G1_x2</v>
      </c>
      <c r="O3" s="2" t="s">
        <v>1054</v>
      </c>
      <c r="P3" s="2" t="n">
        <v>7.33</v>
      </c>
      <c r="Q3" s="2" t="str">
        <f aca="false">IF(P3&lt;1, "BAD", "GOOD")</f>
        <v>GOOD</v>
      </c>
    </row>
    <row r="4" customFormat="false" ht="13.5" hidden="false" customHeight="true" outlineLevel="0" collapsed="false">
      <c r="A4" s="104" t="s">
        <v>950</v>
      </c>
      <c r="B4" s="105" t="n">
        <v>19</v>
      </c>
      <c r="J4" s="79" t="s">
        <v>1056</v>
      </c>
      <c r="M4" s="2" t="str">
        <f aca="false">IFERROR(__xludf.dummyfunction("""COMPUTED_VALUE"""),"BHEB_G2_x2")</f>
        <v>BHEB_G2_x2</v>
      </c>
      <c r="O4" s="2" t="s">
        <v>1055</v>
      </c>
      <c r="P4" s="2" t="n">
        <v>16.4</v>
      </c>
      <c r="Q4" s="2" t="str">
        <f aca="false">IF(P4&lt;1, "BAD", "GOOD")</f>
        <v>GOOD</v>
      </c>
    </row>
    <row r="5" customFormat="false" ht="13.5" hidden="false" customHeight="true" outlineLevel="0" collapsed="false">
      <c r="A5" s="104" t="s">
        <v>586</v>
      </c>
      <c r="B5" s="105" t="n">
        <v>48</v>
      </c>
      <c r="J5" s="79" t="s">
        <v>1057</v>
      </c>
      <c r="M5" s="2" t="str">
        <f aca="false">IFERROR(__xludf.dummyfunction("""COMPUTED_VALUE"""),"BHEB_G3_x2")</f>
        <v>BHEB_G3_x2</v>
      </c>
      <c r="O5" s="2" t="s">
        <v>1056</v>
      </c>
      <c r="P5" s="2" t="n">
        <v>14.5</v>
      </c>
      <c r="Q5" s="2" t="str">
        <f aca="false">IF(P5&lt;1, "BAD", "GOOD")</f>
        <v>GOOD</v>
      </c>
    </row>
    <row r="6" customFormat="false" ht="13.5" hidden="false" customHeight="true" outlineLevel="0" collapsed="false">
      <c r="A6" s="104" t="s">
        <v>429</v>
      </c>
      <c r="B6" s="105" t="n">
        <v>27</v>
      </c>
      <c r="J6" s="79" t="s">
        <v>1058</v>
      </c>
      <c r="M6" s="2" t="str">
        <f aca="false">IFERROR(__xludf.dummyfunction("""COMPUTED_VALUE"""),"BHEB_G4_x2")</f>
        <v>BHEB_G4_x2</v>
      </c>
      <c r="O6" s="2" t="s">
        <v>1057</v>
      </c>
      <c r="P6" s="2" t="n">
        <v>41</v>
      </c>
      <c r="Q6" s="2" t="str">
        <f aca="false">IF(P6&lt;1, "BAD", "GOOD")</f>
        <v>GOOD</v>
      </c>
    </row>
    <row r="7" customFormat="false" ht="13.5" hidden="false" customHeight="true" outlineLevel="0" collapsed="false">
      <c r="A7" s="104" t="s">
        <v>39</v>
      </c>
      <c r="B7" s="105" t="n">
        <v>3</v>
      </c>
      <c r="J7" s="79" t="s">
        <v>1059</v>
      </c>
      <c r="M7" s="2" t="str">
        <f aca="false">IFERROR(__xludf.dummyfunction("""COMPUTED_VALUE"""),"BHEB_G5_x2")</f>
        <v>BHEB_G5_x2</v>
      </c>
      <c r="O7" s="2" t="s">
        <v>1058</v>
      </c>
      <c r="P7" s="2" t="n">
        <v>3.05</v>
      </c>
      <c r="Q7" s="2" t="str">
        <f aca="false">IF(P7&lt;1, "BAD", "GOOD")</f>
        <v>GOOD</v>
      </c>
    </row>
    <row r="8" customFormat="false" ht="13.5" hidden="false" customHeight="true" outlineLevel="0" collapsed="false">
      <c r="A8" s="104" t="s">
        <v>489</v>
      </c>
      <c r="B8" s="105" t="n">
        <v>30</v>
      </c>
      <c r="J8" s="79" t="s">
        <v>1060</v>
      </c>
      <c r="M8" s="2" t="str">
        <f aca="false">IFERROR(__xludf.dummyfunction("""COMPUTED_VALUE"""),"BHEB_G6_x2")</f>
        <v>BHEB_G6_x2</v>
      </c>
      <c r="O8" s="2" t="s">
        <v>1059</v>
      </c>
      <c r="P8" s="2" t="n">
        <v>15.1</v>
      </c>
      <c r="Q8" s="2" t="str">
        <f aca="false">IF(P8&lt;1, "BAD", "GOOD")</f>
        <v>GOOD</v>
      </c>
    </row>
    <row r="9" customFormat="false" ht="13.5" hidden="false" customHeight="true" outlineLevel="0" collapsed="false">
      <c r="A9" s="104" t="s">
        <v>259</v>
      </c>
      <c r="B9" s="105" t="n">
        <v>60</v>
      </c>
      <c r="J9" s="79" t="s">
        <v>1062</v>
      </c>
      <c r="M9" s="2" t="str">
        <f aca="false">IFERROR(__xludf.dummyfunction("""COMPUTED_VALUE"""),"BHEB_G7_x2")</f>
        <v>BHEB_G7_x2</v>
      </c>
      <c r="O9" s="2" t="s">
        <v>1060</v>
      </c>
      <c r="P9" s="2" t="n">
        <v>17</v>
      </c>
      <c r="Q9" s="2" t="str">
        <f aca="false">IF(P9&lt;1, "BAD", "GOOD")</f>
        <v>GOOD</v>
      </c>
    </row>
    <row r="10" customFormat="false" ht="13.5" hidden="false" customHeight="true" outlineLevel="0" collapsed="false">
      <c r="A10" s="104" t="s">
        <v>167</v>
      </c>
      <c r="B10" s="105" t="n">
        <v>30</v>
      </c>
      <c r="J10" s="79" t="s">
        <v>1063</v>
      </c>
      <c r="M10" s="2" t="str">
        <f aca="false">IFERROR(__xludf.dummyfunction("""COMPUTED_VALUE"""),"BHEB_G8_x2")</f>
        <v>BHEB_G8_x2</v>
      </c>
      <c r="O10" s="2" t="s">
        <v>1062</v>
      </c>
      <c r="P10" s="2" t="n">
        <v>8.07</v>
      </c>
      <c r="Q10" s="2" t="str">
        <f aca="false">IF(P10&lt;1, "BAD", "GOOD")</f>
        <v>GOOD</v>
      </c>
    </row>
    <row r="11" customFormat="false" ht="13.5" hidden="false" customHeight="true" outlineLevel="0" collapsed="false">
      <c r="A11" s="104" t="s">
        <v>148</v>
      </c>
      <c r="B11" s="105" t="n">
        <v>66</v>
      </c>
      <c r="J11" s="79" t="s">
        <v>1064</v>
      </c>
      <c r="M11" s="2" t="str">
        <f aca="false">IFERROR(__xludf.dummyfunction("""COMPUTED_VALUE"""),"BHEB_N1_x2")</f>
        <v>BHEB_N1_x2</v>
      </c>
      <c r="O11" s="2" t="s">
        <v>1063</v>
      </c>
      <c r="P11" s="2" t="n">
        <v>3.75</v>
      </c>
      <c r="Q11" s="2" t="str">
        <f aca="false">IF(P11&lt;1, "BAD", "GOOD")</f>
        <v>GOOD</v>
      </c>
    </row>
    <row r="12" customFormat="false" ht="13.5" hidden="false" customHeight="true" outlineLevel="0" collapsed="false">
      <c r="A12" s="104" t="s">
        <v>705</v>
      </c>
      <c r="B12" s="105" t="n">
        <v>33</v>
      </c>
      <c r="J12" s="79" t="s">
        <v>1065</v>
      </c>
      <c r="M12" s="2" t="str">
        <f aca="false">IFERROR(__xludf.dummyfunction("""COMPUTED_VALUE"""),"BHEB_N2_x2")</f>
        <v>BHEB_N2_x2</v>
      </c>
      <c r="O12" s="2" t="s">
        <v>1064</v>
      </c>
      <c r="P12" s="2" t="n">
        <v>0.659</v>
      </c>
      <c r="Q12" s="2" t="str">
        <f aca="false">IF(P12&lt;1, "BAD", "GOOD")</f>
        <v>BAD</v>
      </c>
    </row>
    <row r="13" customFormat="false" ht="13.5" hidden="false" customHeight="true" outlineLevel="0" collapsed="false">
      <c r="A13" s="104" t="s">
        <v>133</v>
      </c>
      <c r="B13" s="105" t="n">
        <v>15</v>
      </c>
      <c r="J13" s="79" t="s">
        <v>1066</v>
      </c>
      <c r="M13" s="2" t="str">
        <f aca="false">IFERROR(__xludf.dummyfunction("""COMPUTED_VALUE"""),"BHEB_N3_x2")</f>
        <v>BHEB_N3_x2</v>
      </c>
      <c r="O13" s="2" t="s">
        <v>1065</v>
      </c>
      <c r="P13" s="2" t="n">
        <v>17.7</v>
      </c>
      <c r="Q13" s="2" t="str">
        <f aca="false">IF(P13&lt;1, "BAD", "GOOD")</f>
        <v>GOOD</v>
      </c>
    </row>
    <row r="14" customFormat="false" ht="13.5" hidden="false" customHeight="true" outlineLevel="0" collapsed="false">
      <c r="A14" s="104" t="s">
        <v>449</v>
      </c>
      <c r="B14" s="105" t="n">
        <v>60</v>
      </c>
      <c r="J14" s="79" t="s">
        <v>1067</v>
      </c>
      <c r="M14" s="2" t="str">
        <f aca="false">IFERROR(__xludf.dummyfunction("""COMPUTED_VALUE"""),"BHEB_N4_x2")</f>
        <v>BHEB_N4_x2</v>
      </c>
      <c r="O14" s="2" t="s">
        <v>1066</v>
      </c>
      <c r="P14" s="2" t="n">
        <v>1.33</v>
      </c>
      <c r="Q14" s="2" t="str">
        <f aca="false">IF(P14&lt;1, "BAD", "GOOD")</f>
        <v>GOOD</v>
      </c>
    </row>
    <row r="15" customFormat="false" ht="13.5" hidden="false" customHeight="true" outlineLevel="0" collapsed="false">
      <c r="A15" s="104" t="s">
        <v>654</v>
      </c>
      <c r="B15" s="105" t="n">
        <v>21</v>
      </c>
      <c r="J15" s="79" t="s">
        <v>1068</v>
      </c>
      <c r="M15" s="2" t="str">
        <f aca="false">IFERROR(__xludf.dummyfunction("""COMPUTED_VALUE"""),"BHEB_N5_x2")</f>
        <v>BHEB_N5_x2</v>
      </c>
      <c r="O15" s="2" t="s">
        <v>1067</v>
      </c>
      <c r="P15" s="2" t="n">
        <v>0.94</v>
      </c>
      <c r="Q15" s="2" t="str">
        <f aca="false">IF(P15&lt;1, "BAD", "GOOD")</f>
        <v>BAD</v>
      </c>
    </row>
    <row r="16" customFormat="false" ht="13.5" hidden="false" customHeight="true" outlineLevel="0" collapsed="false">
      <c r="A16" s="104" t="s">
        <v>559</v>
      </c>
      <c r="B16" s="105" t="n">
        <v>45</v>
      </c>
      <c r="J16" s="79" t="s">
        <v>1069</v>
      </c>
      <c r="M16" s="2" t="str">
        <f aca="false">IFERROR(__xludf.dummyfunction("""COMPUTED_VALUE"""),"BHEB_N6_x2")</f>
        <v>BHEB_N6_x2</v>
      </c>
      <c r="O16" s="2" t="s">
        <v>1068</v>
      </c>
      <c r="P16" s="2" t="n">
        <v>3.27</v>
      </c>
      <c r="Q16" s="2" t="str">
        <f aca="false">IF(P16&lt;1, "BAD", "GOOD")</f>
        <v>GOOD</v>
      </c>
    </row>
    <row r="17" customFormat="false" ht="13.5" hidden="false" customHeight="true" outlineLevel="0" collapsed="false">
      <c r="A17" s="104" t="s">
        <v>674</v>
      </c>
      <c r="B17" s="105" t="n">
        <v>27</v>
      </c>
      <c r="J17" s="79" t="s">
        <v>1071</v>
      </c>
      <c r="M17" s="2" t="str">
        <f aca="false">IFERROR(__xludf.dummyfunction("""COMPUTED_VALUE"""),"BHEB_N7_x2")</f>
        <v>BHEB_N7_x2</v>
      </c>
      <c r="O17" s="2" t="s">
        <v>1069</v>
      </c>
      <c r="P17" s="2" t="n">
        <v>3.8</v>
      </c>
      <c r="Q17" s="2" t="str">
        <f aca="false">IF(P17&lt;1, "BAD", "GOOD")</f>
        <v>GOOD</v>
      </c>
    </row>
    <row r="18" customFormat="false" ht="13.5" hidden="false" customHeight="true" outlineLevel="0" collapsed="false">
      <c r="A18" s="104" t="s">
        <v>30</v>
      </c>
      <c r="B18" s="105" t="n">
        <v>3</v>
      </c>
      <c r="J18" s="79" t="s">
        <v>1073</v>
      </c>
      <c r="M18" s="2" t="str">
        <f aca="false">IFERROR(__xludf.dummyfunction("""COMPUTED_VALUE"""),"BHEB_N8_#2_x2")</f>
        <v>BHEB_N8_#2_x2</v>
      </c>
      <c r="O18" s="2" t="s">
        <v>1071</v>
      </c>
      <c r="P18" s="2" t="n">
        <v>12.6</v>
      </c>
      <c r="Q18" s="2" t="str">
        <f aca="false">IF(P18&lt;1, "BAD", "GOOD")</f>
        <v>GOOD</v>
      </c>
    </row>
    <row r="19" customFormat="false" ht="13.5" hidden="false" customHeight="true" outlineLevel="0" collapsed="false">
      <c r="A19" s="104" t="s">
        <v>411</v>
      </c>
      <c r="B19" s="105" t="n">
        <v>27</v>
      </c>
      <c r="J19" s="79" t="s">
        <v>1074</v>
      </c>
      <c r="M19" s="2" t="str">
        <f aca="false">IFERROR(__xludf.dummyfunction("""COMPUTED_VALUE"""),"BHEB_N8_x2")</f>
        <v>BHEB_N8_x2</v>
      </c>
      <c r="O19" s="2" t="s">
        <v>1073</v>
      </c>
      <c r="Q19" s="2" t="str">
        <f aca="false">IF(P19&lt;1, "BAD", "GOOD")</f>
        <v>BAD</v>
      </c>
    </row>
    <row r="20" customFormat="false" ht="13.5" hidden="false" customHeight="true" outlineLevel="0" collapsed="false">
      <c r="A20" s="104" t="s">
        <v>512</v>
      </c>
      <c r="B20" s="105" t="n">
        <v>69</v>
      </c>
      <c r="J20" s="79" t="s">
        <v>1075</v>
      </c>
      <c r="M20" s="2" t="str">
        <f aca="false">IFERROR(__xludf.dummyfunction("""COMPUTED_VALUE"""),"BML_G1_x2")</f>
        <v>BML_G1_x2</v>
      </c>
      <c r="O20" s="2" t="s">
        <v>1074</v>
      </c>
      <c r="P20" s="2" t="n">
        <v>31.5</v>
      </c>
      <c r="Q20" s="2" t="str">
        <f aca="false">IF(P20&lt;1, "BAD", "GOOD")</f>
        <v>GOOD</v>
      </c>
    </row>
    <row r="21" customFormat="false" ht="13.5" hidden="false" customHeight="true" outlineLevel="0" collapsed="false">
      <c r="A21" s="104" t="s">
        <v>635</v>
      </c>
      <c r="B21" s="105" t="n">
        <v>33</v>
      </c>
      <c r="J21" s="79" t="s">
        <v>1076</v>
      </c>
      <c r="M21" s="2" t="str">
        <f aca="false">IFERROR(__xludf.dummyfunction("""COMPUTED_VALUE"""),"BML_G4_x2")</f>
        <v>BML_G4_x2</v>
      </c>
      <c r="O21" s="2" t="s">
        <v>1075</v>
      </c>
      <c r="P21" s="2" t="n">
        <v>37.8</v>
      </c>
      <c r="Q21" s="2" t="str">
        <f aca="false">IF(P21&lt;1, "BAD", "GOOD")</f>
        <v>GOOD</v>
      </c>
    </row>
    <row r="22" customFormat="false" ht="13.5" hidden="false" customHeight="true" outlineLevel="0" collapsed="false">
      <c r="A22" s="104" t="s">
        <v>688</v>
      </c>
      <c r="B22" s="105" t="n">
        <v>30</v>
      </c>
      <c r="J22" s="79" t="s">
        <v>1195</v>
      </c>
      <c r="M22" s="2" t="str">
        <f aca="false">IFERROR(__xludf.dummyfunction("""COMPUTED_VALUE"""),"BML_G5_x2")</f>
        <v>BML_G5_x2</v>
      </c>
      <c r="O22" s="2" t="s">
        <v>1076</v>
      </c>
      <c r="P22" s="2" t="n">
        <v>41.6</v>
      </c>
      <c r="Q22" s="2" t="str">
        <f aca="false">IF(P22&lt;1, "BAD", "GOOD")</f>
        <v>GOOD</v>
      </c>
    </row>
    <row r="23" customFormat="false" ht="13.5" hidden="false" customHeight="true" outlineLevel="0" collapsed="false">
      <c r="A23" s="104" t="s">
        <v>1196</v>
      </c>
      <c r="B23" s="106"/>
      <c r="J23" s="79" t="s">
        <v>1077</v>
      </c>
      <c r="M23" s="2" t="str">
        <f aca="false">IFERROR(__xludf.dummyfunction("""COMPUTED_VALUE"""),"CCRB_N_x2")</f>
        <v>CCRB_N_x2</v>
      </c>
      <c r="O23" s="2" t="s">
        <v>1195</v>
      </c>
      <c r="Q23" s="2" t="str">
        <f aca="false">IF(P23&lt;1, "BAD", "GOOD")</f>
        <v>BAD</v>
      </c>
    </row>
    <row r="24" customFormat="false" ht="13.5" hidden="false" customHeight="true" outlineLevel="0" collapsed="false">
      <c r="A24" s="107" t="s">
        <v>1197</v>
      </c>
      <c r="B24" s="108" t="n">
        <v>766</v>
      </c>
      <c r="J24" s="79" t="s">
        <v>1077</v>
      </c>
      <c r="M24" s="2" t="str">
        <f aca="false">IFERROR(__xludf.dummyfunction("""COMPUTED_VALUE"""),"CCRB_N1_A_x2")</f>
        <v>CCRB_N1_A_x2</v>
      </c>
      <c r="O24" s="2" t="s">
        <v>1077</v>
      </c>
      <c r="P24" s="2" t="n">
        <v>0</v>
      </c>
      <c r="Q24" s="2" t="str">
        <f aca="false">IF(P24&lt;1, "BAD", "GOOD")</f>
        <v>BAD</v>
      </c>
    </row>
    <row r="25" customFormat="false" ht="13.5" hidden="false" customHeight="true" outlineLevel="0" collapsed="false">
      <c r="A25" s="62"/>
      <c r="B25" s="2" t="s">
        <v>1198</v>
      </c>
      <c r="J25" s="79" t="s">
        <v>1077</v>
      </c>
      <c r="M25" s="2" t="str">
        <f aca="false">IFERROR(__xludf.dummyfunction("""COMPUTED_VALUE"""),"CCRB_N1_B_x2")</f>
        <v>CCRB_N1_B_x2</v>
      </c>
      <c r="O25" s="2" t="s">
        <v>1078</v>
      </c>
      <c r="Q25" s="2" t="str">
        <f aca="false">IF(P25&lt;1, "BAD", "GOOD")</f>
        <v>BAD</v>
      </c>
    </row>
    <row r="26" customFormat="false" ht="13.5" hidden="false" customHeight="true" outlineLevel="0" collapsed="false">
      <c r="A26" s="62"/>
      <c r="J26" s="79" t="s">
        <v>1078</v>
      </c>
      <c r="M26" s="2" t="str">
        <f aca="false">IFERROR(__xludf.dummyfunction("""COMPUTED_VALUE"""),"CCRB_N2_x2")</f>
        <v>CCRB_N2_x2</v>
      </c>
      <c r="O26" s="2" t="s">
        <v>1079</v>
      </c>
      <c r="P26" s="2" t="n">
        <v>4.03</v>
      </c>
      <c r="Q26" s="2" t="str">
        <f aca="false">IF(P26&lt;1, "BAD", "GOOD")</f>
        <v>GOOD</v>
      </c>
    </row>
    <row r="27" customFormat="false" ht="13.5" hidden="false" customHeight="true" outlineLevel="0" collapsed="false">
      <c r="A27" s="62"/>
      <c r="J27" s="79" t="s">
        <v>1079</v>
      </c>
      <c r="M27" s="2" t="str">
        <f aca="false">IFERROR(__xludf.dummyfunction("""COMPUTED_VALUE"""),"CCRB_N3_x2")</f>
        <v>CCRB_N3_x2</v>
      </c>
      <c r="O27" s="2" t="s">
        <v>1080</v>
      </c>
      <c r="P27" s="2" t="n">
        <v>2.73</v>
      </c>
      <c r="Q27" s="2" t="str">
        <f aca="false">IF(P27&lt;1, "BAD", "GOOD")</f>
        <v>GOOD</v>
      </c>
    </row>
    <row r="28" customFormat="false" ht="13.5" hidden="false" customHeight="true" outlineLevel="0" collapsed="false">
      <c r="A28" s="62"/>
      <c r="J28" s="79" t="s">
        <v>1080</v>
      </c>
      <c r="M28" s="2" t="str">
        <f aca="false">IFERROR(__xludf.dummyfunction("""COMPUTED_VALUE"""),"CCRB_N4_x2")</f>
        <v>CCRB_N4_x2</v>
      </c>
      <c r="O28" s="2" t="s">
        <v>1081</v>
      </c>
      <c r="P28" s="2" t="n">
        <v>11.4</v>
      </c>
      <c r="Q28" s="2" t="str">
        <f aca="false">IF(P28&lt;1, "BAD", "GOOD")</f>
        <v>GOOD</v>
      </c>
    </row>
    <row r="29" customFormat="false" ht="13.5" hidden="false" customHeight="true" outlineLevel="0" collapsed="false">
      <c r="A29" s="62"/>
      <c r="J29" s="79" t="s">
        <v>1081</v>
      </c>
      <c r="M29" s="2" t="str">
        <f aca="false">IFERROR(__xludf.dummyfunction("""COMPUTED_VALUE"""),"CCRB_N5_x2")</f>
        <v>CCRB_N5_x2</v>
      </c>
      <c r="O29" s="2" t="s">
        <v>1082</v>
      </c>
      <c r="P29" s="2" t="n">
        <v>7.73</v>
      </c>
      <c r="Q29" s="2" t="str">
        <f aca="false">IF(P29&lt;1, "BAD", "GOOD")</f>
        <v>GOOD</v>
      </c>
    </row>
    <row r="30" customFormat="false" ht="13.5" hidden="false" customHeight="true" outlineLevel="0" collapsed="false">
      <c r="A30" s="62"/>
      <c r="J30" s="79" t="s">
        <v>1082</v>
      </c>
      <c r="M30" s="2" t="str">
        <f aca="false">IFERROR(__xludf.dummyfunction("""COMPUTED_VALUE"""),"CCRB_N6_x2")</f>
        <v>CCRB_N6_x2</v>
      </c>
      <c r="O30" s="2" t="s">
        <v>1083</v>
      </c>
      <c r="P30" s="2" t="n">
        <v>0.687</v>
      </c>
      <c r="Q30" s="2" t="str">
        <f aca="false">IF(P30&lt;1, "BAD", "GOOD")</f>
        <v>BAD</v>
      </c>
    </row>
    <row r="31" customFormat="false" ht="13.5" hidden="false" customHeight="true" outlineLevel="0" collapsed="false">
      <c r="A31" s="62"/>
      <c r="D31" s="2" t="s">
        <v>1199</v>
      </c>
      <c r="J31" s="79" t="s">
        <v>1083</v>
      </c>
      <c r="M31" s="2" t="str">
        <f aca="false">IFERROR(__xludf.dummyfunction("""COMPUTED_VALUE"""),"CCRB_N7_x2")</f>
        <v>CCRB_N7_x2</v>
      </c>
      <c r="O31" s="2" t="s">
        <v>1084</v>
      </c>
      <c r="P31" s="2" t="n">
        <v>0.9</v>
      </c>
      <c r="Q31" s="2" t="str">
        <f aca="false">IF(P31&lt;1, "BAD", "GOOD")</f>
        <v>BAD</v>
      </c>
    </row>
    <row r="32" customFormat="false" ht="13.5" hidden="false" customHeight="true" outlineLevel="0" collapsed="false">
      <c r="A32" s="62"/>
      <c r="J32" s="79" t="s">
        <v>1084</v>
      </c>
      <c r="M32" s="2" t="str">
        <f aca="false">IFERROR(__xludf.dummyfunction("""COMPUTED_VALUE"""),"CCRB_N8_x2")</f>
        <v>CCRB_N8_x2</v>
      </c>
      <c r="O32" s="2" t="s">
        <v>1085</v>
      </c>
      <c r="P32" s="2" t="n">
        <v>3.47</v>
      </c>
      <c r="Q32" s="2" t="str">
        <f aca="false">IF(P32&lt;1, "BAD", "GOOD")</f>
        <v>GOOD</v>
      </c>
    </row>
    <row r="33" customFormat="false" ht="13.5" hidden="false" customHeight="true" outlineLevel="0" collapsed="false">
      <c r="B33" s="2" t="n">
        <f aca="false">GETPIVOTDATA("Count of Population",$A$1)/3</f>
        <v>255.333333333333</v>
      </c>
      <c r="C33" s="2" t="e">
        <f aca="false">GETPIVOTDATA("Sum of DNA_extr.",$A$1)/3</f>
        <v>#REF!</v>
      </c>
      <c r="J33" s="79" t="s">
        <v>1085</v>
      </c>
      <c r="M33" s="2" t="str">
        <f aca="false">IFERROR(__xludf.dummyfunction("""COMPUTED_VALUE"""),"CCRB_N9_x2")</f>
        <v>CCRB_N9_x2</v>
      </c>
      <c r="O33" s="2" t="s">
        <v>1086</v>
      </c>
      <c r="P33" s="2" t="n">
        <v>0.13</v>
      </c>
      <c r="Q33" s="2" t="str">
        <f aca="false">IF(P33&lt;1, "BAD", "GOOD")</f>
        <v>BAD</v>
      </c>
    </row>
    <row r="34" customFormat="false" ht="13.5" hidden="false" customHeight="true" outlineLevel="0" collapsed="false">
      <c r="J34" s="79" t="s">
        <v>1086</v>
      </c>
      <c r="M34" s="2" t="str">
        <f aca="false">IFERROR(__xludf.dummyfunction("""COMPUTED_VALUE"""),"CF_G2_x2")</f>
        <v>CF_G2_x2</v>
      </c>
      <c r="O34" s="2" t="s">
        <v>1087</v>
      </c>
      <c r="P34" s="2" t="n">
        <v>24.3</v>
      </c>
      <c r="Q34" s="2" t="str">
        <f aca="false">IF(P34&lt;1, "BAD", "GOOD")</f>
        <v>GOOD</v>
      </c>
    </row>
    <row r="35" customFormat="false" ht="13.5" hidden="false" customHeight="true" outlineLevel="0" collapsed="false">
      <c r="A35" s="109" t="s">
        <v>1200</v>
      </c>
      <c r="B35" s="110"/>
      <c r="C35" s="110"/>
      <c r="D35" s="110"/>
      <c r="E35" s="110"/>
      <c r="F35" s="110"/>
      <c r="G35" s="110"/>
      <c r="H35" s="110"/>
      <c r="J35" s="79" t="s">
        <v>1087</v>
      </c>
      <c r="M35" s="2" t="str">
        <f aca="false">IFERROR(__xludf.dummyfunction("""COMPUTED_VALUE"""),"CF_G9_x2")</f>
        <v>CF_G9_x2</v>
      </c>
      <c r="O35" s="2" t="s">
        <v>1089</v>
      </c>
      <c r="P35" s="2" t="n">
        <v>39.8</v>
      </c>
      <c r="Q35" s="2" t="str">
        <f aca="false">IF(P35&lt;1, "BAD", "GOOD")</f>
        <v>GOOD</v>
      </c>
    </row>
    <row r="36" customFormat="false" ht="13.5" hidden="false" customHeight="true" outlineLevel="0" collapsed="false">
      <c r="A36" s="110"/>
      <c r="B36" s="110"/>
      <c r="C36" s="110"/>
      <c r="D36" s="110"/>
      <c r="E36" s="110"/>
      <c r="F36" s="110"/>
      <c r="G36" s="110"/>
      <c r="H36" s="110"/>
      <c r="J36" s="79" t="s">
        <v>1089</v>
      </c>
      <c r="M36" s="2" t="str">
        <f aca="false">IFERROR(__xludf.dummyfunction("""COMPUTED_VALUE"""),"HULB_G4_x2")</f>
        <v>HULB_G4_x2</v>
      </c>
      <c r="O36" s="2" t="s">
        <v>1091</v>
      </c>
      <c r="P36" s="2" t="n">
        <v>15.4</v>
      </c>
      <c r="Q36" s="2" t="str">
        <f aca="false">IF(P36&lt;1, "BAD", "GOOD")</f>
        <v>GOOD</v>
      </c>
    </row>
    <row r="37" customFormat="false" ht="59.7" hidden="false" customHeight="true" outlineLevel="0" collapsed="false">
      <c r="A37" s="111" t="s">
        <v>1201</v>
      </c>
      <c r="B37" s="112" t="s">
        <v>1202</v>
      </c>
      <c r="C37" s="113" t="s">
        <v>1203</v>
      </c>
      <c r="D37" s="112" t="s">
        <v>1204</v>
      </c>
      <c r="E37" s="112"/>
      <c r="F37" s="112"/>
      <c r="G37" s="112"/>
      <c r="H37" s="112"/>
      <c r="J37" s="79" t="s">
        <v>1091</v>
      </c>
      <c r="M37" s="2" t="str">
        <f aca="false">IFERROR(__xludf.dummyfunction("""COMPUTED_VALUE"""),"HULB_L2_x2")</f>
        <v>HULB_L2_x2</v>
      </c>
      <c r="O37" s="2" t="s">
        <v>1092</v>
      </c>
      <c r="P37" s="2" t="n">
        <v>2.66</v>
      </c>
      <c r="Q37" s="2" t="str">
        <f aca="false">IF(P37&lt;1, "BAD", "GOOD")</f>
        <v>GOOD</v>
      </c>
    </row>
    <row r="38" customFormat="false" ht="13.5" hidden="false" customHeight="true" outlineLevel="0" collapsed="false">
      <c r="J38" s="79" t="s">
        <v>1092</v>
      </c>
      <c r="M38" s="2" t="str">
        <f aca="false">IFERROR(__xludf.dummyfunction("""COMPUTED_VALUE"""),"HULB_L5_x2")</f>
        <v>HULB_L5_x2</v>
      </c>
      <c r="O38" s="2" t="s">
        <v>1094</v>
      </c>
      <c r="P38" s="2" t="n">
        <v>18.3</v>
      </c>
      <c r="Q38" s="2" t="str">
        <f aca="false">IF(P38&lt;1, "BAD", "GOOD")</f>
        <v>GOOD</v>
      </c>
    </row>
    <row r="39" customFormat="false" ht="13.5" hidden="false" customHeight="true" outlineLevel="0" collapsed="false">
      <c r="J39" s="79" t="s">
        <v>1094</v>
      </c>
      <c r="M39" s="2" t="str">
        <f aca="false">IFERROR(__xludf.dummyfunction("""COMPUTED_VALUE"""),"HUOB_G2_x2")</f>
        <v>HUOB_G2_x2</v>
      </c>
      <c r="O39" s="2" t="s">
        <v>1095</v>
      </c>
      <c r="P39" s="2" t="n">
        <v>12.6</v>
      </c>
      <c r="Q39" s="2" t="str">
        <f aca="false">IF(P39&lt;1, "BAD", "GOOD")</f>
        <v>GOOD</v>
      </c>
    </row>
    <row r="40" customFormat="false" ht="13.5" hidden="false" customHeight="true" outlineLevel="0" collapsed="false">
      <c r="J40" s="79" t="s">
        <v>1095</v>
      </c>
      <c r="M40" s="2" t="str">
        <f aca="false">IFERROR(__xludf.dummyfunction("""COMPUTED_VALUE"""),"HUOB_G3_x2")</f>
        <v>HUOB_G3_x2</v>
      </c>
      <c r="O40" s="2" t="s">
        <v>1096</v>
      </c>
      <c r="P40" s="2" t="n">
        <v>9.17</v>
      </c>
      <c r="Q40" s="2" t="str">
        <f aca="false">IF(P40&lt;1, "BAD", "GOOD")</f>
        <v>GOOD</v>
      </c>
    </row>
    <row r="41" customFormat="false" ht="13.5" hidden="false" customHeight="true" outlineLevel="0" collapsed="false">
      <c r="J41" s="79" t="s">
        <v>1096</v>
      </c>
      <c r="M41" s="2" t="str">
        <f aca="false">IFERROR(__xludf.dummyfunction("""COMPUTED_VALUE"""),"HUOB_N2_x2")</f>
        <v>HUOB_N2_x2</v>
      </c>
      <c r="O41" s="2" t="s">
        <v>1097</v>
      </c>
      <c r="P41" s="2" t="n">
        <v>12.3</v>
      </c>
      <c r="Q41" s="2" t="str">
        <f aca="false">IF(P41&lt;1, "BAD", "GOOD")</f>
        <v>GOOD</v>
      </c>
    </row>
    <row r="42" customFormat="false" ht="13.5" hidden="false" customHeight="true" outlineLevel="0" collapsed="false">
      <c r="J42" s="79" t="s">
        <v>1097</v>
      </c>
      <c r="M42" s="2" t="str">
        <f aca="false">IFERROR(__xludf.dummyfunction("""COMPUTED_VALUE"""),"HUOB_N5_x2")</f>
        <v>HUOB_N5_x2</v>
      </c>
      <c r="O42" s="2" t="s">
        <v>1098</v>
      </c>
      <c r="P42" s="2" t="n">
        <v>3.95</v>
      </c>
      <c r="Q42" s="2" t="str">
        <f aca="false">IF(P42&lt;1, "BAD", "GOOD")</f>
        <v>GOOD</v>
      </c>
    </row>
    <row r="43" customFormat="false" ht="13.5" hidden="false" customHeight="true" outlineLevel="0" collapsed="false">
      <c r="J43" s="79" t="s">
        <v>1098</v>
      </c>
      <c r="M43" s="2" t="str">
        <f aca="false">IFERROR(__xludf.dummyfunction("""COMPUTED_VALUE"""),"LM_G4_x2")</f>
        <v>LM_G4_x2</v>
      </c>
      <c r="O43" s="2" t="s">
        <v>1100</v>
      </c>
      <c r="P43" s="2" t="n">
        <v>6.18</v>
      </c>
      <c r="Q43" s="2" t="str">
        <f aca="false">IF(P43&lt;1, "BAD", "GOOD")</f>
        <v>GOOD</v>
      </c>
    </row>
    <row r="44" customFormat="false" ht="13.5" hidden="false" customHeight="true" outlineLevel="0" collapsed="false">
      <c r="J44" s="79" t="s">
        <v>1100</v>
      </c>
      <c r="M44" s="2" t="str">
        <f aca="false">IFERROR(__xludf.dummyfunction("""COMPUTED_VALUE"""),"LM_G9_x2")</f>
        <v>LM_G9_x2</v>
      </c>
      <c r="O44" s="2" t="s">
        <v>1101</v>
      </c>
      <c r="P44" s="2" t="n">
        <v>19.7</v>
      </c>
      <c r="Q44" s="2" t="str">
        <f aca="false">IF(P44&lt;1, "BAD", "GOOD")</f>
        <v>GOOD</v>
      </c>
    </row>
    <row r="45" customFormat="false" ht="13.5" hidden="false" customHeight="true" outlineLevel="0" collapsed="false">
      <c r="J45" s="79" t="s">
        <v>1101</v>
      </c>
      <c r="M45" s="2" t="str">
        <f aca="false">IFERROR(__xludf.dummyfunction("""COMPUTED_VALUE"""),"LYFB_G1_x2")</f>
        <v>LYFB_G1_x2</v>
      </c>
      <c r="O45" s="2" t="s">
        <v>1102</v>
      </c>
      <c r="P45" s="2" t="n">
        <v>34.1</v>
      </c>
      <c r="Q45" s="2" t="str">
        <f aca="false">IF(P45&lt;1, "BAD", "GOOD")</f>
        <v>GOOD</v>
      </c>
    </row>
    <row r="46" customFormat="false" ht="13.5" hidden="false" customHeight="true" outlineLevel="0" collapsed="false">
      <c r="J46" s="79" t="s">
        <v>1102</v>
      </c>
      <c r="M46" s="2" t="str">
        <f aca="false">IFERROR(__xludf.dummyfunction("""COMPUTED_VALUE"""),"LYFB_G2_x2")</f>
        <v>LYFB_G2_x2</v>
      </c>
      <c r="O46" s="2" t="s">
        <v>1103</v>
      </c>
      <c r="P46" s="2" t="n">
        <v>1.78</v>
      </c>
      <c r="Q46" s="2" t="str">
        <f aca="false">IF(P46&lt;1, "BAD", "GOOD")</f>
        <v>GOOD</v>
      </c>
    </row>
    <row r="47" customFormat="false" ht="13.5" hidden="false" customHeight="true" outlineLevel="0" collapsed="false">
      <c r="J47" s="79" t="s">
        <v>1103</v>
      </c>
      <c r="M47" s="2" t="str">
        <f aca="false">IFERROR(__xludf.dummyfunction("""COMPUTED_VALUE"""),"LYFB_G3_x2")</f>
        <v>LYFB_G3_x2</v>
      </c>
      <c r="O47" s="2" t="s">
        <v>1104</v>
      </c>
      <c r="P47" s="2" t="n">
        <v>4.91</v>
      </c>
      <c r="Q47" s="2" t="str">
        <f aca="false">IF(P47&lt;1, "BAD", "GOOD")</f>
        <v>GOOD</v>
      </c>
    </row>
    <row r="48" customFormat="false" ht="13.5" hidden="false" customHeight="true" outlineLevel="0" collapsed="false">
      <c r="J48" s="79" t="s">
        <v>1104</v>
      </c>
      <c r="M48" s="2" t="str">
        <f aca="false">IFERROR(__xludf.dummyfunction("""COMPUTED_VALUE"""),"LYFB_G4_x2")</f>
        <v>LYFB_G4_x2</v>
      </c>
      <c r="O48" s="2" t="s">
        <v>1105</v>
      </c>
      <c r="P48" s="2" t="n">
        <v>16</v>
      </c>
      <c r="Q48" s="2" t="str">
        <f aca="false">IF(P48&lt;1, "BAD", "GOOD")</f>
        <v>GOOD</v>
      </c>
    </row>
    <row r="49" customFormat="false" ht="13.5" hidden="false" customHeight="true" outlineLevel="0" collapsed="false">
      <c r="J49" s="79" t="s">
        <v>1105</v>
      </c>
      <c r="M49" s="2" t="str">
        <f aca="false">IFERROR(__xludf.dummyfunction("""COMPUTED_VALUE"""),"LYFB_G5_x2")</f>
        <v>LYFB_G5_x2</v>
      </c>
      <c r="O49" s="2" t="s">
        <v>1106</v>
      </c>
      <c r="P49" s="2" t="n">
        <v>5.96</v>
      </c>
      <c r="Q49" s="2" t="str">
        <f aca="false">IF(P49&lt;1, "BAD", "GOOD")</f>
        <v>GOOD</v>
      </c>
    </row>
    <row r="50" customFormat="false" ht="13.5" hidden="false" customHeight="true" outlineLevel="0" collapsed="false">
      <c r="J50" s="79" t="s">
        <v>1106</v>
      </c>
      <c r="M50" s="2" t="str">
        <f aca="false">IFERROR(__xludf.dummyfunction("""COMPUTED_VALUE"""),"SHL_G2_x2")</f>
        <v>SHL_G2_x2</v>
      </c>
      <c r="O50" s="2" t="s">
        <v>1107</v>
      </c>
      <c r="P50" s="2" t="n">
        <v>40.3</v>
      </c>
      <c r="Q50" s="2" t="str">
        <f aca="false">IF(P50&lt;1, "BAD", "GOOD")</f>
        <v>GOOD</v>
      </c>
    </row>
    <row r="51" customFormat="false" ht="13.5" hidden="false" customHeight="true" outlineLevel="0" collapsed="false">
      <c r="J51" s="79" t="s">
        <v>1107</v>
      </c>
      <c r="M51" s="2" t="str">
        <f aca="false">IFERROR(__xludf.dummyfunction("""COMPUTED_VALUE"""),"SHL_G3_x2")</f>
        <v>SHL_G3_x2</v>
      </c>
      <c r="O51" s="2" t="s">
        <v>1108</v>
      </c>
      <c r="P51" s="2" t="n">
        <v>38.3</v>
      </c>
      <c r="Q51" s="2" t="str">
        <f aca="false">IF(P51&lt;1, "BAD", "GOOD")</f>
        <v>GOOD</v>
      </c>
    </row>
    <row r="52" customFormat="false" ht="13.5" hidden="false" customHeight="true" outlineLevel="0" collapsed="false">
      <c r="J52" s="79" t="s">
        <v>1108</v>
      </c>
      <c r="M52" s="2" t="str">
        <f aca="false">IFERROR(__xludf.dummyfunction("""COMPUTED_VALUE"""),"SHL_G4_x2")</f>
        <v>SHL_G4_x2</v>
      </c>
      <c r="O52" s="2" t="s">
        <v>1109</v>
      </c>
      <c r="P52" s="2" t="n">
        <v>48.3</v>
      </c>
      <c r="Q52" s="2" t="str">
        <f aca="false">IF(P52&lt;1, "BAD", "GOOD")</f>
        <v>GOOD</v>
      </c>
    </row>
    <row r="53" customFormat="false" ht="13.5" hidden="false" customHeight="true" outlineLevel="0" collapsed="false">
      <c r="J53" s="79" t="s">
        <v>1109</v>
      </c>
      <c r="M53" s="2" t="str">
        <f aca="false">IFERROR(__xludf.dummyfunction("""COMPUTED_VALUE"""),"SHL_L3_x2")</f>
        <v>SHL_L3_x2</v>
      </c>
      <c r="O53" s="2" t="s">
        <v>1110</v>
      </c>
      <c r="P53" s="2" t="n">
        <v>8.65</v>
      </c>
      <c r="Q53" s="2" t="str">
        <f aca="false">IF(P53&lt;1, "BAD", "GOOD")</f>
        <v>GOOD</v>
      </c>
    </row>
    <row r="54" customFormat="false" ht="13.5" hidden="false" customHeight="true" outlineLevel="0" collapsed="false">
      <c r="J54" s="79" t="s">
        <v>1110</v>
      </c>
      <c r="M54" s="2" t="str">
        <f aca="false">IFERROR(__xludf.dummyfunction("""COMPUTED_VALUE"""),"SPLB_L7_x2")</f>
        <v>SPLB_L7_x2</v>
      </c>
      <c r="O54" s="2" t="s">
        <v>1111</v>
      </c>
      <c r="P54" s="2" t="n">
        <v>6.22</v>
      </c>
      <c r="Q54" s="2" t="str">
        <f aca="false">IF(P54&lt;1, "BAD", "GOOD")</f>
        <v>GOOD</v>
      </c>
    </row>
    <row r="55" customFormat="false" ht="13.5" hidden="false" customHeight="true" outlineLevel="0" collapsed="false">
      <c r="J55" s="79" t="s">
        <v>1111</v>
      </c>
      <c r="M55" s="2" t="str">
        <f aca="false">IFERROR(__xludf.dummyfunction("""COMPUTED_VALUE"""),"SPLB_L9_x2")</f>
        <v>SPLB_L9_x2</v>
      </c>
      <c r="O55" s="2" t="s">
        <v>1112</v>
      </c>
      <c r="P55" s="2" t="n">
        <v>4.92</v>
      </c>
      <c r="Q55" s="2" t="str">
        <f aca="false">IF(P55&lt;1, "BAD", "GOOD")</f>
        <v>GOOD</v>
      </c>
    </row>
    <row r="56" customFormat="false" ht="13.5" hidden="false" customHeight="true" outlineLevel="0" collapsed="false">
      <c r="J56" s="79" t="s">
        <v>1112</v>
      </c>
      <c r="M56" s="2" t="str">
        <f aca="false">IFERROR(__xludf.dummyfunction("""COMPUTED_VALUE"""),"TRTB_L1_x2")</f>
        <v>TRTB_L1_x2</v>
      </c>
      <c r="O56" s="2" t="s">
        <v>1113</v>
      </c>
      <c r="P56" s="2" t="n">
        <v>22.4</v>
      </c>
      <c r="Q56" s="2" t="str">
        <f aca="false">IF(P56&lt;1, "BAD", "GOOD")</f>
        <v>GOOD</v>
      </c>
    </row>
    <row r="57" customFormat="false" ht="13.5" hidden="false" customHeight="true" outlineLevel="0" collapsed="false">
      <c r="J57" s="79" t="s">
        <v>1113</v>
      </c>
      <c r="M57" s="2" t="str">
        <f aca="false">IFERROR(__xludf.dummyfunction("""COMPUTED_VALUE"""),"TWGB_G6_x2")</f>
        <v>TWGB_G6_x2</v>
      </c>
      <c r="O57" s="2" t="s">
        <v>1114</v>
      </c>
      <c r="P57" s="2" t="n">
        <v>1</v>
      </c>
      <c r="Q57" s="2" t="str">
        <f aca="false">IF(P57&lt;1, "BAD", "GOOD")</f>
        <v>GOOD</v>
      </c>
    </row>
    <row r="58" customFormat="false" ht="13.5" hidden="false" customHeight="true" outlineLevel="0" collapsed="false">
      <c r="J58" s="79" t="s">
        <v>1114</v>
      </c>
      <c r="M58" s="2" t="str">
        <f aca="false">IFERROR(__xludf.dummyfunction("""COMPUTED_VALUE"""),"TWGB_G9_x2")</f>
        <v>TWGB_G9_x2</v>
      </c>
      <c r="O58" s="2" t="s">
        <v>1115</v>
      </c>
      <c r="P58" s="2" t="n">
        <v>17</v>
      </c>
      <c r="Q58" s="2" t="str">
        <f aca="false">IF(P58&lt;1, "BAD", "GOOD")</f>
        <v>GOOD</v>
      </c>
    </row>
    <row r="59" customFormat="false" ht="13.5" hidden="false" customHeight="true" outlineLevel="0" collapsed="false">
      <c r="J59" s="79" t="s">
        <v>1115</v>
      </c>
      <c r="M59" s="2" t="str">
        <f aca="false">IFERROR(__xludf.dummyfunction("""COMPUTED_VALUE"""),"WCFB_G10_x2")</f>
        <v>WCFB_G10_x2</v>
      </c>
      <c r="O59" s="2" t="s">
        <v>1116</v>
      </c>
      <c r="P59" s="2" t="n">
        <v>8.53</v>
      </c>
      <c r="Q59" s="2" t="str">
        <f aca="false">IF(P59&lt;1, "BAD", "GOOD")</f>
        <v>GOOD</v>
      </c>
    </row>
    <row r="60" customFormat="false" ht="13.5" hidden="false" customHeight="true" outlineLevel="0" collapsed="false">
      <c r="J60" s="79" t="s">
        <v>1116</v>
      </c>
      <c r="M60" s="2" t="str">
        <f aca="false">IFERROR(__xludf.dummyfunction("""COMPUTED_VALUE"""),"HDRB_G10_x2")</f>
        <v>HDRB_G10_x2</v>
      </c>
      <c r="O60" s="2" t="s">
        <v>1117</v>
      </c>
      <c r="P60" s="2" t="n">
        <v>0</v>
      </c>
      <c r="Q60" s="2" t="str">
        <f aca="false">IF(P60&lt;1, "BAD", "GOOD")</f>
        <v>BAD</v>
      </c>
    </row>
    <row r="61" customFormat="false" ht="13.5" hidden="false" customHeight="true" outlineLevel="0" collapsed="false">
      <c r="J61" s="79" t="s">
        <v>1117</v>
      </c>
      <c r="M61" s="2" t="str">
        <f aca="false">IFERROR(__xludf.dummyfunction("""COMPUTED_VALUE"""),"HDRB_G202")</f>
        <v>HDRB_G202</v>
      </c>
      <c r="O61" s="2" t="s">
        <v>1205</v>
      </c>
      <c r="P61" s="2" t="n">
        <v>4.29</v>
      </c>
      <c r="Q61" s="2" t="str">
        <f aca="false">IF(P61&lt;1, "BAD", "GOOD")</f>
        <v>GOOD</v>
      </c>
    </row>
    <row r="62" customFormat="false" ht="13.5" hidden="false" customHeight="true" outlineLevel="0" collapsed="false">
      <c r="J62" s="91" t="s">
        <v>1118</v>
      </c>
      <c r="M62" s="2" t="str">
        <f aca="false">IFERROR(__xludf.dummyfunction("""COMPUTED_VALUE"""),"HDRB_G3_x2")</f>
        <v>HDRB_G3_x2</v>
      </c>
      <c r="O62" s="2" t="s">
        <v>1122</v>
      </c>
      <c r="P62" s="2" t="n">
        <v>9.4</v>
      </c>
      <c r="Q62" s="2" t="str">
        <f aca="false">IF(P62&lt;1, "BAD", "GOOD")</f>
        <v>GOOD</v>
      </c>
    </row>
    <row r="63" customFormat="false" ht="13.5" hidden="false" customHeight="true" outlineLevel="0" collapsed="false">
      <c r="J63" s="91" t="s">
        <v>1118</v>
      </c>
      <c r="M63" s="2" t="str">
        <f aca="false">IFERROR(__xludf.dummyfunction("""COMPUTED_VALUE"""),"HDRB_G4_x2")</f>
        <v>HDRB_G4_x2</v>
      </c>
      <c r="O63" s="2" t="s">
        <v>1123</v>
      </c>
      <c r="P63" s="2" t="n">
        <v>5.98</v>
      </c>
      <c r="Q63" s="2" t="str">
        <f aca="false">IF(P63&lt;1, "BAD", "GOOD")</f>
        <v>GOOD</v>
      </c>
    </row>
    <row r="64" customFormat="false" ht="13.5" hidden="false" customHeight="true" outlineLevel="0" collapsed="false">
      <c r="J64" s="91" t="s">
        <v>1118</v>
      </c>
      <c r="M64" s="2" t="str">
        <f aca="false">IFERROR(__xludf.dummyfunction("""COMPUTED_VALUE"""),"HDRB_G6_x2")</f>
        <v>HDRB_G6_x2</v>
      </c>
      <c r="O64" s="2" t="s">
        <v>1124</v>
      </c>
      <c r="P64" s="2" t="n">
        <v>8.53</v>
      </c>
      <c r="Q64" s="2" t="str">
        <f aca="false">IF(P64&lt;1, "BAD", "GOOD")</f>
        <v>GOOD</v>
      </c>
    </row>
    <row r="65" customFormat="false" ht="13.5" hidden="false" customHeight="true" outlineLevel="0" collapsed="false">
      <c r="J65" s="79" t="s">
        <v>1122</v>
      </c>
      <c r="M65" s="2" t="str">
        <f aca="false">IFERROR(__xludf.dummyfunction("""COMPUTED_VALUE"""),"HDRB_G207")</f>
        <v>HDRB_G207</v>
      </c>
      <c r="O65" s="2" t="s">
        <v>1206</v>
      </c>
      <c r="P65" s="2" t="n">
        <v>0.0827</v>
      </c>
      <c r="Q65" s="2" t="n">
        <v>28.5</v>
      </c>
    </row>
    <row r="66" customFormat="false" ht="13.5" hidden="false" customHeight="true" outlineLevel="0" collapsed="false">
      <c r="J66" s="79" t="s">
        <v>1123</v>
      </c>
      <c r="M66" s="2" t="str">
        <f aca="false">IFERROR(__xludf.dummyfunction("""COMPUTED_VALUE"""),"HDRB_G8_x2")</f>
        <v>HDRB_G8_x2</v>
      </c>
      <c r="O66" s="2" t="s">
        <v>1128</v>
      </c>
      <c r="P66" s="2" t="n">
        <v>7</v>
      </c>
      <c r="Q66" s="2" t="str">
        <f aca="false">IF(P66&lt;1, "BAD", "GOOD")</f>
        <v>GOOD</v>
      </c>
    </row>
    <row r="67" customFormat="false" ht="13.5" hidden="false" customHeight="true" outlineLevel="0" collapsed="false">
      <c r="J67" s="79" t="s">
        <v>1124</v>
      </c>
      <c r="M67" s="2" t="str">
        <f aca="false">IFERROR(__xludf.dummyfunction("""COMPUTED_VALUE"""),"HHBB_G1_x2")</f>
        <v>HHBB_G1_x2</v>
      </c>
      <c r="O67" s="2" t="s">
        <v>1130</v>
      </c>
      <c r="P67" s="2" t="n">
        <v>17.4</v>
      </c>
      <c r="Q67" s="2" t="str">
        <f aca="false">IF(P67&lt;1, "BAD", "GOOD")</f>
        <v>GOOD</v>
      </c>
    </row>
    <row r="68" customFormat="false" ht="13.5" hidden="false" customHeight="true" outlineLevel="0" collapsed="false">
      <c r="J68" s="91" t="s">
        <v>1126</v>
      </c>
      <c r="M68" s="2" t="str">
        <f aca="false">IFERROR(__xludf.dummyfunction("""COMPUTED_VALUE"""),"HHBB_G10_x2")</f>
        <v>HHBB_G10_x2</v>
      </c>
      <c r="O68" s="2" t="s">
        <v>1131</v>
      </c>
      <c r="P68" s="2" t="n">
        <v>13.6</v>
      </c>
      <c r="Q68" s="2" t="str">
        <f aca="false">IF(P68&lt;1, "BAD", "GOOD")</f>
        <v>GOOD</v>
      </c>
    </row>
    <row r="69" customFormat="false" ht="13.5" hidden="false" customHeight="true" outlineLevel="0" collapsed="false">
      <c r="J69" s="91" t="s">
        <v>1126</v>
      </c>
      <c r="M69" s="2" t="str">
        <f aca="false">IFERROR(__xludf.dummyfunction("""COMPUTED_VALUE"""),"HHBB_G2_x2")</f>
        <v>HHBB_G2_x2</v>
      </c>
      <c r="O69" s="2" t="s">
        <v>1132</v>
      </c>
      <c r="P69" s="2" t="n">
        <v>10.7</v>
      </c>
      <c r="Q69" s="2" t="str">
        <f aca="false">IF(P69&lt;1, "BAD", "GOOD")</f>
        <v>GOOD</v>
      </c>
    </row>
    <row r="70" customFormat="false" ht="13.5" hidden="false" customHeight="true" outlineLevel="0" collapsed="false">
      <c r="J70" s="91" t="s">
        <v>1126</v>
      </c>
      <c r="M70" s="2" t="str">
        <f aca="false">IFERROR(__xludf.dummyfunction("""COMPUTED_VALUE"""),"HHBB_G6_x2")</f>
        <v>HHBB_G6_x2</v>
      </c>
      <c r="O70" s="2" t="s">
        <v>1133</v>
      </c>
      <c r="P70" s="2" t="n">
        <v>11.6</v>
      </c>
      <c r="Q70" s="2" t="str">
        <f aca="false">IF(P70&lt;1, "BAD", "GOOD")</f>
        <v>GOOD</v>
      </c>
    </row>
    <row r="71" customFormat="false" ht="13.5" hidden="false" customHeight="true" outlineLevel="0" collapsed="false">
      <c r="J71" s="79" t="s">
        <v>1128</v>
      </c>
      <c r="M71" s="2" t="str">
        <f aca="false">IFERROR(__xludf.dummyfunction("""COMPUTED_VALUE"""),"HHBB_G8_x2")</f>
        <v>HHBB_G8_x2</v>
      </c>
      <c r="O71" s="2" t="s">
        <v>1134</v>
      </c>
      <c r="P71" s="2" t="n">
        <v>16.9</v>
      </c>
      <c r="Q71" s="2" t="str">
        <f aca="false">IF(P71&lt;1, "BAD", "GOOD")</f>
        <v>GOOD</v>
      </c>
    </row>
    <row r="72" customFormat="false" ht="13.5" hidden="false" customHeight="true" outlineLevel="0" collapsed="false">
      <c r="J72" s="79" t="s">
        <v>1130</v>
      </c>
      <c r="M72" s="2" t="str">
        <f aca="false">IFERROR(__xludf.dummyfunction("""COMPUTED_VALUE"""),"HHBB_L9_x2")</f>
        <v>HHBB_L9_x2</v>
      </c>
      <c r="O72" s="2" t="s">
        <v>1136</v>
      </c>
      <c r="P72" s="2" t="n">
        <v>1.4</v>
      </c>
      <c r="Q72" s="2" t="str">
        <f aca="false">IF(P72&lt;1, "BAD", "GOOD")</f>
        <v>GOOD</v>
      </c>
    </row>
    <row r="73" customFormat="false" ht="13.5" hidden="false" customHeight="true" outlineLevel="0" collapsed="false">
      <c r="J73" s="79" t="s">
        <v>1131</v>
      </c>
      <c r="M73" s="2" t="str">
        <f aca="false">IFERROR(__xludf.dummyfunction("""COMPUTED_VALUE"""),"HUOB_G12_x2")</f>
        <v>HUOB_G12_x2</v>
      </c>
      <c r="O73" s="2" t="s">
        <v>1137</v>
      </c>
      <c r="P73" s="2" t="n">
        <v>0</v>
      </c>
      <c r="Q73" s="2" t="str">
        <f aca="false">IF(P73&lt;1, "BAD", "GOOD")</f>
        <v>BAD</v>
      </c>
    </row>
    <row r="74" customFormat="false" ht="13.5" hidden="false" customHeight="true" outlineLevel="0" collapsed="false">
      <c r="J74" s="79" t="s">
        <v>1132</v>
      </c>
      <c r="M74" s="2" t="str">
        <f aca="false">IFERROR(__xludf.dummyfunction("""COMPUTED_VALUE"""),"HUOB_G22_x2")</f>
        <v>HUOB_G22_x2</v>
      </c>
      <c r="O74" s="2" t="s">
        <v>1138</v>
      </c>
      <c r="P74" s="2" t="n">
        <v>5.55</v>
      </c>
      <c r="Q74" s="2" t="str">
        <f aca="false">IF(P74&lt;1, "BAD", "GOOD")</f>
        <v>GOOD</v>
      </c>
    </row>
    <row r="75" customFormat="false" ht="13.5" hidden="false" customHeight="true" outlineLevel="0" collapsed="false">
      <c r="J75" s="79" t="s">
        <v>1133</v>
      </c>
      <c r="M75" s="2" t="str">
        <f aca="false">IFERROR(__xludf.dummyfunction("""COMPUTED_VALUE"""),"HUOB_G82_x2")</f>
        <v>HUOB_G82_x2</v>
      </c>
      <c r="O75" s="2" t="s">
        <v>1139</v>
      </c>
      <c r="P75" s="2" t="n">
        <v>3.14</v>
      </c>
      <c r="Q75" s="2" t="str">
        <f aca="false">IF(P75&lt;1, "BAD", "GOOD")</f>
        <v>GOOD</v>
      </c>
    </row>
    <row r="76" customFormat="false" ht="13.5" hidden="false" customHeight="true" outlineLevel="0" collapsed="false">
      <c r="J76" s="79" t="s">
        <v>1134</v>
      </c>
      <c r="M76" s="2" t="str">
        <f aca="false">IFERROR(__xludf.dummyfunction("""COMPUTED_VALUE"""),"KNOB_L10_x2")</f>
        <v>KNOB_L10_x2</v>
      </c>
      <c r="O76" s="2" t="s">
        <v>1140</v>
      </c>
      <c r="P76" s="2" t="n">
        <v>0</v>
      </c>
      <c r="Q76" s="2" t="str">
        <f aca="false">IF(P76&lt;1, "BAD", "GOOD")</f>
        <v>BAD</v>
      </c>
    </row>
    <row r="77" customFormat="false" ht="13.5" hidden="false" customHeight="true" outlineLevel="0" collapsed="false">
      <c r="J77" s="79" t="s">
        <v>1136</v>
      </c>
      <c r="M77" s="2" t="str">
        <f aca="false">IFERROR(__xludf.dummyfunction("""COMPUTED_VALUE"""),"KNOB_L5_x2")</f>
        <v>KNOB_L5_x2</v>
      </c>
      <c r="O77" s="2" t="s">
        <v>1141</v>
      </c>
      <c r="P77" s="2" t="n">
        <v>0.382</v>
      </c>
      <c r="Q77" s="2" t="str">
        <f aca="false">IF(P77&lt;1, "BAD", "GOOD")</f>
        <v>BAD</v>
      </c>
    </row>
    <row r="78" customFormat="false" ht="13.5" hidden="false" customHeight="true" outlineLevel="0" collapsed="false">
      <c r="J78" s="79" t="s">
        <v>1137</v>
      </c>
      <c r="M78" s="2" t="str">
        <f aca="false">IFERROR(__xludf.dummyfunction("""COMPUTED_VALUE"""),"KNOB_L209")</f>
        <v>KNOB_L209</v>
      </c>
      <c r="O78" s="2" t="s">
        <v>1207</v>
      </c>
      <c r="P78" s="2" t="n">
        <v>0.398</v>
      </c>
      <c r="Q78" s="2" t="n">
        <v>28.7</v>
      </c>
    </row>
    <row r="79" customFormat="false" ht="13.5" hidden="false" customHeight="true" outlineLevel="0" collapsed="false">
      <c r="J79" s="79" t="s">
        <v>1138</v>
      </c>
      <c r="M79" s="2" t="str">
        <f aca="false">IFERROR(__xludf.dummyfunction("""COMPUTED_VALUE"""),"NFWB_L4_x2")</f>
        <v>NFWB_L4_x2</v>
      </c>
      <c r="O79" s="2" t="s">
        <v>1146</v>
      </c>
      <c r="P79" s="2" t="n">
        <v>1.65</v>
      </c>
      <c r="Q79" s="2" t="str">
        <f aca="false">IF(P79&lt;1, "BAD", "GOOD")</f>
        <v>GOOD</v>
      </c>
    </row>
    <row r="80" customFormat="false" ht="13.5" hidden="false" customHeight="true" outlineLevel="0" collapsed="false">
      <c r="J80" s="79" t="s">
        <v>1139</v>
      </c>
      <c r="M80" s="2" t="str">
        <f aca="false">IFERROR(__xludf.dummyfunction("""COMPUTED_VALUE"""),"NFWB_N2_x2")</f>
        <v>NFWB_N2_x2</v>
      </c>
      <c r="O80" s="2" t="s">
        <v>1147</v>
      </c>
      <c r="P80" s="2" t="n">
        <v>0.493</v>
      </c>
      <c r="Q80" s="2" t="str">
        <f aca="false">IF(P80&lt;1, "BAD", "GOOD")</f>
        <v>BAD</v>
      </c>
    </row>
    <row r="81" customFormat="false" ht="13.5" hidden="false" customHeight="true" outlineLevel="0" collapsed="false">
      <c r="J81" s="79" t="s">
        <v>1140</v>
      </c>
      <c r="M81" s="2" t="str">
        <f aca="false">IFERROR(__xludf.dummyfunction("""COMPUTED_VALUE"""),"NFWB_N3_x2")</f>
        <v>NFWB_N3_x2</v>
      </c>
      <c r="O81" s="2" t="s">
        <v>1148</v>
      </c>
      <c r="P81" s="2" t="n">
        <v>0.275</v>
      </c>
      <c r="Q81" s="2" t="str">
        <f aca="false">IF(P81&lt;1, "BAD", "GOOD")</f>
        <v>BAD</v>
      </c>
    </row>
    <row r="82" customFormat="false" ht="13.5" hidden="false" customHeight="true" outlineLevel="0" collapsed="false">
      <c r="J82" s="79" t="s">
        <v>1141</v>
      </c>
      <c r="M82" s="2" t="str">
        <f aca="false">IFERROR(__xludf.dummyfunction("""COMPUTED_VALUE"""),"NFWB_N206")</f>
        <v>NFWB_N206</v>
      </c>
      <c r="O82" s="2" t="s">
        <v>1208</v>
      </c>
      <c r="P82" s="2" t="n">
        <v>0.787</v>
      </c>
      <c r="Q82" s="2" t="n">
        <v>3.18</v>
      </c>
    </row>
    <row r="83" customFormat="false" ht="13.5" hidden="false" customHeight="true" outlineLevel="0" collapsed="false">
      <c r="J83" s="91" t="s">
        <v>1142</v>
      </c>
      <c r="M83" s="2" t="str">
        <f aca="false">IFERROR(__xludf.dummyfunction("""COMPUTED_VALUE"""),"NFWB_N8_x2")</f>
        <v>NFWB_N8_x2</v>
      </c>
      <c r="O83" s="2" t="s">
        <v>1151</v>
      </c>
      <c r="P83" s="2" t="n">
        <v>0.116</v>
      </c>
      <c r="Q83" s="2" t="str">
        <f aca="false">IF(P83&lt;1, "BAD", "GOOD")</f>
        <v>BAD</v>
      </c>
    </row>
    <row r="84" customFormat="false" ht="13.5" hidden="false" customHeight="true" outlineLevel="0" collapsed="false">
      <c r="J84" s="91" t="s">
        <v>1142</v>
      </c>
      <c r="M84" s="2" t="str">
        <f aca="false">IFERROR(__xludf.dummyfunction("""COMPUTED_VALUE"""),"OPN_L101_x2")</f>
        <v>OPN_L101_x2</v>
      </c>
      <c r="O84" s="2" t="s">
        <v>1152</v>
      </c>
      <c r="P84" s="2" t="n">
        <v>7</v>
      </c>
      <c r="Q84" s="2" t="str">
        <f aca="false">IF(P84&lt;1, "BAD", "GOOD")</f>
        <v>GOOD</v>
      </c>
    </row>
    <row r="85" customFormat="false" ht="13.5" hidden="false" customHeight="true" outlineLevel="0" collapsed="false">
      <c r="J85" s="91" t="s">
        <v>1142</v>
      </c>
      <c r="M85" s="2" t="str">
        <f aca="false">IFERROR(__xludf.dummyfunction("""COMPUTED_VALUE"""),"OPN_L103_x2")</f>
        <v>OPN_L103_x2</v>
      </c>
      <c r="O85" s="2" t="s">
        <v>1153</v>
      </c>
      <c r="P85" s="2" t="n">
        <v>0.503</v>
      </c>
      <c r="Q85" s="2" t="str">
        <f aca="false">IF(P85&lt;1, "BAD", "GOOD")</f>
        <v>BAD</v>
      </c>
    </row>
    <row r="86" customFormat="false" ht="13.5" hidden="false" customHeight="true" outlineLevel="0" collapsed="false">
      <c r="J86" s="79" t="s">
        <v>1146</v>
      </c>
      <c r="M86" s="2" t="str">
        <f aca="false">IFERROR(__xludf.dummyfunction("""COMPUTED_VALUE"""),"OPN_L105_x2")</f>
        <v>OPN_L105_x2</v>
      </c>
      <c r="O86" s="2" t="s">
        <v>1154</v>
      </c>
      <c r="P86" s="2" t="n">
        <v>7.6</v>
      </c>
      <c r="Q86" s="2" t="str">
        <f aca="false">IF(P86&lt;1, "BAD", "GOOD")</f>
        <v>GOOD</v>
      </c>
    </row>
    <row r="87" customFormat="false" ht="13.5" hidden="false" customHeight="true" outlineLevel="0" collapsed="false">
      <c r="J87" s="79" t="s">
        <v>1147</v>
      </c>
      <c r="M87" s="2" t="str">
        <f aca="false">IFERROR(__xludf.dummyfunction("""COMPUTED_VALUE"""),"OPN_L107_x2")</f>
        <v>OPN_L107_x2</v>
      </c>
      <c r="O87" s="2" t="s">
        <v>1155</v>
      </c>
      <c r="P87" s="2" t="n">
        <v>0.853</v>
      </c>
      <c r="Q87" s="2" t="str">
        <f aca="false">IF(P87&lt;1, "BAD", "GOOD")</f>
        <v>BAD</v>
      </c>
    </row>
    <row r="88" customFormat="false" ht="13.5" hidden="false" customHeight="true" outlineLevel="0" collapsed="false">
      <c r="J88" s="79" t="s">
        <v>1148</v>
      </c>
      <c r="M88" s="2" t="str">
        <f aca="false">IFERROR(__xludf.dummyfunction("""COMPUTED_VALUE"""),"SPLB_L2_x2")</f>
        <v>SPLB_L2_x2</v>
      </c>
      <c r="O88" s="2" t="s">
        <v>1156</v>
      </c>
      <c r="P88" s="2" t="n">
        <v>10.4</v>
      </c>
      <c r="Q88" s="2" t="str">
        <f aca="false">IF(P88&lt;1, "BAD", "GOOD")</f>
        <v>GOOD</v>
      </c>
    </row>
    <row r="89" customFormat="false" ht="13.5" hidden="false" customHeight="true" outlineLevel="0" collapsed="false">
      <c r="J89" s="91" t="s">
        <v>1149</v>
      </c>
      <c r="M89" s="2" t="str">
        <f aca="false">IFERROR(__xludf.dummyfunction("""COMPUTED_VALUE"""),"SPLB_L204")</f>
        <v>SPLB_L204</v>
      </c>
      <c r="O89" s="2" t="s">
        <v>1209</v>
      </c>
      <c r="P89" s="2" t="n">
        <v>17</v>
      </c>
      <c r="Q89" s="2" t="n">
        <v>18.9</v>
      </c>
    </row>
    <row r="90" customFormat="false" ht="13.5" hidden="false" customHeight="true" outlineLevel="0" collapsed="false">
      <c r="J90" s="91" t="s">
        <v>1149</v>
      </c>
      <c r="M90" s="2" t="str">
        <f aca="false">IFERROR(__xludf.dummyfunction("""COMPUTED_VALUE"""),"SPLB_L5_x2")</f>
        <v>SPLB_L5_x2</v>
      </c>
      <c r="O90" s="2" t="s">
        <v>1161</v>
      </c>
      <c r="P90" s="2" t="n">
        <v>6.93</v>
      </c>
      <c r="Q90" s="2" t="str">
        <f aca="false">IF(P90&lt;1, "BAD", "GOOD")</f>
        <v>GOOD</v>
      </c>
    </row>
    <row r="91" customFormat="false" ht="13.5" hidden="false" customHeight="true" outlineLevel="0" collapsed="false">
      <c r="J91" s="91" t="s">
        <v>1149</v>
      </c>
      <c r="M91" s="2" t="str">
        <f aca="false">IFERROR(__xludf.dummyfunction("""COMPUTED_VALUE"""),"SPLB_L6_x2")</f>
        <v>SPLB_L6_x2</v>
      </c>
      <c r="O91" s="2" t="s">
        <v>1162</v>
      </c>
      <c r="P91" s="2" t="n">
        <v>0.371</v>
      </c>
      <c r="Q91" s="2" t="str">
        <f aca="false">IF(P91&lt;1, "BAD", "GOOD")</f>
        <v>BAD</v>
      </c>
    </row>
    <row r="92" customFormat="false" ht="13.5" hidden="false" customHeight="true" outlineLevel="0" collapsed="false">
      <c r="J92" s="79" t="s">
        <v>1151</v>
      </c>
      <c r="M92" s="2" t="str">
        <f aca="false">IFERROR(__xludf.dummyfunction("""COMPUTED_VALUE"""),"TRTZ_L201")</f>
        <v>TRTZ_L201</v>
      </c>
      <c r="O92" s="2" t="s">
        <v>1210</v>
      </c>
      <c r="P92" s="2" t="n">
        <v>11.1</v>
      </c>
      <c r="Q92" s="2" t="n">
        <v>25.1</v>
      </c>
    </row>
    <row r="93" customFormat="false" ht="13.5" hidden="false" customHeight="true" outlineLevel="0" collapsed="false">
      <c r="J93" s="79" t="s">
        <v>1152</v>
      </c>
      <c r="M93" s="2" t="str">
        <f aca="false">IFERROR(__xludf.dummyfunction("""COMPUTED_VALUE"""),"TRTZ_L204")</f>
        <v>TRTZ_L204</v>
      </c>
      <c r="O93" s="2" t="s">
        <v>1211</v>
      </c>
      <c r="P93" s="2" t="n">
        <v>18.9</v>
      </c>
      <c r="Q93" s="2" t="n">
        <v>9.64</v>
      </c>
    </row>
    <row r="94" customFormat="false" ht="13.5" hidden="false" customHeight="true" outlineLevel="0" collapsed="false">
      <c r="J94" s="79" t="s">
        <v>1153</v>
      </c>
      <c r="M94" s="2" t="str">
        <f aca="false">IFERROR(__xludf.dummyfunction("""COMPUTED_VALUE"""),"TRT_L6_x2")</f>
        <v>TRT_L6_x2</v>
      </c>
      <c r="O94" s="2" t="s">
        <v>1167</v>
      </c>
      <c r="P94" s="2" t="n">
        <v>1.31</v>
      </c>
      <c r="Q94" s="2" t="str">
        <f aca="false">IF(P94&lt;1, "BAD", "GOOD")</f>
        <v>GOOD</v>
      </c>
    </row>
    <row r="95" customFormat="false" ht="13.5" hidden="false" customHeight="true" outlineLevel="0" collapsed="false">
      <c r="J95" s="79" t="s">
        <v>1154</v>
      </c>
      <c r="M95" s="2" t="str">
        <f aca="false">IFERROR(__xludf.dummyfunction("""COMPUTED_VALUE"""),"TWGB_G1_x2")</f>
        <v>TWGB_G1_x2</v>
      </c>
      <c r="O95" s="2" t="s">
        <v>1168</v>
      </c>
      <c r="P95" s="2" t="n">
        <v>0.449</v>
      </c>
      <c r="Q95" s="2" t="str">
        <f aca="false">IF(P95&lt;1, "BAD", "GOOD")</f>
        <v>BAD</v>
      </c>
    </row>
    <row r="96" customFormat="false" ht="13.5" hidden="false" customHeight="true" outlineLevel="0" collapsed="false">
      <c r="J96" s="79" t="s">
        <v>1155</v>
      </c>
      <c r="M96" s="2" t="str">
        <f aca="false">IFERROR(__xludf.dummyfunction("""COMPUTED_VALUE"""),"WCFB_G5_x2")</f>
        <v>WCFB_G5_x2</v>
      </c>
      <c r="O96" s="2" t="s">
        <v>1169</v>
      </c>
      <c r="P96" s="2" t="n">
        <v>14.5</v>
      </c>
      <c r="Q96" s="2" t="str">
        <f aca="false">IF(P96&lt;1, "BAD", "GOOD")</f>
        <v>GOOD</v>
      </c>
    </row>
    <row r="97" customFormat="false" ht="13.5" hidden="false" customHeight="true" outlineLevel="0" collapsed="false">
      <c r="J97" s="79" t="s">
        <v>1156</v>
      </c>
      <c r="M97" s="2" t="str">
        <f aca="false">IFERROR(__xludf.dummyfunction("""COMPUTED_VALUE"""),"WCFB_G6_x2")</f>
        <v>WCFB_G6_x2</v>
      </c>
      <c r="O97" s="2" t="s">
        <v>1170</v>
      </c>
      <c r="P97" s="2" t="n">
        <v>10.5</v>
      </c>
      <c r="Q97" s="2" t="str">
        <f aca="false">IF(P97&lt;1, "BAD", "GOOD")</f>
        <v>GOOD</v>
      </c>
    </row>
    <row r="98" customFormat="false" ht="13.5" hidden="false" customHeight="true" outlineLevel="0" collapsed="false">
      <c r="J98" s="91" t="s">
        <v>1157</v>
      </c>
      <c r="M98" s="2" t="str">
        <f aca="false">IFERROR(__xludf.dummyfunction("""COMPUTED_VALUE"""),"WCFB_G208")</f>
        <v>WCFB_G208</v>
      </c>
      <c r="O98" s="2" t="s">
        <v>1212</v>
      </c>
      <c r="P98" s="2" t="n">
        <v>7.93</v>
      </c>
      <c r="Q98" s="2" t="n">
        <v>11.2</v>
      </c>
    </row>
    <row r="99" customFormat="false" ht="13.5" hidden="false" customHeight="true" outlineLevel="0" collapsed="false">
      <c r="J99" s="91" t="s">
        <v>1157</v>
      </c>
      <c r="M99" s="2" t="str">
        <f aca="false">IFERROR(__xludf.dummyfunction("""COMPUTED_VALUE"""),"WCFB_G9_x2")</f>
        <v>WCFB_G9_x2</v>
      </c>
      <c r="O99" s="2" t="s">
        <v>1173</v>
      </c>
      <c r="P99" s="2" t="n">
        <v>10.5</v>
      </c>
      <c r="Q99" s="2" t="str">
        <f aca="false">IF(P99&lt;1, "BAD", "GOOD")</f>
        <v>GOOD</v>
      </c>
    </row>
    <row r="100" customFormat="false" ht="13.5" hidden="false" customHeight="true" outlineLevel="0" collapsed="false">
      <c r="J100" s="91" t="s">
        <v>1157</v>
      </c>
      <c r="M100" s="2" t="str">
        <f aca="false">IFERROR(__xludf.dummyfunction("""COMPUTED_VALUE"""),"WCFB_L4_x2")</f>
        <v>WCFB_L4_x2</v>
      </c>
      <c r="O100" s="2" t="s">
        <v>1174</v>
      </c>
      <c r="P100" s="2" t="n">
        <v>2.72</v>
      </c>
      <c r="Q100" s="2" t="str">
        <f aca="false">IF(P100&lt;1, "BAD", "GOOD")</f>
        <v>GOOD</v>
      </c>
    </row>
    <row r="101" customFormat="false" ht="13.5" hidden="false" customHeight="true" outlineLevel="0" collapsed="false">
      <c r="J101" s="79" t="s">
        <v>1161</v>
      </c>
      <c r="M101" s="2" t="str">
        <f aca="false">IFERROR(__xludf.dummyfunction("""COMPUTED_VALUE"""),"WSHB_G10_x2")</f>
        <v>WSHB_G10_x2</v>
      </c>
      <c r="O101" s="2" t="s">
        <v>1175</v>
      </c>
      <c r="P101" s="2" t="n">
        <v>2.43</v>
      </c>
      <c r="Q101" s="2" t="str">
        <f aca="false">IF(P101&lt;1, "BAD", "GOOD")</f>
        <v>GOOD</v>
      </c>
    </row>
    <row r="102" customFormat="false" ht="13.5" hidden="false" customHeight="true" outlineLevel="0" collapsed="false">
      <c r="J102" s="79" t="s">
        <v>1162</v>
      </c>
      <c r="M102" s="2" t="str">
        <f aca="false">IFERROR(__xludf.dummyfunction("""COMPUTED_VALUE"""),"WCFB_G211")</f>
        <v>WCFB_G211</v>
      </c>
      <c r="O102" s="2" t="s">
        <v>1213</v>
      </c>
      <c r="P102" s="2" t="s">
        <v>1214</v>
      </c>
      <c r="Q102" s="2" t="n">
        <v>4.27</v>
      </c>
    </row>
    <row r="103" customFormat="false" ht="13.5" hidden="false" customHeight="true" outlineLevel="0" collapsed="false">
      <c r="J103" s="79" t="s">
        <v>1111</v>
      </c>
      <c r="M103" s="2" t="str">
        <f aca="false">IFERROR(__xludf.dummyfunction("""COMPUTED_VALUE"""),"WSHB_G2_x2")</f>
        <v>WSHB_G2_x2</v>
      </c>
      <c r="O103" s="2" t="s">
        <v>1178</v>
      </c>
      <c r="P103" s="2" t="n">
        <v>1.74</v>
      </c>
      <c r="Q103" s="2" t="str">
        <f aca="false">IF(P103&lt;1, "BAD", "GOOD")</f>
        <v>GOOD</v>
      </c>
    </row>
    <row r="104" customFormat="false" ht="13.5" hidden="false" customHeight="true" outlineLevel="0" collapsed="false">
      <c r="J104" s="79" t="s">
        <v>1112</v>
      </c>
      <c r="M104" s="2" t="str">
        <f aca="false">IFERROR(__xludf.dummyfunction("""COMPUTED_VALUE"""),"WSHB_G3_x2")</f>
        <v>WSHB_G3_x2</v>
      </c>
      <c r="O104" s="2" t="s">
        <v>1179</v>
      </c>
      <c r="P104" s="2" t="n">
        <v>2.27</v>
      </c>
      <c r="Q104" s="2" t="str">
        <f aca="false">IF(P104&lt;1, "BAD", "GOOD")</f>
        <v>GOOD</v>
      </c>
    </row>
    <row r="105" customFormat="false" ht="13.5" hidden="false" customHeight="true" outlineLevel="0" collapsed="false">
      <c r="J105" s="91" t="s">
        <v>1163</v>
      </c>
      <c r="M105" s="2" t="str">
        <f aca="false">IFERROR(__xludf.dummyfunction("""COMPUTED_VALUE"""),"WSHB_G4_x2")</f>
        <v>WSHB_G4_x2</v>
      </c>
      <c r="O105" s="2" t="s">
        <v>1180</v>
      </c>
      <c r="P105" s="2" t="n">
        <v>0.235</v>
      </c>
      <c r="Q105" s="2" t="str">
        <f aca="false">IF(P105&lt;1, "BAD", "GOOD")</f>
        <v>BAD</v>
      </c>
    </row>
    <row r="106" customFormat="false" ht="13.5" hidden="false" customHeight="true" outlineLevel="0" collapsed="false">
      <c r="J106" s="91" t="s">
        <v>1163</v>
      </c>
      <c r="M106" s="2" t="str">
        <f aca="false">IFERROR(__xludf.dummyfunction("""COMPUTED_VALUE"""),"WSHB_G5_B_x2")</f>
        <v>WSHB_G5_B_x2</v>
      </c>
      <c r="O106" s="2" t="s">
        <v>1215</v>
      </c>
      <c r="P106" s="2" t="n">
        <v>4.99</v>
      </c>
      <c r="Q106" s="2" t="n">
        <v>11.1</v>
      </c>
    </row>
    <row r="107" customFormat="false" ht="13.5" hidden="false" customHeight="true" outlineLevel="0" collapsed="false">
      <c r="J107" s="91" t="s">
        <v>1163</v>
      </c>
      <c r="M107" s="2" t="str">
        <f aca="false">IFERROR(__xludf.dummyfunction("""COMPUTED_VALUE"""),"WSHB_G5_x2")</f>
        <v>WSHB_G5_x2</v>
      </c>
      <c r="O107" s="2" t="s">
        <v>1185</v>
      </c>
      <c r="P107" s="2" t="n">
        <v>4.99</v>
      </c>
      <c r="Q107" s="2" t="str">
        <f aca="false">IF(P107&lt;1, "BAD", "GOOD")</f>
        <v>GOOD</v>
      </c>
    </row>
    <row r="108" customFormat="false" ht="13.5" hidden="false" customHeight="true" outlineLevel="0" collapsed="false">
      <c r="J108" s="91" t="s">
        <v>1165</v>
      </c>
      <c r="M108" s="2" t="str">
        <f aca="false">IFERROR(__xludf.dummyfunction("""COMPUTED_VALUE"""),"WSHB_G6_x2")</f>
        <v>WSHB_G6_x2</v>
      </c>
      <c r="O108" s="2" t="s">
        <v>1186</v>
      </c>
      <c r="P108" s="2" t="n">
        <v>2.77</v>
      </c>
      <c r="Q108" s="2" t="str">
        <f aca="false">IF(P108&lt;1, "BAD", "GOOD")</f>
        <v>GOOD</v>
      </c>
    </row>
    <row r="109" customFormat="false" ht="13.5" hidden="false" customHeight="true" outlineLevel="0" collapsed="false">
      <c r="J109" s="91" t="s">
        <v>1165</v>
      </c>
      <c r="M109" s="2" t="str">
        <f aca="false">IFERROR(__xludf.dummyfunction("""COMPUTED_VALUE"""),"WSHB_G7_x2")</f>
        <v>WSHB_G7_x2</v>
      </c>
      <c r="O109" s="2" t="s">
        <v>1187</v>
      </c>
      <c r="P109" s="2" t="n">
        <v>2.17</v>
      </c>
      <c r="Q109" s="2" t="str">
        <f aca="false">IF(P109&lt;1, "BAD", "GOOD")</f>
        <v>GOOD</v>
      </c>
    </row>
    <row r="110" customFormat="false" ht="13.5" hidden="false" customHeight="true" outlineLevel="0" collapsed="false">
      <c r="J110" s="91" t="s">
        <v>1165</v>
      </c>
      <c r="M110" s="2" t="str">
        <f aca="false">IFERROR(__xludf.dummyfunction("""COMPUTED_VALUE"""),"WSHB_G8_x2")</f>
        <v>WSHB_G8_x2</v>
      </c>
      <c r="O110" s="2" t="s">
        <v>1188</v>
      </c>
      <c r="P110" s="2" t="n">
        <v>1.76</v>
      </c>
      <c r="Q110" s="2" t="str">
        <f aca="false">IF(P110&lt;1, "BAD", "GOOD")</f>
        <v>GOOD</v>
      </c>
    </row>
    <row r="111" customFormat="false" ht="13.5" hidden="false" customHeight="true" outlineLevel="0" collapsed="false">
      <c r="J111" s="79" t="s">
        <v>1167</v>
      </c>
      <c r="M111" s="2" t="str">
        <f aca="false">IFERROR(__xludf.dummyfunction("""COMPUTED_VALUE"""),"WSHB_G9_x2")</f>
        <v>WSHB_G9_x2</v>
      </c>
      <c r="O111" s="2" t="s">
        <v>1189</v>
      </c>
      <c r="P111" s="2" t="n">
        <v>3.51</v>
      </c>
      <c r="Q111" s="2" t="str">
        <f aca="false">IF(P111&lt;1, "BAD", "GOOD")</f>
        <v>GOOD</v>
      </c>
    </row>
    <row r="112" customFormat="false" ht="13.5" hidden="false" customHeight="true" outlineLevel="0" collapsed="false">
      <c r="J112" s="79" t="s">
        <v>1168</v>
      </c>
      <c r="M112" s="2" t="str">
        <f aca="false">IFERROR(__xludf.dummyfunction("""COMPUTED_VALUE"""),"BHEB_N8_#2")</f>
        <v>BHEB_N8_#2</v>
      </c>
      <c r="O112" s="2" t="s">
        <v>1190</v>
      </c>
      <c r="P112" s="2" t="n">
        <v>12.6</v>
      </c>
      <c r="Q112" s="2" t="n">
        <v>7.6</v>
      </c>
    </row>
    <row r="113" customFormat="false" ht="13.5" hidden="false" customHeight="true" outlineLevel="0" collapsed="false">
      <c r="J113" s="79" t="s">
        <v>1169</v>
      </c>
    </row>
    <row r="114" customFormat="false" ht="13.5" hidden="false" customHeight="true" outlineLevel="0" collapsed="false">
      <c r="J114" s="79" t="s">
        <v>1170</v>
      </c>
    </row>
    <row r="115" customFormat="false" ht="13.5" hidden="false" customHeight="true" outlineLevel="0" collapsed="false">
      <c r="J115" s="91" t="s">
        <v>1171</v>
      </c>
    </row>
    <row r="116" customFormat="false" ht="13.5" hidden="false" customHeight="true" outlineLevel="0" collapsed="false">
      <c r="J116" s="91" t="s">
        <v>1171</v>
      </c>
    </row>
    <row r="117" customFormat="false" ht="13.5" hidden="false" customHeight="true" outlineLevel="0" collapsed="false">
      <c r="J117" s="91" t="s">
        <v>1171</v>
      </c>
    </row>
    <row r="118" customFormat="false" ht="13.5" hidden="false" customHeight="true" outlineLevel="0" collapsed="false">
      <c r="J118" s="79" t="s">
        <v>1173</v>
      </c>
    </row>
    <row r="119" customFormat="false" ht="13.5" hidden="false" customHeight="true" outlineLevel="0" collapsed="false">
      <c r="J119" s="79" t="s">
        <v>1174</v>
      </c>
    </row>
    <row r="120" customFormat="false" ht="13.5" hidden="false" customHeight="true" outlineLevel="0" collapsed="false">
      <c r="J120" s="79" t="s">
        <v>1175</v>
      </c>
    </row>
    <row r="121" customFormat="false" ht="13.5" hidden="false" customHeight="true" outlineLevel="0" collapsed="false">
      <c r="J121" s="91" t="s">
        <v>1176</v>
      </c>
    </row>
    <row r="122" customFormat="false" ht="13.5" hidden="false" customHeight="true" outlineLevel="0" collapsed="false">
      <c r="J122" s="91" t="s">
        <v>1176</v>
      </c>
    </row>
    <row r="123" customFormat="false" ht="13.5" hidden="false" customHeight="true" outlineLevel="0" collapsed="false">
      <c r="J123" s="91" t="s">
        <v>1176</v>
      </c>
    </row>
    <row r="124" customFormat="false" ht="13.5" hidden="false" customHeight="true" outlineLevel="0" collapsed="false">
      <c r="J124" s="79" t="s">
        <v>1178</v>
      </c>
    </row>
    <row r="125" customFormat="false" ht="13.5" hidden="false" customHeight="true" outlineLevel="0" collapsed="false">
      <c r="J125" s="79" t="s">
        <v>1179</v>
      </c>
    </row>
    <row r="126" customFormat="false" ht="13.5" hidden="false" customHeight="true" outlineLevel="0" collapsed="false">
      <c r="J126" s="79" t="s">
        <v>1179</v>
      </c>
    </row>
    <row r="127" customFormat="false" ht="13.5" hidden="false" customHeight="true" outlineLevel="0" collapsed="false">
      <c r="J127" s="79" t="s">
        <v>1179</v>
      </c>
    </row>
    <row r="128" customFormat="false" ht="13.5" hidden="false" customHeight="true" outlineLevel="0" collapsed="false">
      <c r="J128" s="79" t="s">
        <v>1180</v>
      </c>
    </row>
    <row r="129" customFormat="false" ht="13.5" hidden="false" customHeight="true" outlineLevel="0" collapsed="false">
      <c r="J129" s="79" t="s">
        <v>1215</v>
      </c>
    </row>
    <row r="130" customFormat="false" ht="13.5" hidden="false" customHeight="true" outlineLevel="0" collapsed="false">
      <c r="J130" s="79" t="s">
        <v>1215</v>
      </c>
    </row>
    <row r="131" customFormat="false" ht="13.5" hidden="false" customHeight="true" outlineLevel="0" collapsed="false">
      <c r="J131" s="79" t="s">
        <v>1215</v>
      </c>
    </row>
    <row r="132" customFormat="false" ht="13.5" hidden="false" customHeight="true" outlineLevel="0" collapsed="false">
      <c r="J132" s="79" t="s">
        <v>1185</v>
      </c>
    </row>
    <row r="133" customFormat="false" ht="13.5" hidden="false" customHeight="true" outlineLevel="0" collapsed="false">
      <c r="J133" s="79" t="s">
        <v>1186</v>
      </c>
    </row>
    <row r="134" customFormat="false" ht="13.5" hidden="false" customHeight="true" outlineLevel="0" collapsed="false">
      <c r="J134" s="79" t="s">
        <v>1187</v>
      </c>
    </row>
    <row r="135" customFormat="false" ht="13.5" hidden="false" customHeight="true" outlineLevel="0" collapsed="false">
      <c r="J135" s="79" t="s">
        <v>1188</v>
      </c>
    </row>
    <row r="136" customFormat="false" ht="13.5" hidden="false" customHeight="true" outlineLevel="0" collapsed="false">
      <c r="J136" s="79" t="s">
        <v>1189</v>
      </c>
    </row>
    <row r="137" customFormat="false" ht="13.5" hidden="false" customHeight="true" outlineLevel="0" collapsed="false">
      <c r="J137" s="79" t="s">
        <v>1190</v>
      </c>
    </row>
    <row r="138" customFormat="false" ht="13.5" hidden="false" customHeight="true" outlineLevel="0" collapsed="false">
      <c r="J138" s="79" t="s">
        <v>1190</v>
      </c>
    </row>
    <row r="139" customFormat="false" ht="13.5" hidden="false" customHeight="true" outlineLevel="0" collapsed="false">
      <c r="J139" s="79" t="s">
        <v>1190</v>
      </c>
    </row>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conditionalFormatting sqref="P1:P112">
    <cfRule type="colorScale" priority="2">
      <colorScale>
        <cfvo type="min" val="0"/>
        <cfvo type="percentile" val="50"/>
        <cfvo type="max" val="0"/>
        <color rgb="FFF8696B"/>
        <color rgb="FFFCFCFF"/>
        <color rgb="FF5A8AC6"/>
      </colorScale>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L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2.6328125" defaultRowHeight="14.25" customHeight="true" zeroHeight="false" outlineLevelRow="0" outlineLevelCol="0"/>
  <cols>
    <col collapsed="false" customWidth="true" hidden="false" outlineLevel="0" max="1" min="1" style="1" width="14.91"/>
    <col collapsed="false" customWidth="true" hidden="false" outlineLevel="0" max="2" min="2" style="1" width="11.73"/>
    <col collapsed="false" customWidth="true" hidden="true" outlineLevel="0" max="4" min="4" style="1" width="45"/>
    <col collapsed="false" customWidth="true" hidden="false" outlineLevel="0" max="5" min="5" style="1" width="10.73"/>
    <col collapsed="false" customWidth="true" hidden="false" outlineLevel="0" max="7" min="7" style="1" width="13.73"/>
    <col collapsed="false" customWidth="true" hidden="false" outlineLevel="0" max="8" min="8" style="1" width="18"/>
    <col collapsed="false" customWidth="true" hidden="false" outlineLevel="0" max="9" min="9" style="1" width="15.45"/>
    <col collapsed="false" customWidth="true" hidden="false" outlineLevel="0" max="11" min="11" style="1" width="14.27"/>
  </cols>
  <sheetData>
    <row r="1" customFormat="false" ht="14.25" hidden="false" customHeight="false" outlineLevel="0" collapsed="false">
      <c r="A1" s="56" t="s">
        <v>14</v>
      </c>
      <c r="B1" s="56" t="s">
        <v>1216</v>
      </c>
      <c r="C1" s="56" t="s">
        <v>1217</v>
      </c>
      <c r="D1" s="56" t="s">
        <v>1218</v>
      </c>
      <c r="E1" s="56" t="s">
        <v>1219</v>
      </c>
      <c r="F1" s="114" t="s">
        <v>1220</v>
      </c>
      <c r="G1" s="114" t="s">
        <v>1221</v>
      </c>
      <c r="H1" s="114" t="s">
        <v>1222</v>
      </c>
      <c r="I1" s="114" t="s">
        <v>26</v>
      </c>
      <c r="J1" s="114" t="s">
        <v>27</v>
      </c>
      <c r="K1" s="114" t="s">
        <v>28</v>
      </c>
      <c r="L1" s="114" t="s">
        <v>25</v>
      </c>
    </row>
    <row r="2" customFormat="false" ht="14.25" hidden="false" customHeight="false" outlineLevel="0" collapsed="false">
      <c r="A2" s="2" t="s">
        <v>1223</v>
      </c>
      <c r="B2" s="2" t="s">
        <v>1224</v>
      </c>
      <c r="C2" s="2"/>
      <c r="D2" s="2"/>
      <c r="E2" s="2"/>
      <c r="F2" s="18" t="s">
        <v>1225</v>
      </c>
    </row>
    <row r="3" customFormat="false" ht="14.25" hidden="false" customHeight="false" outlineLevel="0" collapsed="false">
      <c r="A3" s="2" t="s">
        <v>1226</v>
      </c>
      <c r="B3" s="2" t="s">
        <v>1224</v>
      </c>
      <c r="C3" s="2"/>
      <c r="D3" s="2"/>
      <c r="E3" s="2"/>
      <c r="F3" s="18" t="s">
        <v>1225</v>
      </c>
    </row>
    <row r="4" customFormat="false" ht="14.25" hidden="false" customHeight="false" outlineLevel="0" collapsed="false">
      <c r="A4" s="2" t="s">
        <v>1227</v>
      </c>
      <c r="B4" s="2" t="s">
        <v>1224</v>
      </c>
      <c r="C4" s="2"/>
      <c r="D4" s="2"/>
      <c r="E4" s="2"/>
      <c r="F4" s="18" t="s">
        <v>1225</v>
      </c>
    </row>
    <row r="5" customFormat="false" ht="14.25" hidden="false" customHeight="false" outlineLevel="0" collapsed="false">
      <c r="A5" s="2" t="s">
        <v>1228</v>
      </c>
      <c r="B5" s="2" t="s">
        <v>1224</v>
      </c>
      <c r="C5" s="2"/>
      <c r="D5" s="2"/>
      <c r="E5" s="2"/>
      <c r="F5" s="18" t="s">
        <v>1225</v>
      </c>
    </row>
    <row r="6" customFormat="false" ht="14.25" hidden="false" customHeight="false" outlineLevel="0" collapsed="false">
      <c r="A6" s="2" t="s">
        <v>1229</v>
      </c>
      <c r="B6" s="2" t="s">
        <v>1224</v>
      </c>
      <c r="C6" s="2"/>
      <c r="D6" s="2"/>
      <c r="E6" s="2"/>
      <c r="F6" s="18" t="s">
        <v>1225</v>
      </c>
    </row>
    <row r="7" customFormat="false" ht="14.25" hidden="false" customHeight="false" outlineLevel="0" collapsed="false">
      <c r="A7" s="2" t="s">
        <v>1230</v>
      </c>
      <c r="B7" s="2" t="s">
        <v>1224</v>
      </c>
      <c r="C7" s="2"/>
      <c r="D7" s="2"/>
      <c r="E7" s="2"/>
      <c r="F7" s="18" t="s">
        <v>1225</v>
      </c>
    </row>
    <row r="8" customFormat="false" ht="14.25" hidden="false" customHeight="false" outlineLevel="0" collapsed="false">
      <c r="A8" s="2" t="s">
        <v>1231</v>
      </c>
      <c r="B8" s="2" t="s">
        <v>1224</v>
      </c>
      <c r="C8" s="2"/>
      <c r="D8" s="2"/>
      <c r="E8" s="2"/>
      <c r="F8" s="18" t="s">
        <v>1225</v>
      </c>
    </row>
    <row r="9" customFormat="false" ht="14.25" hidden="false" customHeight="false" outlineLevel="0" collapsed="false">
      <c r="A9" s="2" t="s">
        <v>1232</v>
      </c>
      <c r="B9" s="2" t="s">
        <v>981</v>
      </c>
      <c r="C9" s="2" t="s">
        <v>1233</v>
      </c>
      <c r="D9" s="2" t="s">
        <v>1234</v>
      </c>
      <c r="E9" s="2" t="s">
        <v>1235</v>
      </c>
      <c r="F9" s="18" t="s">
        <v>1236</v>
      </c>
      <c r="G9" s="18" t="s">
        <v>1235</v>
      </c>
      <c r="H9" s="18" t="s">
        <v>1235</v>
      </c>
    </row>
    <row r="10" customFormat="false" ht="14.25" hidden="false" customHeight="false" outlineLevel="0" collapsed="false">
      <c r="A10" s="2" t="s">
        <v>1237</v>
      </c>
      <c r="B10" s="2" t="s">
        <v>1224</v>
      </c>
      <c r="C10" s="2"/>
      <c r="D10" s="2"/>
      <c r="E10" s="2"/>
      <c r="F10" s="18" t="s">
        <v>1225</v>
      </c>
    </row>
    <row r="11" customFormat="false" ht="14.25" hidden="false" customHeight="true" outlineLevel="0" collapsed="false">
      <c r="A11" s="2" t="s">
        <v>1238</v>
      </c>
      <c r="B11" s="2" t="s">
        <v>1224</v>
      </c>
      <c r="C11" s="2" t="s">
        <v>1239</v>
      </c>
      <c r="D11" s="2"/>
      <c r="E11" s="2"/>
      <c r="F11" s="18" t="s">
        <v>1235</v>
      </c>
    </row>
    <row r="12" customFormat="false" ht="14.25" hidden="false" customHeight="false" outlineLevel="0" collapsed="false">
      <c r="A12" s="2" t="s">
        <v>1240</v>
      </c>
      <c r="B12" s="2" t="s">
        <v>981</v>
      </c>
      <c r="C12" s="2" t="s">
        <v>1241</v>
      </c>
      <c r="D12" s="2" t="s">
        <v>1242</v>
      </c>
      <c r="E12" s="2" t="s">
        <v>1235</v>
      </c>
      <c r="F12" s="18" t="s">
        <v>1243</v>
      </c>
      <c r="G12" s="18" t="s">
        <v>1244</v>
      </c>
      <c r="H12" s="18" t="s">
        <v>1244</v>
      </c>
      <c r="I12" s="18" t="n">
        <v>4905717</v>
      </c>
      <c r="J12" s="18" t="n">
        <v>4908648</v>
      </c>
      <c r="K12" s="18" t="n">
        <f aca="false">(J12-I12)/J12</f>
        <v>0.000597109428095068</v>
      </c>
    </row>
    <row r="13" customFormat="false" ht="14.25" hidden="false" customHeight="false" outlineLevel="0" collapsed="false">
      <c r="A13" s="2" t="s">
        <v>1245</v>
      </c>
      <c r="B13" s="2" t="s">
        <v>1224</v>
      </c>
      <c r="C13" s="2" t="s">
        <v>958</v>
      </c>
      <c r="D13" s="2" t="s">
        <v>1242</v>
      </c>
      <c r="E13" s="2" t="s">
        <v>1235</v>
      </c>
      <c r="F13" s="18" t="s">
        <v>1246</v>
      </c>
      <c r="G13" s="18" t="s">
        <v>1247</v>
      </c>
      <c r="H13" s="18" t="s">
        <v>1247</v>
      </c>
    </row>
    <row r="14" customFormat="false" ht="14.25" hidden="false" customHeight="false" outlineLevel="0" collapsed="false">
      <c r="A14" s="2" t="s">
        <v>1248</v>
      </c>
      <c r="B14" s="2" t="s">
        <v>1224</v>
      </c>
      <c r="C14" s="2"/>
      <c r="D14" s="2" t="s">
        <v>1249</v>
      </c>
      <c r="E14" s="2"/>
      <c r="F14" s="18" t="s">
        <v>1225</v>
      </c>
    </row>
    <row r="15" customFormat="false" ht="14.25" hidden="false" customHeight="false" outlineLevel="0" collapsed="false">
      <c r="A15" s="2" t="s">
        <v>1250</v>
      </c>
      <c r="B15" s="2" t="s">
        <v>1224</v>
      </c>
      <c r="C15" s="2" t="s">
        <v>1239</v>
      </c>
      <c r="D15" s="2"/>
      <c r="E15" s="2" t="s">
        <v>1235</v>
      </c>
      <c r="F15" s="18" t="s">
        <v>1235</v>
      </c>
    </row>
    <row r="16" customFormat="false" ht="14.25" hidden="false" customHeight="false" outlineLevel="0" collapsed="false">
      <c r="A16" s="2" t="s">
        <v>1251</v>
      </c>
      <c r="B16" s="2" t="s">
        <v>981</v>
      </c>
      <c r="C16" s="2" t="s">
        <v>1239</v>
      </c>
      <c r="D16" s="2"/>
      <c r="E16" s="2" t="s">
        <v>1235</v>
      </c>
      <c r="F16" s="18" t="s">
        <v>1235</v>
      </c>
    </row>
    <row r="17" customFormat="false" ht="14.25" hidden="false" customHeight="false" outlineLevel="0" collapsed="false">
      <c r="A17" s="2" t="s">
        <v>1252</v>
      </c>
      <c r="B17" s="2" t="s">
        <v>981</v>
      </c>
      <c r="C17" s="2" t="s">
        <v>1239</v>
      </c>
      <c r="D17" s="2" t="s">
        <v>1253</v>
      </c>
      <c r="E17" s="2"/>
      <c r="F17" s="18" t="s">
        <v>1236</v>
      </c>
      <c r="I17" s="18" t="n">
        <v>1414792</v>
      </c>
      <c r="J17" s="18" t="n">
        <v>1415569</v>
      </c>
    </row>
    <row r="18" customFormat="false" ht="14.25" hidden="false" customHeight="false" outlineLevel="0" collapsed="false">
      <c r="A18" s="2" t="s">
        <v>1254</v>
      </c>
      <c r="B18" s="2" t="s">
        <v>981</v>
      </c>
      <c r="C18" s="2" t="s">
        <v>1239</v>
      </c>
      <c r="D18" s="2" t="s">
        <v>1255</v>
      </c>
      <c r="E18" s="2" t="s">
        <v>1235</v>
      </c>
      <c r="F18" s="18" t="s">
        <v>1256</v>
      </c>
      <c r="G18" s="18" t="s">
        <v>1257</v>
      </c>
      <c r="H18" s="18" t="s">
        <v>1258</v>
      </c>
    </row>
    <row r="19" customFormat="false" ht="14.25" hidden="false" customHeight="false" outlineLevel="0" collapsed="false">
      <c r="A19" s="2" t="s">
        <v>1259</v>
      </c>
      <c r="B19" s="2" t="s">
        <v>1224</v>
      </c>
      <c r="C19" s="2" t="s">
        <v>1239</v>
      </c>
      <c r="D19" s="2" t="s">
        <v>1253</v>
      </c>
      <c r="E19" s="2"/>
      <c r="F19" s="18" t="s">
        <v>1236</v>
      </c>
    </row>
    <row r="20" customFormat="false" ht="14.25" hidden="false" customHeight="false" outlineLevel="0" collapsed="false">
      <c r="A20" s="2" t="s">
        <v>1260</v>
      </c>
      <c r="B20" s="2" t="s">
        <v>981</v>
      </c>
      <c r="C20" s="2" t="s">
        <v>1239</v>
      </c>
      <c r="D20" s="2" t="s">
        <v>1261</v>
      </c>
      <c r="E20" s="2"/>
      <c r="F20" s="18" t="s">
        <v>1236</v>
      </c>
      <c r="G20" s="18" t="s">
        <v>1235</v>
      </c>
      <c r="H20" s="18" t="s">
        <v>1235</v>
      </c>
    </row>
    <row r="21" customFormat="false" ht="15.75" hidden="false" customHeight="true" outlineLevel="0" collapsed="false">
      <c r="A21" s="2" t="s">
        <v>1262</v>
      </c>
      <c r="B21" s="2" t="s">
        <v>1224</v>
      </c>
      <c r="C21" s="2"/>
      <c r="D21" s="2"/>
      <c r="E21" s="2"/>
      <c r="F21" s="18" t="s">
        <v>1225</v>
      </c>
    </row>
    <row r="22" customFormat="false" ht="15.75" hidden="false" customHeight="true" outlineLevel="0" collapsed="false">
      <c r="A22" s="2" t="s">
        <v>1263</v>
      </c>
      <c r="B22" s="2" t="s">
        <v>1224</v>
      </c>
      <c r="C22" s="2" t="s">
        <v>1241</v>
      </c>
      <c r="D22" s="2" t="s">
        <v>1264</v>
      </c>
      <c r="E22" s="2" t="s">
        <v>1235</v>
      </c>
      <c r="F22" s="18" t="s">
        <v>1243</v>
      </c>
      <c r="G22" s="18" t="s">
        <v>1247</v>
      </c>
      <c r="H22" s="18" t="s">
        <v>1247</v>
      </c>
      <c r="I22" s="18" t="n">
        <v>1072217</v>
      </c>
      <c r="J22" s="18" t="n">
        <v>1088004</v>
      </c>
      <c r="K22" s="18" t="n">
        <f aca="false">(J22-I22)/J22</f>
        <v>0.01451005694832</v>
      </c>
    </row>
    <row r="23" customFormat="false" ht="15.75" hidden="false" customHeight="true" outlineLevel="0" collapsed="false">
      <c r="A23" s="2" t="s">
        <v>1265</v>
      </c>
      <c r="B23" s="2" t="s">
        <v>981</v>
      </c>
      <c r="C23" s="2" t="s">
        <v>1239</v>
      </c>
      <c r="D23" s="2"/>
      <c r="E23" s="2" t="s">
        <v>1235</v>
      </c>
      <c r="F23" s="18" t="s">
        <v>1235</v>
      </c>
    </row>
    <row r="24" customFormat="false" ht="15.75" hidden="false" customHeight="true" outlineLevel="0" collapsed="false">
      <c r="A24" s="2" t="s">
        <v>1266</v>
      </c>
      <c r="B24" s="2" t="s">
        <v>1224</v>
      </c>
      <c r="C24" s="2" t="s">
        <v>958</v>
      </c>
      <c r="D24" s="2" t="s">
        <v>1267</v>
      </c>
      <c r="E24" s="2" t="s">
        <v>1235</v>
      </c>
      <c r="F24" s="18" t="s">
        <v>1246</v>
      </c>
      <c r="G24" s="18" t="s">
        <v>1235</v>
      </c>
      <c r="H24" s="18" t="s">
        <v>1235</v>
      </c>
    </row>
    <row r="25" customFormat="false" ht="15.75" hidden="false" customHeight="true" outlineLevel="0" collapsed="false">
      <c r="A25" s="2" t="s">
        <v>1268</v>
      </c>
      <c r="B25" s="2" t="s">
        <v>981</v>
      </c>
      <c r="C25" s="2" t="s">
        <v>958</v>
      </c>
      <c r="D25" s="2" t="s">
        <v>1267</v>
      </c>
      <c r="E25" s="2" t="s">
        <v>1235</v>
      </c>
      <c r="F25" s="18" t="s">
        <v>1246</v>
      </c>
      <c r="G25" s="18" t="s">
        <v>1247</v>
      </c>
      <c r="H25" s="18" t="s">
        <v>1247</v>
      </c>
    </row>
    <row r="26" customFormat="false" ht="15.75" hidden="false" customHeight="true" outlineLevel="0" collapsed="false">
      <c r="A26" s="2" t="s">
        <v>1269</v>
      </c>
      <c r="B26" s="2" t="s">
        <v>1224</v>
      </c>
      <c r="C26" s="2" t="s">
        <v>958</v>
      </c>
      <c r="D26" s="2" t="s">
        <v>1267</v>
      </c>
      <c r="E26" s="2"/>
      <c r="F26" s="18" t="s">
        <v>1246</v>
      </c>
    </row>
    <row r="27" customFormat="false" ht="15.75" hidden="false" customHeight="true" outlineLevel="0" collapsed="false">
      <c r="A27" s="2" t="s">
        <v>1270</v>
      </c>
      <c r="B27" s="2" t="s">
        <v>1224</v>
      </c>
      <c r="C27" s="2"/>
      <c r="D27" s="2"/>
      <c r="E27" s="2"/>
      <c r="F27" s="18" t="s">
        <v>1225</v>
      </c>
      <c r="I27" s="18" t="n">
        <v>215123</v>
      </c>
      <c r="J27" s="18" t="n">
        <v>218123</v>
      </c>
      <c r="K27" s="18" t="n">
        <f aca="false">(J27-I27)/J27</f>
        <v>0.0137537077703864</v>
      </c>
    </row>
    <row r="28" customFormat="false" ht="15.75" hidden="false" customHeight="true" outlineLevel="0" collapsed="false">
      <c r="A28" s="2" t="s">
        <v>1271</v>
      </c>
      <c r="B28" s="2" t="s">
        <v>981</v>
      </c>
      <c r="C28" s="2" t="s">
        <v>1239</v>
      </c>
      <c r="D28" s="2"/>
      <c r="E28" s="2" t="s">
        <v>1272</v>
      </c>
      <c r="F28" s="18" t="s">
        <v>1235</v>
      </c>
    </row>
    <row r="29" customFormat="false" ht="15.75" hidden="false" customHeight="true" outlineLevel="0" collapsed="false">
      <c r="A29" s="2" t="s">
        <v>1273</v>
      </c>
      <c r="B29" s="2" t="s">
        <v>981</v>
      </c>
      <c r="C29" s="2" t="s">
        <v>1239</v>
      </c>
      <c r="D29" s="2" t="s">
        <v>1267</v>
      </c>
      <c r="E29" s="2"/>
      <c r="F29" s="18" t="s">
        <v>1236</v>
      </c>
    </row>
    <row r="30" customFormat="false" ht="15.75" hidden="false" customHeight="true" outlineLevel="0" collapsed="false">
      <c r="A30" s="2" t="s">
        <v>1274</v>
      </c>
      <c r="B30" s="2" t="s">
        <v>1224</v>
      </c>
      <c r="C30" s="2" t="s">
        <v>958</v>
      </c>
      <c r="D30" s="2" t="s">
        <v>1275</v>
      </c>
      <c r="E30" s="2" t="s">
        <v>1247</v>
      </c>
      <c r="F30" s="18" t="s">
        <v>1246</v>
      </c>
      <c r="G30" s="18" t="s">
        <v>1276</v>
      </c>
      <c r="H30" s="18" t="s">
        <v>1247</v>
      </c>
    </row>
    <row r="31" customFormat="false" ht="15.75" hidden="false" customHeight="true" outlineLevel="0" collapsed="false">
      <c r="A31" s="2" t="s">
        <v>1277</v>
      </c>
      <c r="B31" s="2" t="s">
        <v>1224</v>
      </c>
      <c r="C31" s="2"/>
      <c r="D31" s="2"/>
      <c r="E31" s="2"/>
      <c r="F31" s="18" t="s">
        <v>1225</v>
      </c>
    </row>
    <row r="32" customFormat="false" ht="15.75" hidden="false" customHeight="true" outlineLevel="0" collapsed="false">
      <c r="A32" s="2" t="s">
        <v>1278</v>
      </c>
      <c r="B32" s="2" t="s">
        <v>1224</v>
      </c>
      <c r="C32" s="2" t="s">
        <v>1239</v>
      </c>
      <c r="D32" s="2" t="s">
        <v>1279</v>
      </c>
      <c r="E32" s="2"/>
      <c r="F32" s="18" t="s">
        <v>1236</v>
      </c>
    </row>
    <row r="33" customFormat="false" ht="15.75" hidden="false" customHeight="true" outlineLevel="0" collapsed="false">
      <c r="A33" s="2" t="s">
        <v>1280</v>
      </c>
      <c r="B33" s="2" t="s">
        <v>1224</v>
      </c>
      <c r="C33" s="2" t="s">
        <v>1281</v>
      </c>
      <c r="D33" s="2" t="s">
        <v>1275</v>
      </c>
      <c r="E33" s="2" t="s">
        <v>1247</v>
      </c>
      <c r="F33" s="18" t="s">
        <v>1246</v>
      </c>
      <c r="G33" s="18" t="s">
        <v>1276</v>
      </c>
      <c r="H33" s="18" t="s">
        <v>1247</v>
      </c>
    </row>
    <row r="34" customFormat="false" ht="15.75" hidden="false" customHeight="true" outlineLevel="0" collapsed="false">
      <c r="A34" s="2" t="s">
        <v>1282</v>
      </c>
      <c r="B34" s="2" t="s">
        <v>1224</v>
      </c>
      <c r="C34" s="2" t="s">
        <v>1239</v>
      </c>
      <c r="D34" s="2" t="s">
        <v>1279</v>
      </c>
      <c r="E34" s="2"/>
      <c r="F34" s="18" t="s">
        <v>1236</v>
      </c>
    </row>
    <row r="35" customFormat="false" ht="15.75" hidden="false" customHeight="true" outlineLevel="0" collapsed="false">
      <c r="A35" s="2" t="s">
        <v>1283</v>
      </c>
      <c r="B35" s="2" t="s">
        <v>981</v>
      </c>
      <c r="C35" s="2" t="s">
        <v>1239</v>
      </c>
      <c r="D35" s="2"/>
      <c r="E35" s="2" t="s">
        <v>1235</v>
      </c>
      <c r="F35" s="18" t="s">
        <v>1235</v>
      </c>
    </row>
    <row r="36" customFormat="false" ht="15.75" hidden="false" customHeight="true" outlineLevel="0" collapsed="false">
      <c r="A36" s="2" t="s">
        <v>1284</v>
      </c>
      <c r="B36" s="2" t="s">
        <v>1224</v>
      </c>
      <c r="C36" s="2"/>
      <c r="D36" s="2"/>
      <c r="E36" s="2"/>
      <c r="F36" s="18" t="s">
        <v>1225</v>
      </c>
    </row>
    <row r="37" customFormat="false" ht="15.75" hidden="false" customHeight="true" outlineLevel="0" collapsed="false">
      <c r="A37" s="2"/>
      <c r="B37" s="2"/>
      <c r="C37" s="2"/>
      <c r="D37" s="2"/>
      <c r="E37" s="2"/>
    </row>
    <row r="38" customFormat="false" ht="15.75" hidden="false" customHeight="true" outlineLevel="0" collapsed="false">
      <c r="A38" s="2" t="s">
        <v>1285</v>
      </c>
      <c r="B38" s="2"/>
      <c r="C38" s="2"/>
      <c r="D38" s="2"/>
      <c r="E38" s="2"/>
      <c r="I38" s="18" t="n">
        <v>876830</v>
      </c>
      <c r="J38" s="18" t="n">
        <v>969405</v>
      </c>
      <c r="K38" s="18" t="n">
        <f aca="false">(J38-I38)/J38</f>
        <v>0.0954967222162048</v>
      </c>
    </row>
    <row r="39" customFormat="false" ht="15.75" hidden="false" customHeight="true" outlineLevel="0" collapsed="false">
      <c r="A39" s="2" t="s">
        <v>1286</v>
      </c>
      <c r="B39" s="2"/>
      <c r="C39" s="2"/>
      <c r="D39" s="2"/>
      <c r="E39" s="2"/>
      <c r="I39" s="18" t="n">
        <v>905649</v>
      </c>
      <c r="J39" s="18" t="n">
        <v>1004175</v>
      </c>
      <c r="K39" s="18" t="n">
        <f aca="false">(J39-I39)/J39</f>
        <v>0.0981163641795504</v>
      </c>
    </row>
    <row r="40" customFormat="false" ht="15.75" hidden="false" customHeight="true" outlineLevel="0" collapsed="false">
      <c r="A40" s="2" t="s">
        <v>1287</v>
      </c>
      <c r="B40" s="2"/>
      <c r="C40" s="2"/>
      <c r="D40" s="2"/>
      <c r="E40" s="2"/>
      <c r="I40" s="18" t="n">
        <v>620839</v>
      </c>
      <c r="J40" s="18" t="n">
        <v>716622</v>
      </c>
      <c r="K40" s="18" t="n">
        <f aca="false">(J40-I40)/J40</f>
        <v>0.133659028051051</v>
      </c>
    </row>
    <row r="41" customFormat="false" ht="15.75" hidden="false" customHeight="true" outlineLevel="0" collapsed="false">
      <c r="A41" s="2" t="s">
        <v>1288</v>
      </c>
      <c r="B41" s="2"/>
      <c r="C41" s="2"/>
      <c r="D41" s="2"/>
      <c r="E41" s="2"/>
      <c r="I41" s="18" t="n">
        <v>502459</v>
      </c>
      <c r="J41" s="18" t="n">
        <v>571777</v>
      </c>
      <c r="K41" s="18" t="n">
        <f aca="false">(J41-I41)/J41</f>
        <v>0.121232578435299</v>
      </c>
    </row>
    <row r="42" customFormat="false" ht="15.75" hidden="false" customHeight="true" outlineLevel="0" collapsed="false">
      <c r="A42" s="2" t="s">
        <v>1289</v>
      </c>
      <c r="B42" s="2"/>
      <c r="C42" s="2"/>
      <c r="D42" s="2"/>
      <c r="E42" s="2"/>
      <c r="I42" s="18" t="n">
        <v>506449</v>
      </c>
      <c r="J42" s="18" t="n">
        <v>557003</v>
      </c>
      <c r="K42" s="18" t="n">
        <f aca="false">(J42-I42)/J42</f>
        <v>0.0907607319888762</v>
      </c>
    </row>
    <row r="43" customFormat="false" ht="15.75" hidden="false" customHeight="true" outlineLevel="0" collapsed="false">
      <c r="A43" s="2" t="s">
        <v>1290</v>
      </c>
      <c r="B43" s="2"/>
      <c r="C43" s="2"/>
      <c r="D43" s="2"/>
      <c r="E43" s="2"/>
      <c r="I43" s="18" t="n">
        <v>1249856</v>
      </c>
      <c r="J43" s="18" t="n">
        <v>1366501</v>
      </c>
      <c r="K43" s="18" t="n">
        <f aca="false">(J43-I43)/J43</f>
        <v>0.0853603473396653</v>
      </c>
    </row>
    <row r="44" customFormat="false" ht="15.75" hidden="false" customHeight="true" outlineLevel="0" collapsed="false">
      <c r="A44" s="2" t="s">
        <v>1291</v>
      </c>
      <c r="B44" s="2"/>
      <c r="C44" s="2"/>
      <c r="D44" s="2"/>
      <c r="E44" s="2"/>
      <c r="I44" s="18" t="n">
        <v>777933</v>
      </c>
      <c r="J44" s="18" t="n">
        <v>874484</v>
      </c>
      <c r="K44" s="18" t="n">
        <f aca="false">(J44-I44)/J44</f>
        <v>0.110409109829339</v>
      </c>
    </row>
    <row r="45" customFormat="false" ht="15.75" hidden="false" customHeight="true" outlineLevel="0" collapsed="false">
      <c r="A45" s="2" t="s">
        <v>1292</v>
      </c>
      <c r="B45" s="2"/>
      <c r="C45" s="2"/>
      <c r="D45" s="2"/>
      <c r="E45" s="2"/>
      <c r="I45" s="18" t="n">
        <v>1257219</v>
      </c>
      <c r="J45" s="18" t="n">
        <v>1406032</v>
      </c>
      <c r="K45" s="18" t="n">
        <f aca="false">(J45-I45)/J45</f>
        <v>0.105838985172457</v>
      </c>
    </row>
    <row r="46" customFormat="false" ht="15.75" hidden="false" customHeight="true" outlineLevel="0" collapsed="false">
      <c r="A46" s="2" t="s">
        <v>1293</v>
      </c>
      <c r="B46" s="2"/>
      <c r="C46" s="2"/>
      <c r="D46" s="2"/>
      <c r="E46" s="2"/>
      <c r="I46" s="18" t="n">
        <v>1412275</v>
      </c>
      <c r="J46" s="18" t="n">
        <v>1545940</v>
      </c>
      <c r="K46" s="18" t="n">
        <f aca="false">(J46-I46)/J46</f>
        <v>0.0864619584201198</v>
      </c>
    </row>
    <row r="47" customFormat="false" ht="15.75" hidden="false" customHeight="true" outlineLevel="0" collapsed="false">
      <c r="A47" s="2" t="s">
        <v>1294</v>
      </c>
      <c r="B47" s="2"/>
      <c r="C47" s="2"/>
      <c r="D47" s="2"/>
      <c r="E47" s="2"/>
      <c r="I47" s="18" t="n">
        <v>1038755</v>
      </c>
      <c r="J47" s="18" t="n">
        <v>1157257</v>
      </c>
      <c r="K47" s="18" t="n">
        <f aca="false">(J47-I47)/J47</f>
        <v>0.102399034959391</v>
      </c>
    </row>
    <row r="48" customFormat="false" ht="15.75" hidden="false" customHeight="true" outlineLevel="0" collapsed="false">
      <c r="A48" s="2" t="s">
        <v>1295</v>
      </c>
      <c r="B48" s="2"/>
      <c r="C48" s="2"/>
      <c r="D48" s="2"/>
      <c r="E48" s="2"/>
      <c r="I48" s="18" t="n">
        <v>555159</v>
      </c>
      <c r="J48" s="18" t="n">
        <v>643302</v>
      </c>
      <c r="K48" s="18" t="n">
        <f aca="false">(J48-I48)/J48</f>
        <v>0.137016517902945</v>
      </c>
    </row>
    <row r="49" customFormat="false" ht="15.75" hidden="false" customHeight="true" outlineLevel="0" collapsed="false">
      <c r="A49" s="2" t="s">
        <v>1296</v>
      </c>
      <c r="B49" s="2"/>
      <c r="C49" s="2"/>
      <c r="D49" s="2"/>
      <c r="E49" s="2"/>
      <c r="I49" s="18" t="n">
        <v>645808</v>
      </c>
      <c r="J49" s="18" t="n">
        <v>740063</v>
      </c>
      <c r="K49" s="18" t="n">
        <f aca="false">(J49-I49)/J49</f>
        <v>0.127360778744512</v>
      </c>
    </row>
    <row r="50" customFormat="false" ht="15.75" hidden="false" customHeight="true" outlineLevel="0" collapsed="false">
      <c r="A50" s="2" t="s">
        <v>1297</v>
      </c>
      <c r="B50" s="2"/>
      <c r="C50" s="2"/>
      <c r="D50" s="2"/>
      <c r="E50" s="2"/>
      <c r="I50" s="18" t="n">
        <v>786294</v>
      </c>
      <c r="J50" s="18" t="n">
        <v>868966</v>
      </c>
      <c r="K50" s="18" t="n">
        <f aca="false">(J50-I50)/J50</f>
        <v>0.0951383598437683</v>
      </c>
    </row>
    <row r="51" customFormat="false" ht="15.75" hidden="false" customHeight="true" outlineLevel="0" collapsed="false">
      <c r="A51" s="2" t="s">
        <v>1298</v>
      </c>
      <c r="B51" s="2"/>
      <c r="C51" s="2"/>
      <c r="D51" s="2"/>
      <c r="E51" s="2"/>
      <c r="I51" s="18" t="n">
        <v>571348</v>
      </c>
      <c r="J51" s="18" t="n">
        <v>613458</v>
      </c>
      <c r="K51" s="18" t="n">
        <f aca="false">(J51-I51)/J51</f>
        <v>0.0686436561264178</v>
      </c>
    </row>
    <row r="52" customFormat="false" ht="15.75" hidden="false" customHeight="true" outlineLevel="0" collapsed="false">
      <c r="A52" s="2" t="s">
        <v>1299</v>
      </c>
      <c r="B52" s="2"/>
      <c r="C52" s="2"/>
      <c r="D52" s="2"/>
      <c r="E52" s="2"/>
      <c r="I52" s="18" t="n">
        <v>484853</v>
      </c>
      <c r="J52" s="18" t="n">
        <v>567652</v>
      </c>
      <c r="K52" s="18" t="n">
        <f aca="false">(J52-I52)/J52</f>
        <v>0.145862253634269</v>
      </c>
    </row>
    <row r="53" customFormat="false" ht="15.75" hidden="false" customHeight="true" outlineLevel="0" collapsed="false">
      <c r="A53" s="2" t="s">
        <v>1300</v>
      </c>
      <c r="B53" s="2"/>
      <c r="C53" s="2"/>
      <c r="D53" s="2"/>
      <c r="E53" s="2"/>
      <c r="I53" s="18" t="n">
        <v>601867</v>
      </c>
      <c r="J53" s="18" t="n">
        <v>659905</v>
      </c>
      <c r="K53" s="18" t="n">
        <f aca="false">(J53-I53)/J53</f>
        <v>0.0879490229654268</v>
      </c>
    </row>
    <row r="54" customFormat="false" ht="15.75" hidden="false" customHeight="true" outlineLevel="0" collapsed="false">
      <c r="A54" s="2" t="s">
        <v>1301</v>
      </c>
      <c r="B54" s="2"/>
      <c r="C54" s="2"/>
      <c r="D54" s="2"/>
      <c r="E54" s="2"/>
      <c r="I54" s="18" t="n">
        <v>1544668</v>
      </c>
      <c r="J54" s="18" t="n">
        <v>1636986</v>
      </c>
      <c r="K54" s="18" t="n">
        <f aca="false">(J54-I54)/J54</f>
        <v>0.0563951066166723</v>
      </c>
    </row>
    <row r="55" customFormat="false" ht="15.75" hidden="false" customHeight="true" outlineLevel="0" collapsed="false">
      <c r="A55" s="2" t="s">
        <v>1302</v>
      </c>
      <c r="B55" s="2"/>
      <c r="C55" s="2"/>
      <c r="D55" s="2"/>
      <c r="E55" s="2"/>
      <c r="I55" s="18" t="n">
        <v>1297602</v>
      </c>
      <c r="J55" s="18" t="n">
        <v>1439116</v>
      </c>
      <c r="K55" s="18" t="n">
        <f aca="false">(J55-I55)/J55</f>
        <v>0.0983339772471434</v>
      </c>
      <c r="L55" s="18" t="s">
        <v>1303</v>
      </c>
    </row>
    <row r="56" customFormat="false" ht="15.75" hidden="false" customHeight="true" outlineLevel="0" collapsed="false">
      <c r="A56" s="2" t="s">
        <v>1304</v>
      </c>
      <c r="B56" s="2"/>
      <c r="C56" s="2"/>
      <c r="D56" s="2"/>
      <c r="E56" s="2"/>
      <c r="I56" s="18" t="n">
        <v>1295888</v>
      </c>
      <c r="J56" s="18" t="n">
        <v>1414298</v>
      </c>
      <c r="K56" s="18" t="n">
        <f aca="false">(J56-I56)/J56</f>
        <v>0.0837235151290605</v>
      </c>
    </row>
    <row r="57" customFormat="false" ht="15.75" hidden="false" customHeight="true" outlineLevel="0" collapsed="false">
      <c r="A57" s="2" t="s">
        <v>1305</v>
      </c>
      <c r="B57" s="2"/>
      <c r="C57" s="2"/>
      <c r="D57" s="2"/>
      <c r="E57" s="2"/>
      <c r="I57" s="18" t="n">
        <v>1217805</v>
      </c>
      <c r="J57" s="18" t="n">
        <v>1343318</v>
      </c>
      <c r="K57" s="18" t="n">
        <f aca="false">(J57-I57)/J57</f>
        <v>0.0934350615416454</v>
      </c>
    </row>
    <row r="58" customFormat="false" ht="15.75" hidden="false" customHeight="true" outlineLevel="0" collapsed="false">
      <c r="A58" s="2"/>
      <c r="B58" s="2"/>
      <c r="C58" s="2"/>
      <c r="D58" s="2"/>
      <c r="E58" s="2"/>
    </row>
    <row r="59" customFormat="false" ht="15.75" hidden="false" customHeight="true" outlineLevel="0" collapsed="false">
      <c r="A59" s="2"/>
      <c r="B59" s="2"/>
      <c r="C59" s="2"/>
      <c r="D59" s="2"/>
      <c r="E59" s="2"/>
    </row>
    <row r="60" customFormat="false" ht="15.75" hidden="false" customHeight="true" outlineLevel="0" collapsed="false">
      <c r="A60" s="2"/>
      <c r="B60" s="2"/>
      <c r="C60" s="2"/>
      <c r="D60" s="2"/>
      <c r="E60" s="2"/>
    </row>
    <row r="61" customFormat="false" ht="15.75" hidden="false" customHeight="true" outlineLevel="0" collapsed="false">
      <c r="A61" s="2"/>
      <c r="B61" s="2"/>
      <c r="C61" s="2"/>
      <c r="D61" s="2"/>
      <c r="E61" s="2"/>
    </row>
    <row r="62" customFormat="false" ht="15.75" hidden="false" customHeight="true" outlineLevel="0" collapsed="false">
      <c r="A62" s="2"/>
      <c r="B62" s="2"/>
      <c r="C62" s="2"/>
      <c r="D62" s="2"/>
      <c r="E62" s="2"/>
    </row>
    <row r="63" customFormat="false" ht="15.75" hidden="false" customHeight="true" outlineLevel="0" collapsed="false">
      <c r="A63" s="2"/>
      <c r="B63" s="2"/>
      <c r="C63" s="2"/>
      <c r="D63" s="2"/>
      <c r="E63" s="2"/>
    </row>
    <row r="64" customFormat="false" ht="15.75" hidden="false" customHeight="true" outlineLevel="0" collapsed="false">
      <c r="A64" s="2"/>
      <c r="B64" s="2"/>
      <c r="C64" s="2"/>
      <c r="D64" s="2"/>
      <c r="E64" s="2"/>
    </row>
    <row r="65" customFormat="false" ht="15.75" hidden="false" customHeight="true" outlineLevel="0" collapsed="false">
      <c r="A65" s="2"/>
      <c r="B65" s="2"/>
      <c r="C65" s="2"/>
      <c r="D65" s="2"/>
      <c r="E65" s="2"/>
    </row>
    <row r="66" customFormat="false" ht="15.75" hidden="false" customHeight="true" outlineLevel="0" collapsed="false">
      <c r="A66" s="2"/>
      <c r="B66" s="2"/>
      <c r="C66" s="2"/>
      <c r="D66" s="2"/>
      <c r="E66" s="2"/>
    </row>
    <row r="67" customFormat="false" ht="15.75" hidden="false" customHeight="true" outlineLevel="0" collapsed="false">
      <c r="A67" s="2"/>
      <c r="B67" s="2"/>
      <c r="C67" s="2"/>
      <c r="D67" s="2"/>
      <c r="E67" s="2"/>
    </row>
    <row r="68" customFormat="false" ht="15.75" hidden="false" customHeight="true" outlineLevel="0" collapsed="false">
      <c r="A68" s="2"/>
      <c r="B68" s="2"/>
      <c r="C68" s="2"/>
      <c r="D68" s="2"/>
      <c r="E68" s="2"/>
    </row>
    <row r="69" customFormat="false" ht="15.75" hidden="false" customHeight="true" outlineLevel="0" collapsed="false">
      <c r="A69" s="2"/>
      <c r="B69" s="2"/>
      <c r="C69" s="2"/>
      <c r="D69" s="2"/>
      <c r="E69" s="2"/>
    </row>
    <row r="70" customFormat="false" ht="15.75" hidden="false" customHeight="true" outlineLevel="0" collapsed="false">
      <c r="A70" s="2"/>
      <c r="B70" s="2"/>
      <c r="C70" s="2"/>
      <c r="D70" s="2"/>
      <c r="E70" s="2"/>
    </row>
    <row r="71" customFormat="false" ht="15.75" hidden="false" customHeight="true" outlineLevel="0" collapsed="false">
      <c r="A71" s="2"/>
      <c r="B71" s="2"/>
      <c r="C71" s="2"/>
      <c r="D71" s="2"/>
      <c r="E71" s="2"/>
    </row>
    <row r="72" customFormat="false" ht="15.75" hidden="false" customHeight="true" outlineLevel="0" collapsed="false">
      <c r="A72" s="2"/>
      <c r="B72" s="2"/>
      <c r="C72" s="2"/>
      <c r="D72" s="2"/>
      <c r="E72" s="2"/>
    </row>
    <row r="73" customFormat="false" ht="15.75" hidden="false" customHeight="true" outlineLevel="0" collapsed="false">
      <c r="A73" s="2"/>
      <c r="B73" s="2"/>
      <c r="C73" s="2"/>
      <c r="D73" s="2"/>
      <c r="E73" s="2"/>
    </row>
    <row r="74" customFormat="false" ht="15.75" hidden="false" customHeight="true" outlineLevel="0" collapsed="false">
      <c r="A74" s="2"/>
      <c r="B74" s="2"/>
      <c r="C74" s="2"/>
      <c r="D74" s="2"/>
      <c r="E74" s="2"/>
    </row>
    <row r="75" customFormat="false" ht="15.75" hidden="false" customHeight="true" outlineLevel="0" collapsed="false">
      <c r="A75" s="2"/>
      <c r="B75" s="2"/>
      <c r="C75" s="2"/>
      <c r="D75" s="2"/>
      <c r="E75" s="2"/>
    </row>
    <row r="76" customFormat="false" ht="15.75" hidden="false" customHeight="true" outlineLevel="0" collapsed="false">
      <c r="A76" s="2"/>
      <c r="B76" s="2"/>
      <c r="C76" s="2"/>
      <c r="D76" s="2"/>
      <c r="E76" s="2"/>
    </row>
    <row r="77" customFormat="false" ht="15.75" hidden="false" customHeight="true" outlineLevel="0" collapsed="false">
      <c r="A77" s="2"/>
      <c r="B77" s="2"/>
      <c r="C77" s="2"/>
      <c r="D77" s="2"/>
      <c r="E77" s="2"/>
    </row>
    <row r="78" customFormat="false" ht="15.75" hidden="false" customHeight="true" outlineLevel="0" collapsed="false">
      <c r="A78" s="2"/>
      <c r="B78" s="2"/>
      <c r="C78" s="2"/>
      <c r="D78" s="2"/>
      <c r="E78" s="2"/>
    </row>
    <row r="79" customFormat="false" ht="15.75" hidden="false" customHeight="true" outlineLevel="0" collapsed="false">
      <c r="A79" s="2"/>
      <c r="B79" s="2"/>
      <c r="C79" s="2"/>
      <c r="D79" s="2"/>
      <c r="E79" s="2"/>
    </row>
    <row r="80" customFormat="false" ht="15.75" hidden="false" customHeight="true" outlineLevel="0" collapsed="false">
      <c r="A80" s="2"/>
      <c r="B80" s="2"/>
      <c r="C80" s="2"/>
      <c r="D80" s="2"/>
      <c r="E80" s="2"/>
    </row>
    <row r="81" customFormat="false" ht="15.75" hidden="false" customHeight="true" outlineLevel="0" collapsed="false">
      <c r="A81" s="2"/>
      <c r="B81" s="2"/>
      <c r="C81" s="2"/>
      <c r="D81" s="2"/>
      <c r="E81" s="2"/>
    </row>
    <row r="82" customFormat="false" ht="15.75" hidden="false" customHeight="true" outlineLevel="0" collapsed="false">
      <c r="A82" s="2"/>
      <c r="B82" s="2"/>
      <c r="C82" s="2"/>
      <c r="D82" s="2"/>
      <c r="E82" s="2"/>
    </row>
    <row r="83" customFormat="false" ht="15.75" hidden="false" customHeight="true" outlineLevel="0" collapsed="false">
      <c r="A83" s="2"/>
      <c r="B83" s="2"/>
      <c r="C83" s="2"/>
      <c r="D83" s="2"/>
      <c r="E83" s="2"/>
    </row>
    <row r="84" customFormat="false" ht="15.75" hidden="false" customHeight="true" outlineLevel="0" collapsed="false">
      <c r="A84" s="2"/>
      <c r="B84" s="2"/>
      <c r="C84" s="2"/>
      <c r="D84" s="2"/>
      <c r="E84" s="2"/>
    </row>
    <row r="85" customFormat="false" ht="15.75" hidden="false" customHeight="true" outlineLevel="0" collapsed="false">
      <c r="A85" s="2"/>
      <c r="B85" s="2"/>
      <c r="C85" s="2"/>
      <c r="D85" s="2"/>
      <c r="E85" s="2"/>
    </row>
    <row r="86" customFormat="false" ht="15.75" hidden="false" customHeight="true" outlineLevel="0" collapsed="false">
      <c r="A86" s="2"/>
      <c r="B86" s="2"/>
      <c r="C86" s="2"/>
      <c r="D86" s="2"/>
      <c r="E86" s="2"/>
    </row>
    <row r="87" customFormat="false" ht="15.75" hidden="false" customHeight="true" outlineLevel="0" collapsed="false">
      <c r="A87" s="2"/>
      <c r="B87" s="2"/>
      <c r="C87" s="2"/>
      <c r="D87" s="2"/>
      <c r="E87" s="2"/>
    </row>
    <row r="88" customFormat="false" ht="15.75" hidden="false" customHeight="true" outlineLevel="0" collapsed="false">
      <c r="A88" s="2"/>
      <c r="B88" s="2"/>
      <c r="C88" s="2"/>
      <c r="D88" s="2"/>
      <c r="E88" s="2"/>
    </row>
    <row r="89" customFormat="false" ht="15.75" hidden="false" customHeight="true" outlineLevel="0" collapsed="false">
      <c r="A89" s="2"/>
      <c r="B89" s="2"/>
      <c r="C89" s="2"/>
      <c r="D89" s="2"/>
      <c r="E89" s="2"/>
    </row>
    <row r="90" customFormat="false" ht="15.75" hidden="false" customHeight="true" outlineLevel="0" collapsed="false">
      <c r="A90" s="2"/>
      <c r="B90" s="2"/>
      <c r="C90" s="2"/>
      <c r="D90" s="2"/>
      <c r="E90" s="2"/>
    </row>
    <row r="91" customFormat="false" ht="15.75" hidden="false" customHeight="true" outlineLevel="0" collapsed="false">
      <c r="A91" s="2"/>
      <c r="B91" s="2"/>
      <c r="C91" s="2"/>
      <c r="D91" s="2"/>
      <c r="E91" s="2"/>
    </row>
    <row r="92" customFormat="false" ht="15.75" hidden="false" customHeight="true" outlineLevel="0" collapsed="false">
      <c r="A92" s="2"/>
      <c r="B92" s="2"/>
      <c r="C92" s="2"/>
      <c r="D92" s="2"/>
      <c r="E92" s="2"/>
    </row>
    <row r="93" customFormat="false" ht="15.75" hidden="false" customHeight="true" outlineLevel="0" collapsed="false">
      <c r="A93" s="2"/>
      <c r="B93" s="2"/>
      <c r="C93" s="2"/>
      <c r="D93" s="2"/>
      <c r="E93" s="2"/>
    </row>
    <row r="94" customFormat="false" ht="15.75" hidden="false" customHeight="true" outlineLevel="0" collapsed="false">
      <c r="A94" s="2"/>
      <c r="B94" s="2"/>
      <c r="C94" s="2"/>
      <c r="D94" s="2"/>
      <c r="E94" s="2"/>
    </row>
    <row r="95" customFormat="false" ht="15.75" hidden="false" customHeight="true" outlineLevel="0" collapsed="false">
      <c r="A95" s="2"/>
      <c r="B95" s="2"/>
      <c r="C95" s="2"/>
      <c r="D95" s="2"/>
      <c r="E95" s="2"/>
    </row>
    <row r="96" customFormat="false" ht="15.75" hidden="false" customHeight="true" outlineLevel="0" collapsed="false">
      <c r="A96" s="2"/>
      <c r="B96" s="2"/>
      <c r="C96" s="2"/>
      <c r="D96" s="2"/>
      <c r="E96" s="2"/>
    </row>
    <row r="97" customFormat="false" ht="15.75" hidden="false" customHeight="true" outlineLevel="0" collapsed="false">
      <c r="A97" s="2"/>
      <c r="B97" s="2"/>
      <c r="C97" s="2"/>
      <c r="D97" s="2"/>
      <c r="E97" s="2"/>
    </row>
    <row r="98" customFormat="false" ht="15.75" hidden="false" customHeight="true" outlineLevel="0" collapsed="false">
      <c r="A98" s="2"/>
      <c r="B98" s="2"/>
      <c r="C98" s="2"/>
      <c r="D98" s="2"/>
      <c r="E98" s="2"/>
    </row>
    <row r="99" customFormat="false" ht="15.75" hidden="false" customHeight="true" outlineLevel="0" collapsed="false">
      <c r="A99" s="2"/>
      <c r="B99" s="2"/>
      <c r="C99" s="2"/>
      <c r="D99" s="2"/>
      <c r="E99" s="2"/>
    </row>
    <row r="100" customFormat="false" ht="15.75" hidden="false" customHeight="true" outlineLevel="0" collapsed="false">
      <c r="A100" s="2"/>
      <c r="B100" s="2"/>
      <c r="C100" s="2"/>
      <c r="D100" s="2"/>
      <c r="E100" s="2"/>
    </row>
    <row r="101" customFormat="false" ht="15.75" hidden="false" customHeight="true" outlineLevel="0" collapsed="false">
      <c r="A101" s="2"/>
      <c r="B101" s="2"/>
      <c r="C101" s="2"/>
      <c r="D101" s="2"/>
      <c r="E101" s="2"/>
    </row>
    <row r="102" customFormat="false" ht="15.75" hidden="false" customHeight="true" outlineLevel="0" collapsed="false">
      <c r="A102" s="2"/>
      <c r="B102" s="2"/>
      <c r="C102" s="2"/>
      <c r="D102" s="2"/>
      <c r="E102" s="2"/>
    </row>
    <row r="103" customFormat="false" ht="15.75" hidden="false" customHeight="true" outlineLevel="0" collapsed="false">
      <c r="A103" s="2"/>
      <c r="B103" s="2"/>
      <c r="C103" s="2"/>
      <c r="D103" s="2"/>
      <c r="E103" s="2"/>
    </row>
    <row r="104" customFormat="false" ht="15.75" hidden="false" customHeight="true" outlineLevel="0" collapsed="false">
      <c r="A104" s="2"/>
      <c r="B104" s="2"/>
      <c r="C104" s="2"/>
      <c r="D104" s="2"/>
      <c r="E104" s="2"/>
    </row>
    <row r="105" customFormat="false" ht="15.75" hidden="false" customHeight="true" outlineLevel="0" collapsed="false">
      <c r="A105" s="2"/>
      <c r="B105" s="2"/>
      <c r="C105" s="2"/>
      <c r="D105" s="2"/>
      <c r="E105" s="2"/>
    </row>
    <row r="106" customFormat="false" ht="15.75" hidden="false" customHeight="true" outlineLevel="0" collapsed="false">
      <c r="A106" s="2"/>
      <c r="B106" s="2"/>
      <c r="C106" s="2"/>
      <c r="D106" s="2"/>
      <c r="E106" s="2"/>
    </row>
    <row r="107" customFormat="false" ht="15.75" hidden="false" customHeight="true" outlineLevel="0" collapsed="false">
      <c r="A107" s="2"/>
      <c r="B107" s="2"/>
      <c r="C107" s="2"/>
      <c r="D107" s="2"/>
      <c r="E107" s="2"/>
    </row>
    <row r="108" customFormat="false" ht="15.75" hidden="false" customHeight="true" outlineLevel="0" collapsed="false">
      <c r="A108" s="2"/>
      <c r="B108" s="2"/>
      <c r="C108" s="2"/>
      <c r="D108" s="2"/>
      <c r="E108" s="2"/>
    </row>
    <row r="109" customFormat="false" ht="15.75" hidden="false" customHeight="true" outlineLevel="0" collapsed="false">
      <c r="A109" s="2"/>
      <c r="B109" s="2"/>
      <c r="C109" s="2"/>
      <c r="D109" s="2"/>
      <c r="E109" s="2"/>
    </row>
    <row r="110" customFormat="false" ht="15.75" hidden="false" customHeight="true" outlineLevel="0" collapsed="false">
      <c r="A110" s="2"/>
      <c r="B110" s="2"/>
      <c r="C110" s="2"/>
      <c r="D110" s="2"/>
      <c r="E110" s="2"/>
    </row>
    <row r="111" customFormat="false" ht="15.75" hidden="false" customHeight="true" outlineLevel="0" collapsed="false">
      <c r="A111" s="2"/>
      <c r="B111" s="2"/>
      <c r="C111" s="2"/>
      <c r="D111" s="2"/>
      <c r="E111" s="2"/>
    </row>
    <row r="112" customFormat="false" ht="15.75" hidden="false" customHeight="true" outlineLevel="0" collapsed="false">
      <c r="A112" s="2"/>
      <c r="B112" s="2"/>
      <c r="C112" s="2"/>
      <c r="D112" s="2"/>
      <c r="E112" s="2"/>
    </row>
    <row r="113" customFormat="false" ht="15.75" hidden="false" customHeight="true" outlineLevel="0" collapsed="false">
      <c r="A113" s="2"/>
      <c r="B113" s="2"/>
      <c r="C113" s="2"/>
      <c r="D113" s="2"/>
      <c r="E113" s="2"/>
    </row>
    <row r="114" customFormat="false" ht="15.75" hidden="false" customHeight="true" outlineLevel="0" collapsed="false">
      <c r="A114" s="2"/>
      <c r="B114" s="2"/>
      <c r="C114" s="2"/>
      <c r="D114" s="2"/>
      <c r="E114" s="2"/>
    </row>
    <row r="115" customFormat="false" ht="15.75" hidden="false" customHeight="true" outlineLevel="0" collapsed="false">
      <c r="A115" s="2"/>
      <c r="B115" s="2"/>
      <c r="C115" s="2"/>
      <c r="D115" s="2"/>
      <c r="E115" s="2"/>
    </row>
    <row r="116" customFormat="false" ht="15.75" hidden="false" customHeight="true" outlineLevel="0" collapsed="false">
      <c r="A116" s="2"/>
      <c r="B116" s="2"/>
      <c r="C116" s="2"/>
      <c r="D116" s="2"/>
      <c r="E116" s="2"/>
    </row>
    <row r="117" customFormat="false" ht="15.75" hidden="false" customHeight="true" outlineLevel="0" collapsed="false">
      <c r="A117" s="2"/>
      <c r="B117" s="2"/>
      <c r="C117" s="2"/>
      <c r="D117" s="2"/>
      <c r="E117" s="2"/>
    </row>
    <row r="118" customFormat="false" ht="15.75" hidden="false" customHeight="true" outlineLevel="0" collapsed="false">
      <c r="A118" s="2"/>
      <c r="B118" s="2"/>
      <c r="C118" s="2"/>
      <c r="D118" s="2"/>
      <c r="E118" s="2"/>
    </row>
    <row r="119" customFormat="false" ht="15.75" hidden="false" customHeight="true" outlineLevel="0" collapsed="false">
      <c r="A119" s="2"/>
      <c r="B119" s="2"/>
      <c r="C119" s="2"/>
      <c r="D119" s="2"/>
      <c r="E119" s="2"/>
    </row>
    <row r="120" customFormat="false" ht="15.75" hidden="false" customHeight="true" outlineLevel="0" collapsed="false">
      <c r="A120" s="2"/>
      <c r="B120" s="2"/>
      <c r="C120" s="2"/>
      <c r="D120" s="2"/>
      <c r="E120" s="2"/>
    </row>
    <row r="121" customFormat="false" ht="15.75" hidden="false" customHeight="true" outlineLevel="0" collapsed="false">
      <c r="A121" s="2"/>
      <c r="B121" s="2"/>
      <c r="C121" s="2"/>
      <c r="D121" s="2"/>
      <c r="E121" s="2"/>
    </row>
    <row r="122" customFormat="false" ht="15.75" hidden="false" customHeight="true" outlineLevel="0" collapsed="false">
      <c r="A122" s="2"/>
      <c r="B122" s="2"/>
      <c r="C122" s="2"/>
      <c r="D122" s="2"/>
      <c r="E122" s="2"/>
    </row>
    <row r="123" customFormat="false" ht="15.75" hidden="false" customHeight="true" outlineLevel="0" collapsed="false">
      <c r="A123" s="2"/>
      <c r="B123" s="2"/>
      <c r="C123" s="2"/>
      <c r="D123" s="2"/>
      <c r="E123" s="2"/>
    </row>
    <row r="124" customFormat="false" ht="15.75" hidden="false" customHeight="true" outlineLevel="0" collapsed="false">
      <c r="A124" s="2"/>
      <c r="B124" s="2"/>
      <c r="C124" s="2"/>
      <c r="D124" s="2"/>
      <c r="E124" s="2"/>
    </row>
    <row r="125" customFormat="false" ht="15.75" hidden="false" customHeight="true" outlineLevel="0" collapsed="false">
      <c r="A125" s="2"/>
      <c r="B125" s="2"/>
      <c r="C125" s="2"/>
      <c r="D125" s="2"/>
      <c r="E125" s="2"/>
    </row>
    <row r="126" customFormat="false" ht="15.75" hidden="false" customHeight="true" outlineLevel="0" collapsed="false">
      <c r="A126" s="2"/>
      <c r="B126" s="2"/>
      <c r="C126" s="2"/>
      <c r="D126" s="2"/>
      <c r="E126" s="2"/>
    </row>
    <row r="127" customFormat="false" ht="15.75" hidden="false" customHeight="true" outlineLevel="0" collapsed="false">
      <c r="A127" s="2"/>
      <c r="B127" s="2"/>
      <c r="C127" s="2"/>
      <c r="D127" s="2"/>
      <c r="E127" s="2"/>
    </row>
    <row r="128" customFormat="false" ht="15.75" hidden="false" customHeight="true" outlineLevel="0" collapsed="false">
      <c r="A128" s="2"/>
      <c r="B128" s="2"/>
      <c r="C128" s="2"/>
      <c r="D128" s="2"/>
      <c r="E128" s="2"/>
    </row>
    <row r="129" customFormat="false" ht="15.75" hidden="false" customHeight="true" outlineLevel="0" collapsed="false">
      <c r="A129" s="2"/>
      <c r="B129" s="2"/>
      <c r="C129" s="2"/>
      <c r="D129" s="2"/>
      <c r="E129" s="2"/>
    </row>
    <row r="130" customFormat="false" ht="15.75" hidden="false" customHeight="true" outlineLevel="0" collapsed="false">
      <c r="A130" s="2"/>
      <c r="B130" s="2"/>
      <c r="C130" s="2"/>
      <c r="D130" s="2"/>
      <c r="E130" s="2"/>
    </row>
    <row r="131" customFormat="false" ht="15.75" hidden="false" customHeight="true" outlineLevel="0" collapsed="false">
      <c r="A131" s="2"/>
      <c r="B131" s="2"/>
      <c r="C131" s="2"/>
      <c r="D131" s="2"/>
      <c r="E131" s="2"/>
    </row>
    <row r="132" customFormat="false" ht="15.75" hidden="false" customHeight="true" outlineLevel="0" collapsed="false">
      <c r="A132" s="2"/>
      <c r="B132" s="2"/>
      <c r="C132" s="2"/>
      <c r="D132" s="2"/>
      <c r="E132" s="2"/>
    </row>
    <row r="133" customFormat="false" ht="15.75" hidden="false" customHeight="true" outlineLevel="0" collapsed="false">
      <c r="A133" s="2"/>
      <c r="B133" s="2"/>
      <c r="C133" s="2"/>
      <c r="D133" s="2"/>
      <c r="E133" s="2"/>
    </row>
    <row r="134" customFormat="false" ht="15.75" hidden="false" customHeight="true" outlineLevel="0" collapsed="false">
      <c r="A134" s="2"/>
      <c r="B134" s="2"/>
      <c r="C134" s="2"/>
      <c r="D134" s="2"/>
      <c r="E134" s="2"/>
    </row>
    <row r="135" customFormat="false" ht="15.75" hidden="false" customHeight="true" outlineLevel="0" collapsed="false">
      <c r="A135" s="2"/>
      <c r="B135" s="2"/>
      <c r="C135" s="2"/>
      <c r="D135" s="2"/>
      <c r="E135" s="2"/>
    </row>
    <row r="136" customFormat="false" ht="15.75" hidden="false" customHeight="true" outlineLevel="0" collapsed="false">
      <c r="A136" s="2"/>
      <c r="B136" s="2"/>
      <c r="C136" s="2"/>
      <c r="D136" s="2"/>
      <c r="E136" s="2"/>
    </row>
    <row r="137" customFormat="false" ht="15.75" hidden="false" customHeight="true" outlineLevel="0" collapsed="false">
      <c r="A137" s="2"/>
      <c r="B137" s="2"/>
      <c r="C137" s="2"/>
      <c r="D137" s="2"/>
      <c r="E137" s="2"/>
    </row>
    <row r="138" customFormat="false" ht="15.75" hidden="false" customHeight="true" outlineLevel="0" collapsed="false">
      <c r="A138" s="2"/>
      <c r="B138" s="2"/>
      <c r="C138" s="2"/>
      <c r="D138" s="2"/>
      <c r="E138" s="2"/>
    </row>
    <row r="139" customFormat="false" ht="15.75" hidden="false" customHeight="true" outlineLevel="0" collapsed="false">
      <c r="A139" s="2"/>
      <c r="B139" s="2"/>
      <c r="C139" s="2"/>
      <c r="D139" s="2"/>
      <c r="E139" s="2"/>
    </row>
    <row r="140" customFormat="false" ht="15.75" hidden="false" customHeight="true" outlineLevel="0" collapsed="false">
      <c r="A140" s="2"/>
      <c r="B140" s="2"/>
      <c r="C140" s="2"/>
      <c r="D140" s="2"/>
      <c r="E140" s="2"/>
    </row>
    <row r="141" customFormat="false" ht="15.75" hidden="false" customHeight="true" outlineLevel="0" collapsed="false">
      <c r="A141" s="2"/>
      <c r="B141" s="2"/>
      <c r="C141" s="2"/>
      <c r="D141" s="2"/>
      <c r="E141" s="2"/>
    </row>
    <row r="142" customFormat="false" ht="15.75" hidden="false" customHeight="true" outlineLevel="0" collapsed="false">
      <c r="A142" s="2"/>
      <c r="B142" s="2"/>
      <c r="C142" s="2"/>
      <c r="D142" s="2"/>
      <c r="E142" s="2"/>
    </row>
    <row r="143" customFormat="false" ht="15.75" hidden="false" customHeight="true" outlineLevel="0" collapsed="false">
      <c r="A143" s="2"/>
      <c r="B143" s="2"/>
      <c r="C143" s="2"/>
      <c r="D143" s="2"/>
      <c r="E143" s="2"/>
    </row>
    <row r="144" customFormat="false" ht="15.75" hidden="false" customHeight="true" outlineLevel="0" collapsed="false">
      <c r="A144" s="2"/>
      <c r="B144" s="2"/>
      <c r="C144" s="2"/>
      <c r="D144" s="2"/>
      <c r="E144" s="2"/>
    </row>
    <row r="145" customFormat="false" ht="15.75" hidden="false" customHeight="true" outlineLevel="0" collapsed="false">
      <c r="A145" s="2"/>
      <c r="B145" s="2"/>
      <c r="C145" s="2"/>
      <c r="D145" s="2"/>
      <c r="E145" s="2"/>
    </row>
    <row r="146" customFormat="false" ht="15.75" hidden="false" customHeight="true" outlineLevel="0" collapsed="false">
      <c r="A146" s="2"/>
      <c r="B146" s="2"/>
      <c r="C146" s="2"/>
      <c r="D146" s="2"/>
      <c r="E146" s="2"/>
    </row>
    <row r="147" customFormat="false" ht="15.75" hidden="false" customHeight="true" outlineLevel="0" collapsed="false">
      <c r="A147" s="2"/>
      <c r="B147" s="2"/>
      <c r="C147" s="2"/>
      <c r="D147" s="2"/>
      <c r="E147" s="2"/>
    </row>
    <row r="148" customFormat="false" ht="15.75" hidden="false" customHeight="true" outlineLevel="0" collapsed="false">
      <c r="A148" s="2"/>
      <c r="B148" s="2"/>
      <c r="C148" s="2"/>
      <c r="D148" s="2"/>
      <c r="E148" s="2"/>
    </row>
    <row r="149" customFormat="false" ht="15.75" hidden="false" customHeight="true" outlineLevel="0" collapsed="false">
      <c r="A149" s="2"/>
      <c r="B149" s="2"/>
      <c r="C149" s="2"/>
      <c r="D149" s="2"/>
      <c r="E149" s="2"/>
    </row>
    <row r="150" customFormat="false" ht="15.75" hidden="false" customHeight="true" outlineLevel="0" collapsed="false">
      <c r="A150" s="2"/>
      <c r="B150" s="2"/>
      <c r="C150" s="2"/>
      <c r="D150" s="2"/>
      <c r="E150" s="2"/>
    </row>
    <row r="151" customFormat="false" ht="15.75" hidden="false" customHeight="true" outlineLevel="0" collapsed="false">
      <c r="A151" s="2"/>
      <c r="B151" s="2"/>
      <c r="C151" s="2"/>
      <c r="D151" s="2"/>
      <c r="E151" s="2"/>
    </row>
    <row r="152" customFormat="false" ht="15.75" hidden="false" customHeight="true" outlineLevel="0" collapsed="false">
      <c r="A152" s="2"/>
      <c r="B152" s="2"/>
      <c r="C152" s="2"/>
      <c r="D152" s="2"/>
      <c r="E152" s="2"/>
    </row>
    <row r="153" customFormat="false" ht="15.75" hidden="false" customHeight="true" outlineLevel="0" collapsed="false">
      <c r="A153" s="2"/>
      <c r="B153" s="2"/>
      <c r="C153" s="2"/>
      <c r="D153" s="2"/>
      <c r="E153" s="2"/>
    </row>
    <row r="154" customFormat="false" ht="15.75" hidden="false" customHeight="true" outlineLevel="0" collapsed="false">
      <c r="A154" s="2"/>
      <c r="B154" s="2"/>
      <c r="C154" s="2"/>
      <c r="D154" s="2"/>
      <c r="E154" s="2"/>
    </row>
    <row r="155" customFormat="false" ht="15.75" hidden="false" customHeight="true" outlineLevel="0" collapsed="false">
      <c r="A155" s="2"/>
      <c r="B155" s="2"/>
      <c r="C155" s="2"/>
      <c r="D155" s="2"/>
      <c r="E155" s="2"/>
    </row>
    <row r="156" customFormat="false" ht="15.75" hidden="false" customHeight="true" outlineLevel="0" collapsed="false">
      <c r="A156" s="2"/>
      <c r="B156" s="2"/>
      <c r="C156" s="2"/>
      <c r="D156" s="2"/>
      <c r="E156" s="2"/>
    </row>
    <row r="157" customFormat="false" ht="15.75" hidden="false" customHeight="true" outlineLevel="0" collapsed="false">
      <c r="A157" s="2"/>
      <c r="B157" s="2"/>
      <c r="C157" s="2"/>
      <c r="D157" s="2"/>
      <c r="E157" s="2"/>
    </row>
    <row r="158" customFormat="false" ht="15.75" hidden="false" customHeight="true" outlineLevel="0" collapsed="false">
      <c r="A158" s="2"/>
      <c r="B158" s="2"/>
      <c r="C158" s="2"/>
      <c r="D158" s="2"/>
      <c r="E158" s="2"/>
    </row>
    <row r="159" customFormat="false" ht="15.75" hidden="false" customHeight="true" outlineLevel="0" collapsed="false">
      <c r="A159" s="2"/>
      <c r="B159" s="2"/>
      <c r="C159" s="2"/>
      <c r="D159" s="2"/>
      <c r="E159" s="2"/>
    </row>
    <row r="160" customFormat="false" ht="15.75" hidden="false" customHeight="true" outlineLevel="0" collapsed="false">
      <c r="A160" s="2"/>
      <c r="B160" s="2"/>
      <c r="C160" s="2"/>
      <c r="D160" s="2"/>
      <c r="E160" s="2"/>
    </row>
    <row r="161" customFormat="false" ht="15.75" hidden="false" customHeight="true" outlineLevel="0" collapsed="false">
      <c r="A161" s="2"/>
      <c r="B161" s="2"/>
      <c r="C161" s="2"/>
      <c r="D161" s="2"/>
      <c r="E161" s="2"/>
    </row>
    <row r="162" customFormat="false" ht="15.75" hidden="false" customHeight="true" outlineLevel="0" collapsed="false">
      <c r="A162" s="2"/>
      <c r="B162" s="2"/>
      <c r="C162" s="2"/>
      <c r="D162" s="2"/>
      <c r="E162" s="2"/>
    </row>
    <row r="163" customFormat="false" ht="15.75" hidden="false" customHeight="true" outlineLevel="0" collapsed="false">
      <c r="A163" s="2"/>
      <c r="B163" s="2"/>
      <c r="C163" s="2"/>
      <c r="D163" s="2"/>
      <c r="E163" s="2"/>
    </row>
    <row r="164" customFormat="false" ht="15.75" hidden="false" customHeight="true" outlineLevel="0" collapsed="false">
      <c r="A164" s="2"/>
      <c r="B164" s="2"/>
      <c r="C164" s="2"/>
      <c r="D164" s="2"/>
      <c r="E164" s="2"/>
    </row>
    <row r="165" customFormat="false" ht="15.75" hidden="false" customHeight="true" outlineLevel="0" collapsed="false">
      <c r="A165" s="2"/>
      <c r="B165" s="2"/>
      <c r="C165" s="2"/>
      <c r="D165" s="2"/>
      <c r="E165" s="2"/>
    </row>
    <row r="166" customFormat="false" ht="15.75" hidden="false" customHeight="true" outlineLevel="0" collapsed="false">
      <c r="A166" s="2"/>
      <c r="B166" s="2"/>
      <c r="C166" s="2"/>
      <c r="D166" s="2"/>
      <c r="E166" s="2"/>
    </row>
    <row r="167" customFormat="false" ht="15.75" hidden="false" customHeight="true" outlineLevel="0" collapsed="false">
      <c r="A167" s="2"/>
      <c r="B167" s="2"/>
      <c r="C167" s="2"/>
      <c r="D167" s="2"/>
      <c r="E167" s="2"/>
    </row>
    <row r="168" customFormat="false" ht="15.75" hidden="false" customHeight="true" outlineLevel="0" collapsed="false">
      <c r="A168" s="2"/>
      <c r="B168" s="2"/>
      <c r="C168" s="2"/>
      <c r="D168" s="2"/>
      <c r="E168" s="2"/>
    </row>
    <row r="169" customFormat="false" ht="15.75" hidden="false" customHeight="true" outlineLevel="0" collapsed="false">
      <c r="A169" s="2"/>
      <c r="B169" s="2"/>
      <c r="C169" s="2"/>
      <c r="D169" s="2"/>
      <c r="E169" s="2"/>
    </row>
    <row r="170" customFormat="false" ht="15.75" hidden="false" customHeight="true" outlineLevel="0" collapsed="false">
      <c r="A170" s="2"/>
      <c r="B170" s="2"/>
      <c r="C170" s="2"/>
      <c r="D170" s="2"/>
      <c r="E170" s="2"/>
    </row>
    <row r="171" customFormat="false" ht="15.75" hidden="false" customHeight="true" outlineLevel="0" collapsed="false">
      <c r="A171" s="2"/>
      <c r="B171" s="2"/>
      <c r="C171" s="2"/>
      <c r="D171" s="2"/>
      <c r="E171" s="2"/>
    </row>
    <row r="172" customFormat="false" ht="15.75" hidden="false" customHeight="true" outlineLevel="0" collapsed="false">
      <c r="A172" s="2"/>
      <c r="B172" s="2"/>
      <c r="C172" s="2"/>
      <c r="D172" s="2"/>
      <c r="E172" s="2"/>
    </row>
    <row r="173" customFormat="false" ht="15.75" hidden="false" customHeight="true" outlineLevel="0" collapsed="false">
      <c r="A173" s="2"/>
      <c r="B173" s="2"/>
      <c r="C173" s="2"/>
      <c r="D173" s="2"/>
      <c r="E173" s="2"/>
    </row>
    <row r="174" customFormat="false" ht="15.75" hidden="false" customHeight="true" outlineLevel="0" collapsed="false">
      <c r="A174" s="2"/>
      <c r="B174" s="2"/>
      <c r="C174" s="2"/>
      <c r="D174" s="2"/>
      <c r="E174" s="2"/>
    </row>
    <row r="175" customFormat="false" ht="15.75" hidden="false" customHeight="true" outlineLevel="0" collapsed="false">
      <c r="A175" s="2"/>
      <c r="B175" s="2"/>
      <c r="C175" s="2"/>
      <c r="D175" s="2"/>
      <c r="E175" s="2"/>
    </row>
    <row r="176" customFormat="false" ht="15.75" hidden="false" customHeight="true" outlineLevel="0" collapsed="false">
      <c r="A176" s="2"/>
      <c r="B176" s="2"/>
      <c r="C176" s="2"/>
      <c r="D176" s="2"/>
      <c r="E176" s="2"/>
    </row>
    <row r="177" customFormat="false" ht="15.75" hidden="false" customHeight="true" outlineLevel="0" collapsed="false">
      <c r="A177" s="2"/>
      <c r="B177" s="2"/>
      <c r="C177" s="2"/>
      <c r="D177" s="2"/>
      <c r="E177" s="2"/>
    </row>
    <row r="178" customFormat="false" ht="15.75" hidden="false" customHeight="true" outlineLevel="0" collapsed="false">
      <c r="A178" s="2"/>
      <c r="B178" s="2"/>
      <c r="C178" s="2"/>
      <c r="D178" s="2"/>
      <c r="E178" s="2"/>
    </row>
    <row r="179" customFormat="false" ht="15.75" hidden="false" customHeight="true" outlineLevel="0" collapsed="false">
      <c r="A179" s="2"/>
      <c r="B179" s="2"/>
      <c r="C179" s="2"/>
      <c r="D179" s="2"/>
      <c r="E179" s="2"/>
    </row>
    <row r="180" customFormat="false" ht="15.75" hidden="false" customHeight="true" outlineLevel="0" collapsed="false">
      <c r="A180" s="2"/>
      <c r="B180" s="2"/>
      <c r="C180" s="2"/>
      <c r="D180" s="2"/>
      <c r="E180" s="2"/>
    </row>
    <row r="181" customFormat="false" ht="15.75" hidden="false" customHeight="true" outlineLevel="0" collapsed="false">
      <c r="A181" s="2"/>
      <c r="B181" s="2"/>
      <c r="C181" s="2"/>
      <c r="D181" s="2"/>
      <c r="E181" s="2"/>
    </row>
    <row r="182" customFormat="false" ht="15.75" hidden="false" customHeight="true" outlineLevel="0" collapsed="false">
      <c r="A182" s="2"/>
      <c r="B182" s="2"/>
      <c r="C182" s="2"/>
      <c r="D182" s="2"/>
      <c r="E182" s="2"/>
    </row>
    <row r="183" customFormat="false" ht="15.75" hidden="false" customHeight="true" outlineLevel="0" collapsed="false">
      <c r="A183" s="2"/>
      <c r="B183" s="2"/>
      <c r="C183" s="2"/>
      <c r="D183" s="2"/>
      <c r="E183" s="2"/>
    </row>
    <row r="184" customFormat="false" ht="15.75" hidden="false" customHeight="true" outlineLevel="0" collapsed="false">
      <c r="A184" s="2"/>
      <c r="B184" s="2"/>
      <c r="C184" s="2"/>
      <c r="D184" s="2"/>
      <c r="E184" s="2"/>
    </row>
    <row r="185" customFormat="false" ht="15.75" hidden="false" customHeight="true" outlineLevel="0" collapsed="false">
      <c r="A185" s="2"/>
      <c r="B185" s="2"/>
      <c r="C185" s="2"/>
      <c r="D185" s="2"/>
      <c r="E185" s="2"/>
    </row>
    <row r="186" customFormat="false" ht="15.75" hidden="false" customHeight="true" outlineLevel="0" collapsed="false">
      <c r="A186" s="2"/>
      <c r="B186" s="2"/>
      <c r="C186" s="2"/>
      <c r="D186" s="2"/>
      <c r="E186" s="2"/>
    </row>
    <row r="187" customFormat="false" ht="15.75" hidden="false" customHeight="true" outlineLevel="0" collapsed="false">
      <c r="A187" s="2"/>
      <c r="B187" s="2"/>
      <c r="C187" s="2"/>
      <c r="D187" s="2"/>
      <c r="E187" s="2"/>
    </row>
    <row r="188" customFormat="false" ht="15.75" hidden="false" customHeight="true" outlineLevel="0" collapsed="false">
      <c r="A188" s="2"/>
      <c r="B188" s="2"/>
      <c r="C188" s="2"/>
      <c r="D188" s="2"/>
      <c r="E188" s="2"/>
    </row>
    <row r="189" customFormat="false" ht="15.75" hidden="false" customHeight="true" outlineLevel="0" collapsed="false">
      <c r="A189" s="2"/>
      <c r="B189" s="2"/>
      <c r="C189" s="2"/>
      <c r="D189" s="2"/>
      <c r="E189" s="2"/>
    </row>
    <row r="190" customFormat="false" ht="15.75" hidden="false" customHeight="true" outlineLevel="0" collapsed="false">
      <c r="A190" s="2"/>
      <c r="B190" s="2"/>
      <c r="C190" s="2"/>
      <c r="D190" s="2"/>
      <c r="E190" s="2"/>
    </row>
    <row r="191" customFormat="false" ht="15.75" hidden="false" customHeight="true" outlineLevel="0" collapsed="false">
      <c r="A191" s="2"/>
      <c r="B191" s="2"/>
      <c r="C191" s="2"/>
      <c r="D191" s="2"/>
      <c r="E191" s="2"/>
    </row>
    <row r="192" customFormat="false" ht="15.75" hidden="false" customHeight="true" outlineLevel="0" collapsed="false">
      <c r="A192" s="2"/>
      <c r="B192" s="2"/>
      <c r="C192" s="2"/>
      <c r="D192" s="2"/>
      <c r="E192" s="2"/>
    </row>
    <row r="193" customFormat="false" ht="15.75" hidden="false" customHeight="true" outlineLevel="0" collapsed="false">
      <c r="A193" s="2"/>
      <c r="B193" s="2"/>
      <c r="C193" s="2"/>
      <c r="D193" s="2"/>
      <c r="E193" s="2"/>
    </row>
    <row r="194" customFormat="false" ht="15.75" hidden="false" customHeight="true" outlineLevel="0" collapsed="false">
      <c r="A194" s="2"/>
      <c r="B194" s="2"/>
      <c r="C194" s="2"/>
      <c r="D194" s="2"/>
      <c r="E194" s="2"/>
    </row>
    <row r="195" customFormat="false" ht="15.75" hidden="false" customHeight="true" outlineLevel="0" collapsed="false">
      <c r="A195" s="2"/>
      <c r="B195" s="2"/>
      <c r="C195" s="2"/>
      <c r="D195" s="2"/>
      <c r="E195" s="2"/>
    </row>
    <row r="196" customFormat="false" ht="15.75" hidden="false" customHeight="true" outlineLevel="0" collapsed="false">
      <c r="A196" s="2"/>
      <c r="B196" s="2"/>
      <c r="C196" s="2"/>
      <c r="D196" s="2"/>
      <c r="E196" s="2"/>
    </row>
    <row r="197" customFormat="false" ht="15.75" hidden="false" customHeight="true" outlineLevel="0" collapsed="false">
      <c r="A197" s="2"/>
      <c r="B197" s="2"/>
      <c r="C197" s="2"/>
      <c r="D197" s="2"/>
      <c r="E197" s="2"/>
    </row>
    <row r="198" customFormat="false" ht="15.75" hidden="false" customHeight="true" outlineLevel="0" collapsed="false">
      <c r="A198" s="2"/>
      <c r="B198" s="2"/>
      <c r="C198" s="2"/>
      <c r="D198" s="2"/>
      <c r="E198" s="2"/>
    </row>
    <row r="199" customFormat="false" ht="15.75" hidden="false" customHeight="true" outlineLevel="0" collapsed="false">
      <c r="A199" s="2"/>
      <c r="B199" s="2"/>
      <c r="C199" s="2"/>
      <c r="D199" s="2"/>
      <c r="E199" s="2"/>
    </row>
    <row r="200" customFormat="false" ht="15.75" hidden="false" customHeight="true" outlineLevel="0" collapsed="false">
      <c r="A200" s="2"/>
      <c r="B200" s="2"/>
      <c r="C200" s="2"/>
      <c r="D200" s="2"/>
      <c r="E200" s="2"/>
    </row>
    <row r="201" customFormat="false" ht="15.75" hidden="false" customHeight="true" outlineLevel="0" collapsed="false">
      <c r="A201" s="2"/>
      <c r="B201" s="2"/>
      <c r="C201" s="2"/>
      <c r="D201" s="2"/>
      <c r="E201" s="2"/>
    </row>
    <row r="202" customFormat="false" ht="15.75" hidden="false" customHeight="true" outlineLevel="0" collapsed="false">
      <c r="A202" s="2"/>
      <c r="B202" s="2"/>
      <c r="C202" s="2"/>
      <c r="D202" s="2"/>
      <c r="E202" s="2"/>
    </row>
    <row r="203" customFormat="false" ht="15.75" hidden="false" customHeight="true" outlineLevel="0" collapsed="false">
      <c r="A203" s="2"/>
      <c r="B203" s="2"/>
      <c r="C203" s="2"/>
      <c r="D203" s="2"/>
      <c r="E203" s="2"/>
    </row>
    <row r="204" customFormat="false" ht="15.75" hidden="false" customHeight="true" outlineLevel="0" collapsed="false">
      <c r="A204" s="2"/>
      <c r="B204" s="2"/>
      <c r="C204" s="2"/>
      <c r="D204" s="2"/>
      <c r="E204" s="2"/>
    </row>
    <row r="205" customFormat="false" ht="15.75" hidden="false" customHeight="true" outlineLevel="0" collapsed="false">
      <c r="A205" s="2"/>
      <c r="B205" s="2"/>
      <c r="C205" s="2"/>
      <c r="D205" s="2"/>
      <c r="E205" s="2"/>
    </row>
    <row r="206" customFormat="false" ht="15.75" hidden="false" customHeight="true" outlineLevel="0" collapsed="false">
      <c r="A206" s="2"/>
      <c r="B206" s="2"/>
      <c r="C206" s="2"/>
      <c r="D206" s="2"/>
      <c r="E206" s="2"/>
    </row>
    <row r="207" customFormat="false" ht="15.75" hidden="false" customHeight="true" outlineLevel="0" collapsed="false">
      <c r="A207" s="2"/>
      <c r="B207" s="2"/>
      <c r="C207" s="2"/>
      <c r="D207" s="2"/>
      <c r="E207" s="2"/>
    </row>
    <row r="208" customFormat="false" ht="15.75" hidden="false" customHeight="true" outlineLevel="0" collapsed="false">
      <c r="A208" s="2"/>
      <c r="B208" s="2"/>
      <c r="C208" s="2"/>
      <c r="D208" s="2"/>
      <c r="E208" s="2"/>
    </row>
    <row r="209" customFormat="false" ht="15.75" hidden="false" customHeight="true" outlineLevel="0" collapsed="false">
      <c r="A209" s="2"/>
      <c r="B209" s="2"/>
      <c r="C209" s="2"/>
      <c r="D209" s="2"/>
      <c r="E209" s="2"/>
    </row>
    <row r="210" customFormat="false" ht="15.75" hidden="false" customHeight="true" outlineLevel="0" collapsed="false">
      <c r="A210" s="2"/>
      <c r="B210" s="2"/>
      <c r="C210" s="2"/>
      <c r="D210" s="2"/>
      <c r="E210" s="2"/>
    </row>
    <row r="211" customFormat="false" ht="15.75" hidden="false" customHeight="true" outlineLevel="0" collapsed="false">
      <c r="A211" s="2"/>
      <c r="B211" s="2"/>
      <c r="C211" s="2"/>
      <c r="D211" s="2"/>
      <c r="E211" s="2"/>
    </row>
    <row r="212" customFormat="false" ht="15.75" hidden="false" customHeight="true" outlineLevel="0" collapsed="false">
      <c r="A212" s="2"/>
      <c r="B212" s="2"/>
      <c r="C212" s="2"/>
      <c r="D212" s="2"/>
      <c r="E212" s="2"/>
    </row>
    <row r="213" customFormat="false" ht="15.75" hidden="false" customHeight="true" outlineLevel="0" collapsed="false">
      <c r="A213" s="2"/>
      <c r="B213" s="2"/>
      <c r="C213" s="2"/>
      <c r="D213" s="2"/>
      <c r="E213" s="2"/>
    </row>
    <row r="214" customFormat="false" ht="15.75" hidden="false" customHeight="true" outlineLevel="0" collapsed="false">
      <c r="A214" s="2"/>
      <c r="B214" s="2"/>
      <c r="C214" s="2"/>
      <c r="D214" s="2"/>
      <c r="E214" s="2"/>
    </row>
    <row r="215" customFormat="false" ht="15.75" hidden="false" customHeight="true" outlineLevel="0" collapsed="false">
      <c r="A215" s="2"/>
      <c r="B215" s="2"/>
      <c r="C215" s="2"/>
      <c r="D215" s="2"/>
      <c r="E215" s="2"/>
    </row>
    <row r="216" customFormat="false" ht="15.75" hidden="false" customHeight="true" outlineLevel="0" collapsed="false">
      <c r="A216" s="2"/>
      <c r="B216" s="2"/>
      <c r="C216" s="2"/>
      <c r="D216" s="2"/>
      <c r="E216" s="2"/>
    </row>
    <row r="217" customFormat="false" ht="15.75" hidden="false" customHeight="true" outlineLevel="0" collapsed="false">
      <c r="A217" s="2"/>
      <c r="B217" s="2"/>
      <c r="C217" s="2"/>
      <c r="D217" s="2"/>
      <c r="E217" s="2"/>
    </row>
    <row r="218" customFormat="false" ht="15.75" hidden="false" customHeight="true" outlineLevel="0" collapsed="false">
      <c r="A218" s="2"/>
      <c r="B218" s="2"/>
      <c r="C218" s="2"/>
      <c r="D218" s="2"/>
      <c r="E218" s="2"/>
    </row>
    <row r="219" customFormat="false" ht="15.75" hidden="false" customHeight="true" outlineLevel="0" collapsed="false">
      <c r="A219" s="2"/>
      <c r="B219" s="2"/>
      <c r="C219" s="2"/>
      <c r="D219" s="2"/>
      <c r="E219" s="2"/>
    </row>
    <row r="220" customFormat="false" ht="15.75" hidden="false" customHeight="true" outlineLevel="0" collapsed="false">
      <c r="A220" s="2"/>
      <c r="B220" s="2"/>
      <c r="C220" s="2"/>
      <c r="D220" s="2"/>
      <c r="E220" s="2"/>
    </row>
    <row r="221" customFormat="false" ht="15.75" hidden="false" customHeight="true" outlineLevel="0" collapsed="false">
      <c r="A221" s="2"/>
      <c r="B221" s="2"/>
      <c r="C221" s="2"/>
      <c r="D221" s="2"/>
      <c r="E221" s="2"/>
    </row>
    <row r="222" customFormat="false" ht="15.75" hidden="false" customHeight="true" outlineLevel="0" collapsed="false">
      <c r="A222" s="2"/>
      <c r="B222" s="2"/>
      <c r="C222" s="2"/>
      <c r="D222" s="2"/>
      <c r="E222" s="2"/>
    </row>
    <row r="223" customFormat="false" ht="15.75" hidden="false" customHeight="true" outlineLevel="0" collapsed="false">
      <c r="A223" s="2"/>
      <c r="B223" s="2"/>
      <c r="C223" s="2"/>
      <c r="D223" s="2"/>
      <c r="E223" s="2"/>
    </row>
    <row r="224" customFormat="false" ht="15.75" hidden="false" customHeight="true" outlineLevel="0" collapsed="false">
      <c r="A224" s="2"/>
      <c r="B224" s="2"/>
      <c r="C224" s="2"/>
      <c r="D224" s="2"/>
      <c r="E224" s="2"/>
    </row>
    <row r="225" customFormat="false" ht="15.75" hidden="false" customHeight="true" outlineLevel="0" collapsed="false">
      <c r="A225" s="2"/>
      <c r="B225" s="2"/>
      <c r="C225" s="2"/>
      <c r="D225" s="2"/>
      <c r="E225" s="2"/>
    </row>
    <row r="226" customFormat="false" ht="15.75" hidden="false" customHeight="true" outlineLevel="0" collapsed="false">
      <c r="A226" s="2"/>
      <c r="B226" s="2"/>
      <c r="C226" s="2"/>
      <c r="D226" s="2"/>
      <c r="E226" s="2"/>
    </row>
    <row r="227" customFormat="false" ht="15.75" hidden="false" customHeight="true" outlineLevel="0" collapsed="false">
      <c r="A227" s="2"/>
      <c r="B227" s="2"/>
      <c r="C227" s="2"/>
      <c r="D227" s="2"/>
      <c r="E227" s="2"/>
    </row>
    <row r="228" customFormat="false" ht="15.75" hidden="false" customHeight="true" outlineLevel="0" collapsed="false">
      <c r="A228" s="2"/>
      <c r="B228" s="2"/>
      <c r="C228" s="2"/>
      <c r="D228" s="2"/>
      <c r="E228" s="2"/>
    </row>
    <row r="229" customFormat="false" ht="15.75" hidden="false" customHeight="true" outlineLevel="0" collapsed="false">
      <c r="A229" s="2"/>
      <c r="B229" s="2"/>
      <c r="C229" s="2"/>
      <c r="D229" s="2"/>
      <c r="E229" s="2"/>
    </row>
    <row r="230" customFormat="false" ht="15.75" hidden="false" customHeight="true" outlineLevel="0" collapsed="false">
      <c r="A230" s="2"/>
      <c r="B230" s="2"/>
      <c r="C230" s="2"/>
      <c r="D230" s="2"/>
      <c r="E230" s="2"/>
    </row>
    <row r="231" customFormat="false" ht="15.75" hidden="false" customHeight="true" outlineLevel="0" collapsed="false">
      <c r="A231" s="2"/>
      <c r="B231" s="2"/>
      <c r="C231" s="2"/>
      <c r="D231" s="2"/>
      <c r="E231" s="2"/>
    </row>
    <row r="232" customFormat="false" ht="15.75" hidden="false" customHeight="true" outlineLevel="0" collapsed="false">
      <c r="A232" s="2"/>
      <c r="B232" s="2"/>
      <c r="C232" s="2"/>
      <c r="D232" s="2"/>
      <c r="E232" s="2"/>
    </row>
    <row r="233" customFormat="false" ht="15.75" hidden="false" customHeight="true" outlineLevel="0" collapsed="false">
      <c r="A233" s="2"/>
      <c r="B233" s="2"/>
      <c r="C233" s="2"/>
      <c r="D233" s="2"/>
      <c r="E233" s="2"/>
    </row>
    <row r="234" customFormat="false" ht="15.75" hidden="false" customHeight="true" outlineLevel="0" collapsed="false">
      <c r="A234" s="2"/>
      <c r="B234" s="2"/>
      <c r="C234" s="2"/>
      <c r="D234" s="2"/>
      <c r="E234" s="2"/>
    </row>
    <row r="235" customFormat="false" ht="15.75" hidden="false" customHeight="true" outlineLevel="0" collapsed="false">
      <c r="A235" s="2"/>
      <c r="B235" s="2"/>
      <c r="C235" s="2"/>
      <c r="D235" s="2"/>
      <c r="E235" s="2"/>
    </row>
    <row r="236" customFormat="false" ht="15.75" hidden="false" customHeight="true" outlineLevel="0" collapsed="false">
      <c r="A236" s="2"/>
      <c r="B236" s="2"/>
      <c r="C236" s="2"/>
      <c r="D236" s="2"/>
      <c r="E236" s="2"/>
    </row>
    <row r="237" customFormat="false" ht="15.75" hidden="false" customHeight="true" outlineLevel="0" collapsed="false">
      <c r="A237" s="2"/>
      <c r="B237" s="2"/>
      <c r="C237" s="2"/>
      <c r="D237" s="2"/>
      <c r="E237" s="2"/>
    </row>
    <row r="238" customFormat="false" ht="15.75" hidden="false" customHeight="true" outlineLevel="0" collapsed="false">
      <c r="A238" s="2"/>
      <c r="B238" s="2"/>
      <c r="C238" s="2"/>
      <c r="D238" s="2"/>
      <c r="E238" s="2"/>
    </row>
    <row r="239" customFormat="false" ht="15.75" hidden="false" customHeight="true" outlineLevel="0" collapsed="false">
      <c r="A239" s="2"/>
      <c r="B239" s="2"/>
      <c r="C239" s="2"/>
      <c r="D239" s="2"/>
      <c r="E239" s="2"/>
    </row>
    <row r="240" customFormat="false" ht="15.75" hidden="false" customHeight="true" outlineLevel="0" collapsed="false">
      <c r="A240" s="2"/>
      <c r="B240" s="2"/>
      <c r="C240" s="2"/>
      <c r="D240" s="2"/>
      <c r="E240" s="2"/>
    </row>
    <row r="241" customFormat="false" ht="15.75" hidden="false" customHeight="true" outlineLevel="0" collapsed="false">
      <c r="A241" s="2"/>
      <c r="B241" s="2"/>
      <c r="C241" s="2"/>
      <c r="D241" s="2"/>
      <c r="E241" s="2"/>
    </row>
    <row r="242" customFormat="false" ht="15.75" hidden="false" customHeight="true" outlineLevel="0" collapsed="false">
      <c r="A242" s="2"/>
      <c r="B242" s="2"/>
      <c r="C242" s="2"/>
      <c r="D242" s="2"/>
      <c r="E242" s="2"/>
    </row>
    <row r="243" customFormat="false" ht="15.75" hidden="false" customHeight="true" outlineLevel="0" collapsed="false">
      <c r="A243" s="2"/>
      <c r="B243" s="2"/>
      <c r="C243" s="2"/>
      <c r="D243" s="2"/>
      <c r="E243" s="2"/>
    </row>
    <row r="244" customFormat="false" ht="15.75" hidden="false" customHeight="true" outlineLevel="0" collapsed="false">
      <c r="A244" s="2"/>
      <c r="B244" s="2"/>
      <c r="C244" s="2"/>
      <c r="D244" s="2"/>
      <c r="E244" s="2"/>
    </row>
    <row r="245" customFormat="false" ht="15.75" hidden="false" customHeight="true" outlineLevel="0" collapsed="false">
      <c r="A245" s="2"/>
      <c r="B245" s="2"/>
      <c r="C245" s="2"/>
      <c r="D245" s="2"/>
      <c r="E245" s="2"/>
    </row>
    <row r="246" customFormat="false" ht="15.75" hidden="false" customHeight="true" outlineLevel="0" collapsed="false">
      <c r="A246" s="2"/>
      <c r="B246" s="2"/>
      <c r="C246" s="2"/>
      <c r="D246" s="2"/>
      <c r="E246" s="2"/>
    </row>
    <row r="247" customFormat="false" ht="15.75" hidden="false" customHeight="true" outlineLevel="0" collapsed="false">
      <c r="A247" s="2"/>
      <c r="B247" s="2"/>
      <c r="C247" s="2"/>
      <c r="D247" s="2"/>
      <c r="E247" s="2"/>
    </row>
    <row r="248" customFormat="false" ht="15.75" hidden="false" customHeight="true" outlineLevel="0" collapsed="false">
      <c r="A248" s="2"/>
      <c r="B248" s="2"/>
      <c r="C248" s="2"/>
      <c r="D248" s="2"/>
      <c r="E248" s="2"/>
    </row>
    <row r="249" customFormat="false" ht="15.75" hidden="false" customHeight="true" outlineLevel="0" collapsed="false">
      <c r="A249" s="2"/>
      <c r="B249" s="2"/>
      <c r="C249" s="2"/>
      <c r="D249" s="2"/>
      <c r="E249" s="2"/>
    </row>
    <row r="250" customFormat="false" ht="15.75" hidden="false" customHeight="true" outlineLevel="0" collapsed="false">
      <c r="A250" s="2"/>
      <c r="B250" s="2"/>
      <c r="C250" s="2"/>
      <c r="D250" s="2"/>
      <c r="E250" s="2"/>
    </row>
    <row r="251" customFormat="false" ht="15.75" hidden="false" customHeight="true" outlineLevel="0" collapsed="false">
      <c r="A251" s="2"/>
      <c r="B251" s="2"/>
      <c r="C251" s="2"/>
      <c r="D251" s="2"/>
      <c r="E251" s="2"/>
    </row>
    <row r="252" customFormat="false" ht="15.75" hidden="false" customHeight="true" outlineLevel="0" collapsed="false">
      <c r="A252" s="2"/>
      <c r="B252" s="2"/>
      <c r="C252" s="2"/>
      <c r="D252" s="2"/>
      <c r="E252" s="2"/>
    </row>
    <row r="253" customFormat="false" ht="15.75" hidden="false" customHeight="true" outlineLevel="0" collapsed="false">
      <c r="A253" s="2"/>
      <c r="B253" s="2"/>
      <c r="C253" s="2"/>
      <c r="D253" s="2"/>
      <c r="E253" s="2"/>
    </row>
    <row r="254" customFormat="false" ht="15.75" hidden="false" customHeight="true" outlineLevel="0" collapsed="false">
      <c r="A254" s="2"/>
      <c r="B254" s="2"/>
      <c r="C254" s="2"/>
      <c r="D254" s="2"/>
      <c r="E254" s="2"/>
    </row>
    <row r="255" customFormat="false" ht="15.75" hidden="false" customHeight="true" outlineLevel="0" collapsed="false">
      <c r="A255" s="2"/>
      <c r="B255" s="2"/>
      <c r="C255" s="2"/>
      <c r="D255" s="2"/>
      <c r="E255" s="2"/>
    </row>
    <row r="256" customFormat="false" ht="15.75" hidden="false" customHeight="true" outlineLevel="0" collapsed="false">
      <c r="A256" s="2"/>
      <c r="B256" s="2"/>
      <c r="C256" s="2"/>
      <c r="D256" s="2"/>
      <c r="E256" s="2"/>
    </row>
    <row r="257" customFormat="false" ht="15.75" hidden="false" customHeight="true" outlineLevel="0" collapsed="false">
      <c r="A257" s="2"/>
      <c r="B257" s="2"/>
      <c r="C257" s="2"/>
      <c r="D257" s="2"/>
      <c r="E257" s="2"/>
    </row>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C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2.6328125" defaultRowHeight="14.25" customHeight="true" zeroHeight="false" outlineLevelRow="0" outlineLevelCol="0"/>
  <sheetData>
    <row r="1" customFormat="false" ht="14.25" hidden="false" customHeight="true" outlineLevel="0" collapsed="false">
      <c r="A1" s="114" t="s">
        <v>14</v>
      </c>
      <c r="B1" s="114" t="s">
        <v>1306</v>
      </c>
      <c r="C1" s="18" t="s">
        <v>1307</v>
      </c>
    </row>
    <row r="2" customFormat="false" ht="14.25" hidden="false" customHeight="true" outlineLevel="0" collapsed="false">
      <c r="A2" s="18" t="s">
        <v>1308</v>
      </c>
      <c r="B2" s="18" t="s">
        <v>1309</v>
      </c>
      <c r="C2" s="18" t="s">
        <v>1241</v>
      </c>
    </row>
    <row r="3" customFormat="false" ht="14.25" hidden="false" customHeight="true" outlineLevel="0" collapsed="false">
      <c r="A3" s="18" t="s">
        <v>1310</v>
      </c>
      <c r="B3" s="18" t="s">
        <v>1281</v>
      </c>
      <c r="C3" s="18" t="s">
        <v>958</v>
      </c>
    </row>
    <row r="4" customFormat="false" ht="14.25" hidden="false" customHeight="true" outlineLevel="0" collapsed="false">
      <c r="A4" s="18" t="s">
        <v>1311</v>
      </c>
      <c r="B4" s="18" t="s">
        <v>1239</v>
      </c>
      <c r="C4" s="18" t="s">
        <v>1239</v>
      </c>
    </row>
    <row r="5" customFormat="false" ht="14.25" hidden="false" customHeight="true" outlineLevel="0" collapsed="false">
      <c r="A5" s="18" t="s">
        <v>1312</v>
      </c>
      <c r="B5" s="18" t="s">
        <v>782</v>
      </c>
      <c r="C5" s="18" t="s">
        <v>782</v>
      </c>
    </row>
    <row r="6" customFormat="false" ht="14.25" hidden="false" customHeight="true" outlineLevel="0" collapsed="false">
      <c r="A6" s="18" t="s">
        <v>1313</v>
      </c>
      <c r="B6" s="18" t="s">
        <v>1241</v>
      </c>
      <c r="C6" s="18" t="s">
        <v>1241</v>
      </c>
    </row>
    <row r="7" customFormat="false" ht="14.25" hidden="false" customHeight="true" outlineLevel="0" collapsed="false">
      <c r="A7" s="18" t="s">
        <v>1314</v>
      </c>
      <c r="B7" s="18" t="s">
        <v>782</v>
      </c>
      <c r="C7" s="18" t="s">
        <v>782</v>
      </c>
    </row>
    <row r="8" customFormat="false" ht="14.25" hidden="false" customHeight="true" outlineLevel="0" collapsed="false">
      <c r="A8" s="18" t="s">
        <v>1315</v>
      </c>
      <c r="B8" s="18" t="s">
        <v>782</v>
      </c>
      <c r="C8" s="18" t="s">
        <v>782</v>
      </c>
    </row>
    <row r="9" customFormat="false" ht="14.25" hidden="false" customHeight="true" outlineLevel="0" collapsed="false">
      <c r="A9" s="18" t="s">
        <v>1316</v>
      </c>
      <c r="B9" s="18" t="s">
        <v>1317</v>
      </c>
      <c r="C9" s="18" t="s">
        <v>958</v>
      </c>
    </row>
    <row r="10" customFormat="false" ht="14.25" hidden="false" customHeight="true" outlineLevel="0" collapsed="false">
      <c r="A10" s="18" t="s">
        <v>1318</v>
      </c>
      <c r="B10" s="18" t="s">
        <v>1319</v>
      </c>
      <c r="C10" s="18" t="s">
        <v>1320</v>
      </c>
    </row>
    <row r="11" customFormat="false" ht="14.25" hidden="false" customHeight="true" outlineLevel="0" collapsed="false">
      <c r="A11" s="18" t="s">
        <v>1321</v>
      </c>
      <c r="B11" s="18" t="s">
        <v>1233</v>
      </c>
      <c r="C11" s="18" t="s">
        <v>1233</v>
      </c>
    </row>
    <row r="12" customFormat="false" ht="14.25" hidden="false" customHeight="true" outlineLevel="0" collapsed="false">
      <c r="A12" s="18" t="s">
        <v>1322</v>
      </c>
      <c r="B12" s="18" t="s">
        <v>782</v>
      </c>
      <c r="C12" s="18" t="s">
        <v>782</v>
      </c>
    </row>
    <row r="13" customFormat="false" ht="14.25" hidden="false" customHeight="true" outlineLevel="0" collapsed="false">
      <c r="A13" s="18" t="s">
        <v>1323</v>
      </c>
      <c r="B13" s="18" t="s">
        <v>782</v>
      </c>
      <c r="C13" s="18" t="s">
        <v>782</v>
      </c>
    </row>
    <row r="14" customFormat="false" ht="14.25" hidden="false" customHeight="true" outlineLevel="0" collapsed="false">
      <c r="A14" s="18" t="s">
        <v>1324</v>
      </c>
      <c r="B14" s="18" t="s">
        <v>782</v>
      </c>
      <c r="C14" s="18" t="s">
        <v>782</v>
      </c>
    </row>
    <row r="15" customFormat="false" ht="14.25" hidden="false" customHeight="true" outlineLevel="0" collapsed="false">
      <c r="A15" s="18" t="s">
        <v>1325</v>
      </c>
      <c r="B15" s="18" t="s">
        <v>1233</v>
      </c>
      <c r="C15" s="18" t="s">
        <v>1320</v>
      </c>
    </row>
    <row r="16" customFormat="false" ht="14.25" hidden="false" customHeight="true" outlineLevel="0" collapsed="false">
      <c r="A16" s="18" t="s">
        <v>1326</v>
      </c>
      <c r="B16" s="18" t="s">
        <v>782</v>
      </c>
      <c r="C16" s="18" t="s">
        <v>782</v>
      </c>
    </row>
    <row r="17" customFormat="false" ht="14.25" hidden="false" customHeight="true" outlineLevel="0" collapsed="false">
      <c r="A17" s="18" t="s">
        <v>1327</v>
      </c>
      <c r="B17" s="18" t="s">
        <v>782</v>
      </c>
      <c r="C17" s="18" t="s">
        <v>782</v>
      </c>
    </row>
    <row r="19" customFormat="false" ht="14.25" hidden="false" customHeight="true" outlineLevel="0" collapsed="false">
      <c r="B19" s="18" t="s">
        <v>1328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551</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2021-05-04T03:08:50Z</dcterms:created>
  <dc:creator>Bolivar Alexander Aponte Rolon</dc:creator>
  <dc:description/>
  <dc:language>en-US</dc:language>
  <cp:lastModifiedBy>Bolívar Aponte Rolón</cp:lastModifiedBy>
  <dcterms:modified xsi:type="dcterms:W3CDTF">2026-01-18T12:41:04Z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